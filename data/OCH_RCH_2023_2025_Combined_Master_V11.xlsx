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24226"/>
  <mc:AlternateContent xmlns:mc="http://schemas.openxmlformats.org/markup-compatibility/2006">
    <mc:Choice Requires="x15">
      <x15ac:absPath xmlns:x15ac="http://schemas.microsoft.com/office/spreadsheetml/2010/11/ac" url="/Users/brendanfox/Desktop/UB JSMBS/Research/TraumaTriageLLM/CombinedData/"/>
    </mc:Choice>
  </mc:AlternateContent>
  <xr:revisionPtr revIDLastSave="0" documentId="13_ncr:1_{4FF47DC8-B574-0749-BA93-F937EAA960F6}" xr6:coauthVersionLast="47" xr6:coauthVersionMax="47" xr10:uidLastSave="{00000000-0000-0000-0000-000000000000}"/>
  <bookViews>
    <workbookView xWindow="0" yWindow="2180" windowWidth="30240" windowHeight="17460" xr2:uid="{00000000-000D-0000-FFFF-FFFF00000000}"/>
  </bookViews>
  <sheets>
    <sheet name="Sheet1" sheetId="1" r:id="rId1"/>
    <sheet name="Sheet2" sheetId="2"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9" i="1" l="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39" i="1"/>
  <c r="O340" i="1"/>
  <c r="O341" i="1"/>
  <c r="O342" i="1"/>
  <c r="O343" i="1"/>
  <c r="O344"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2"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E311" i="1"/>
  <c r="K311" i="1" s="1"/>
  <c r="E312" i="1"/>
  <c r="E313" i="1"/>
  <c r="K313" i="1" s="1"/>
  <c r="E314" i="1"/>
  <c r="K314" i="1" s="1"/>
  <c r="E315" i="1"/>
  <c r="K315" i="1" s="1"/>
  <c r="E316" i="1"/>
  <c r="H316" i="1" s="1"/>
  <c r="E317" i="1"/>
  <c r="K317" i="1" s="1"/>
  <c r="E318" i="1"/>
  <c r="K318" i="1" s="1"/>
  <c r="E319" i="1"/>
  <c r="K319" i="1" s="1"/>
  <c r="E320" i="1"/>
  <c r="K320" i="1" s="1"/>
  <c r="E321" i="1"/>
  <c r="K321" i="1" s="1"/>
  <c r="E322" i="1"/>
  <c r="K322" i="1" s="1"/>
  <c r="E323" i="1"/>
  <c r="K323" i="1" s="1"/>
  <c r="E324" i="1"/>
  <c r="K324" i="1" s="1"/>
  <c r="E325" i="1"/>
  <c r="K325" i="1" s="1"/>
  <c r="E326" i="1"/>
  <c r="K326" i="1" s="1"/>
  <c r="E327" i="1"/>
  <c r="K327" i="1" s="1"/>
  <c r="E328" i="1"/>
  <c r="K328" i="1" s="1"/>
  <c r="E329" i="1"/>
  <c r="K329" i="1" s="1"/>
  <c r="E330" i="1"/>
  <c r="K330" i="1" s="1"/>
  <c r="E331" i="1"/>
  <c r="K331" i="1" s="1"/>
  <c r="E332" i="1"/>
  <c r="E333" i="1"/>
  <c r="E334" i="1"/>
  <c r="K334" i="1" s="1"/>
  <c r="E335" i="1"/>
  <c r="K335" i="1" s="1"/>
  <c r="E336" i="1"/>
  <c r="E337" i="1"/>
  <c r="E338"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10"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2" i="1"/>
  <c r="U2" i="1"/>
  <c r="U3" i="1"/>
  <c r="H338" i="1" l="1"/>
  <c r="H337" i="1"/>
  <c r="H336" i="1"/>
  <c r="H333" i="1"/>
  <c r="H332" i="1"/>
  <c r="K333" i="1"/>
  <c r="K332" i="1"/>
  <c r="K338" i="1"/>
  <c r="K337" i="1"/>
  <c r="K336" i="1"/>
  <c r="K316" i="1"/>
  <c r="H331" i="1"/>
  <c r="H330" i="1"/>
  <c r="H329" i="1"/>
  <c r="H327" i="1"/>
  <c r="H326" i="1"/>
  <c r="H323" i="1"/>
  <c r="H322" i="1"/>
  <c r="H321" i="1"/>
  <c r="H320" i="1"/>
  <c r="H318" i="1"/>
  <c r="H317" i="1"/>
  <c r="H313" i="1"/>
  <c r="H312" i="1"/>
  <c r="K312" i="1"/>
  <c r="H311" i="1"/>
  <c r="H319" i="1"/>
  <c r="H328" i="1"/>
  <c r="H335" i="1"/>
  <c r="H325" i="1"/>
  <c r="H315" i="1"/>
  <c r="H334" i="1"/>
  <c r="H324" i="1"/>
  <c r="H314"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2" i="1"/>
  <c r="E3" i="1"/>
  <c r="K3" i="1" s="1"/>
  <c r="E4" i="1"/>
  <c r="K4" i="1" s="1"/>
  <c r="E5" i="1"/>
  <c r="K5" i="1" s="1"/>
  <c r="E6" i="1"/>
  <c r="K6" i="1" s="1"/>
  <c r="E7" i="1"/>
  <c r="K7" i="1" s="1"/>
  <c r="E8" i="1"/>
  <c r="K8" i="1" s="1"/>
  <c r="E9" i="1"/>
  <c r="K9" i="1" s="1"/>
  <c r="E10" i="1"/>
  <c r="K10" i="1" s="1"/>
  <c r="E11" i="1"/>
  <c r="K11" i="1" s="1"/>
  <c r="E12" i="1"/>
  <c r="K12" i="1" s="1"/>
  <c r="E13" i="1"/>
  <c r="K13" i="1" s="1"/>
  <c r="E14" i="1"/>
  <c r="K14" i="1" s="1"/>
  <c r="E15" i="1"/>
  <c r="K15" i="1" s="1"/>
  <c r="E16" i="1"/>
  <c r="K16" i="1" s="1"/>
  <c r="E17" i="1"/>
  <c r="K17" i="1" s="1"/>
  <c r="E18" i="1"/>
  <c r="K18" i="1" s="1"/>
  <c r="E19" i="1"/>
  <c r="K19" i="1" s="1"/>
  <c r="E20" i="1"/>
  <c r="K20" i="1" s="1"/>
  <c r="E21" i="1"/>
  <c r="K21" i="1" s="1"/>
  <c r="E22" i="1"/>
  <c r="K22" i="1" s="1"/>
  <c r="E23" i="1"/>
  <c r="K23" i="1" s="1"/>
  <c r="E24" i="1"/>
  <c r="K24" i="1" s="1"/>
  <c r="E25" i="1"/>
  <c r="K25" i="1" s="1"/>
  <c r="E26" i="1"/>
  <c r="K26" i="1" s="1"/>
  <c r="E27" i="1"/>
  <c r="K27" i="1" s="1"/>
  <c r="E28" i="1"/>
  <c r="K28" i="1" s="1"/>
  <c r="E29" i="1"/>
  <c r="K29" i="1" s="1"/>
  <c r="E30" i="1"/>
  <c r="K30" i="1" s="1"/>
  <c r="E31" i="1"/>
  <c r="K31" i="1" s="1"/>
  <c r="E32" i="1"/>
  <c r="K32" i="1" s="1"/>
  <c r="E33" i="1"/>
  <c r="K33" i="1" s="1"/>
  <c r="E34" i="1"/>
  <c r="K34" i="1" s="1"/>
  <c r="E35" i="1"/>
  <c r="K35" i="1" s="1"/>
  <c r="E36" i="1"/>
  <c r="K36" i="1" s="1"/>
  <c r="E37" i="1"/>
  <c r="K37" i="1" s="1"/>
  <c r="E38" i="1"/>
  <c r="K38" i="1" s="1"/>
  <c r="E39" i="1"/>
  <c r="K39" i="1" s="1"/>
  <c r="E40" i="1"/>
  <c r="K40" i="1" s="1"/>
  <c r="E41" i="1"/>
  <c r="K41" i="1" s="1"/>
  <c r="E42" i="1"/>
  <c r="K42" i="1" s="1"/>
  <c r="E43" i="1"/>
  <c r="K43" i="1" s="1"/>
  <c r="E44" i="1"/>
  <c r="K44" i="1" s="1"/>
  <c r="E45" i="1"/>
  <c r="K45" i="1" s="1"/>
  <c r="E46" i="1"/>
  <c r="K46" i="1" s="1"/>
  <c r="E47" i="1"/>
  <c r="K47" i="1" s="1"/>
  <c r="E48" i="1"/>
  <c r="K48" i="1" s="1"/>
  <c r="E49" i="1"/>
  <c r="K49" i="1" s="1"/>
  <c r="E50" i="1"/>
  <c r="K50" i="1" s="1"/>
  <c r="E51" i="1"/>
  <c r="K51" i="1" s="1"/>
  <c r="E52" i="1"/>
  <c r="K52" i="1" s="1"/>
  <c r="E53" i="1"/>
  <c r="K53" i="1" s="1"/>
  <c r="E54" i="1"/>
  <c r="K54" i="1" s="1"/>
  <c r="E55" i="1"/>
  <c r="K55" i="1" s="1"/>
  <c r="E56" i="1"/>
  <c r="K56" i="1" s="1"/>
  <c r="E57" i="1"/>
  <c r="K57" i="1" s="1"/>
  <c r="E58" i="1"/>
  <c r="K58" i="1" s="1"/>
  <c r="E59" i="1"/>
  <c r="K59" i="1" s="1"/>
  <c r="E60" i="1"/>
  <c r="K60" i="1" s="1"/>
  <c r="E61" i="1"/>
  <c r="K61" i="1" s="1"/>
  <c r="E62" i="1"/>
  <c r="K62" i="1" s="1"/>
  <c r="E63" i="1"/>
  <c r="K63" i="1" s="1"/>
  <c r="E64" i="1"/>
  <c r="K64" i="1" s="1"/>
  <c r="E65" i="1"/>
  <c r="K65" i="1" s="1"/>
  <c r="E66" i="1"/>
  <c r="K66" i="1" s="1"/>
  <c r="E67" i="1"/>
  <c r="K67" i="1" s="1"/>
  <c r="E68" i="1"/>
  <c r="K68" i="1" s="1"/>
  <c r="E69" i="1"/>
  <c r="K69" i="1" s="1"/>
  <c r="E70" i="1"/>
  <c r="K70" i="1" s="1"/>
  <c r="E71" i="1"/>
  <c r="K71" i="1" s="1"/>
  <c r="E72" i="1"/>
  <c r="K72" i="1" s="1"/>
  <c r="E73" i="1"/>
  <c r="K73" i="1" s="1"/>
  <c r="E74" i="1"/>
  <c r="K74" i="1" s="1"/>
  <c r="E75" i="1"/>
  <c r="K75" i="1" s="1"/>
  <c r="E76" i="1"/>
  <c r="K76" i="1" s="1"/>
  <c r="E77" i="1"/>
  <c r="K77" i="1" s="1"/>
  <c r="E78" i="1"/>
  <c r="K78" i="1" s="1"/>
  <c r="E79" i="1"/>
  <c r="K79" i="1" s="1"/>
  <c r="E80" i="1"/>
  <c r="K80" i="1" s="1"/>
  <c r="E81" i="1"/>
  <c r="K81" i="1" s="1"/>
  <c r="E82" i="1"/>
  <c r="K82" i="1" s="1"/>
  <c r="E83" i="1"/>
  <c r="K83" i="1" s="1"/>
  <c r="E84" i="1"/>
  <c r="K84" i="1" s="1"/>
  <c r="E85" i="1"/>
  <c r="K85" i="1" s="1"/>
  <c r="E86" i="1"/>
  <c r="K86" i="1" s="1"/>
  <c r="E87" i="1"/>
  <c r="K87" i="1" s="1"/>
  <c r="E88" i="1"/>
  <c r="K88" i="1" s="1"/>
  <c r="E89" i="1"/>
  <c r="K89" i="1" s="1"/>
  <c r="E90" i="1"/>
  <c r="K90" i="1" s="1"/>
  <c r="E91" i="1"/>
  <c r="K91" i="1" s="1"/>
  <c r="E92" i="1"/>
  <c r="K92" i="1" s="1"/>
  <c r="E93" i="1"/>
  <c r="K93" i="1" s="1"/>
  <c r="E94" i="1"/>
  <c r="K94" i="1" s="1"/>
  <c r="E95" i="1"/>
  <c r="K95" i="1" s="1"/>
  <c r="E96" i="1"/>
  <c r="K96" i="1" s="1"/>
  <c r="E97" i="1"/>
  <c r="K97" i="1" s="1"/>
  <c r="E98" i="1"/>
  <c r="K98" i="1" s="1"/>
  <c r="E99" i="1"/>
  <c r="K99" i="1" s="1"/>
  <c r="E100" i="1"/>
  <c r="K100" i="1" s="1"/>
  <c r="E101" i="1"/>
  <c r="K101" i="1" s="1"/>
  <c r="E102" i="1"/>
  <c r="K102" i="1" s="1"/>
  <c r="E103" i="1"/>
  <c r="K103" i="1" s="1"/>
  <c r="E104" i="1"/>
  <c r="K104" i="1" s="1"/>
  <c r="E105" i="1"/>
  <c r="K105" i="1" s="1"/>
  <c r="E106" i="1"/>
  <c r="K106" i="1" s="1"/>
  <c r="E107" i="1"/>
  <c r="K107" i="1" s="1"/>
  <c r="E108" i="1"/>
  <c r="K108" i="1" s="1"/>
  <c r="E109" i="1"/>
  <c r="K109" i="1" s="1"/>
  <c r="E110" i="1"/>
  <c r="K110" i="1" s="1"/>
  <c r="E111" i="1"/>
  <c r="K111" i="1" s="1"/>
  <c r="E112" i="1"/>
  <c r="K112" i="1" s="1"/>
  <c r="E113" i="1"/>
  <c r="K113" i="1" s="1"/>
  <c r="E114" i="1"/>
  <c r="K114" i="1" s="1"/>
  <c r="E115" i="1"/>
  <c r="K115" i="1" s="1"/>
  <c r="E116" i="1"/>
  <c r="K116" i="1" s="1"/>
  <c r="E117" i="1"/>
  <c r="K117" i="1" s="1"/>
  <c r="E118" i="1"/>
  <c r="K118" i="1" s="1"/>
  <c r="E119" i="1"/>
  <c r="K119" i="1" s="1"/>
  <c r="E120" i="1"/>
  <c r="K120" i="1" s="1"/>
  <c r="E121" i="1"/>
  <c r="K121" i="1" s="1"/>
  <c r="E122" i="1"/>
  <c r="K122" i="1" s="1"/>
  <c r="E123" i="1"/>
  <c r="K123" i="1" s="1"/>
  <c r="E124" i="1"/>
  <c r="K124" i="1" s="1"/>
  <c r="E125" i="1"/>
  <c r="K125" i="1" s="1"/>
  <c r="E126" i="1"/>
  <c r="K126" i="1" s="1"/>
  <c r="E127" i="1"/>
  <c r="K127" i="1" s="1"/>
  <c r="E128" i="1"/>
  <c r="K128" i="1" s="1"/>
  <c r="E129" i="1"/>
  <c r="K129" i="1" s="1"/>
  <c r="E130" i="1"/>
  <c r="K130" i="1" s="1"/>
  <c r="E131" i="1"/>
  <c r="K131" i="1" s="1"/>
  <c r="E132" i="1"/>
  <c r="K132" i="1" s="1"/>
  <c r="E133" i="1"/>
  <c r="K133" i="1" s="1"/>
  <c r="E134" i="1"/>
  <c r="K134" i="1" s="1"/>
  <c r="E135" i="1"/>
  <c r="K135" i="1" s="1"/>
  <c r="E136" i="1"/>
  <c r="K136" i="1" s="1"/>
  <c r="E137" i="1"/>
  <c r="K137" i="1" s="1"/>
  <c r="E138" i="1"/>
  <c r="K138" i="1" s="1"/>
  <c r="E139" i="1"/>
  <c r="K139" i="1" s="1"/>
  <c r="E140" i="1"/>
  <c r="K140" i="1" s="1"/>
  <c r="E141" i="1"/>
  <c r="K141" i="1" s="1"/>
  <c r="E142" i="1"/>
  <c r="K142" i="1" s="1"/>
  <c r="E143" i="1"/>
  <c r="K143" i="1" s="1"/>
  <c r="E144" i="1"/>
  <c r="K144" i="1" s="1"/>
  <c r="E145" i="1"/>
  <c r="K145" i="1" s="1"/>
  <c r="E146" i="1"/>
  <c r="K146" i="1" s="1"/>
  <c r="E147" i="1"/>
  <c r="K147" i="1" s="1"/>
  <c r="E148" i="1"/>
  <c r="K148" i="1" s="1"/>
  <c r="E149" i="1"/>
  <c r="K149" i="1" s="1"/>
  <c r="E150" i="1"/>
  <c r="K150" i="1" s="1"/>
  <c r="E151" i="1"/>
  <c r="K151" i="1" s="1"/>
  <c r="E152" i="1"/>
  <c r="K152" i="1" s="1"/>
  <c r="E153" i="1"/>
  <c r="K153" i="1" s="1"/>
  <c r="E154" i="1"/>
  <c r="K154" i="1" s="1"/>
  <c r="E155" i="1"/>
  <c r="K155" i="1" s="1"/>
  <c r="E156" i="1"/>
  <c r="K156" i="1" s="1"/>
  <c r="E157" i="1"/>
  <c r="K157" i="1" s="1"/>
  <c r="E158" i="1"/>
  <c r="K158" i="1" s="1"/>
  <c r="E159" i="1"/>
  <c r="K159" i="1" s="1"/>
  <c r="E160" i="1"/>
  <c r="K160" i="1" s="1"/>
  <c r="E161" i="1"/>
  <c r="K161" i="1" s="1"/>
  <c r="E162" i="1"/>
  <c r="K162" i="1" s="1"/>
  <c r="E163" i="1"/>
  <c r="K163" i="1" s="1"/>
  <c r="E164" i="1"/>
  <c r="K164" i="1" s="1"/>
  <c r="E165" i="1"/>
  <c r="K165" i="1" s="1"/>
  <c r="E166" i="1"/>
  <c r="K166" i="1" s="1"/>
  <c r="E167" i="1"/>
  <c r="K167" i="1" s="1"/>
  <c r="E168" i="1"/>
  <c r="K168" i="1" s="1"/>
  <c r="E169" i="1"/>
  <c r="K169" i="1" s="1"/>
  <c r="E170" i="1"/>
  <c r="K170" i="1" s="1"/>
  <c r="E171" i="1"/>
  <c r="K171" i="1" s="1"/>
  <c r="E172" i="1"/>
  <c r="K172" i="1" s="1"/>
  <c r="E173" i="1"/>
  <c r="K173" i="1" s="1"/>
  <c r="E174" i="1"/>
  <c r="K174" i="1" s="1"/>
  <c r="E175" i="1"/>
  <c r="K175" i="1" s="1"/>
  <c r="E176" i="1"/>
  <c r="K176" i="1" s="1"/>
  <c r="E177" i="1"/>
  <c r="K177" i="1" s="1"/>
  <c r="E178" i="1"/>
  <c r="K178" i="1" s="1"/>
  <c r="E179" i="1"/>
  <c r="K179" i="1" s="1"/>
  <c r="E180" i="1"/>
  <c r="K180" i="1" s="1"/>
  <c r="E181" i="1"/>
  <c r="K181" i="1" s="1"/>
  <c r="E182" i="1"/>
  <c r="K182" i="1" s="1"/>
  <c r="E183" i="1"/>
  <c r="K183" i="1" s="1"/>
  <c r="E184" i="1"/>
  <c r="K184" i="1" s="1"/>
  <c r="E185" i="1"/>
  <c r="K185" i="1" s="1"/>
  <c r="E186" i="1"/>
  <c r="K186" i="1" s="1"/>
  <c r="E187" i="1"/>
  <c r="K187" i="1" s="1"/>
  <c r="E188" i="1"/>
  <c r="K188" i="1" s="1"/>
  <c r="E189" i="1"/>
  <c r="K189" i="1" s="1"/>
  <c r="E190" i="1"/>
  <c r="K190" i="1" s="1"/>
  <c r="E191" i="1"/>
  <c r="K191" i="1" s="1"/>
  <c r="E192" i="1"/>
  <c r="K192" i="1" s="1"/>
  <c r="E193" i="1"/>
  <c r="K193" i="1" s="1"/>
  <c r="E194" i="1"/>
  <c r="K194" i="1" s="1"/>
  <c r="E195" i="1"/>
  <c r="K195" i="1" s="1"/>
  <c r="E196" i="1"/>
  <c r="K196" i="1" s="1"/>
  <c r="E197" i="1"/>
  <c r="K197" i="1" s="1"/>
  <c r="E198" i="1"/>
  <c r="K198" i="1" s="1"/>
  <c r="E199" i="1"/>
  <c r="K199" i="1" s="1"/>
  <c r="E200" i="1"/>
  <c r="K200" i="1" s="1"/>
  <c r="E201" i="1"/>
  <c r="K201" i="1" s="1"/>
  <c r="E202" i="1"/>
  <c r="K202" i="1" s="1"/>
  <c r="E203" i="1"/>
  <c r="K203" i="1" s="1"/>
  <c r="E204" i="1"/>
  <c r="K204" i="1" s="1"/>
  <c r="E205" i="1"/>
  <c r="K205" i="1" s="1"/>
  <c r="E206" i="1"/>
  <c r="K206" i="1" s="1"/>
  <c r="E207" i="1"/>
  <c r="K207" i="1" s="1"/>
  <c r="E208" i="1"/>
  <c r="K208" i="1" s="1"/>
  <c r="E209" i="1"/>
  <c r="K209" i="1" s="1"/>
  <c r="E210" i="1"/>
  <c r="K210" i="1" s="1"/>
  <c r="E211" i="1"/>
  <c r="K211" i="1" s="1"/>
  <c r="E212" i="1"/>
  <c r="K212" i="1" s="1"/>
  <c r="E213" i="1"/>
  <c r="K213" i="1" s="1"/>
  <c r="E214" i="1"/>
  <c r="K214" i="1" s="1"/>
  <c r="E215" i="1"/>
  <c r="K215" i="1" s="1"/>
  <c r="E216" i="1"/>
  <c r="K216" i="1" s="1"/>
  <c r="E217" i="1"/>
  <c r="K217" i="1" s="1"/>
  <c r="E218" i="1"/>
  <c r="K218" i="1" s="1"/>
  <c r="E219" i="1"/>
  <c r="K219" i="1" s="1"/>
  <c r="E220" i="1"/>
  <c r="K220" i="1" s="1"/>
  <c r="E221" i="1"/>
  <c r="K221" i="1" s="1"/>
  <c r="E222" i="1"/>
  <c r="K222" i="1" s="1"/>
  <c r="E223" i="1"/>
  <c r="K223" i="1" s="1"/>
  <c r="E224" i="1"/>
  <c r="K224" i="1" s="1"/>
  <c r="E225" i="1"/>
  <c r="K225" i="1" s="1"/>
  <c r="E226" i="1"/>
  <c r="K226" i="1" s="1"/>
  <c r="E227" i="1"/>
  <c r="K227" i="1" s="1"/>
  <c r="E228" i="1"/>
  <c r="K228" i="1" s="1"/>
  <c r="E229" i="1"/>
  <c r="K229" i="1" s="1"/>
  <c r="E230" i="1"/>
  <c r="K230" i="1" s="1"/>
  <c r="E231" i="1"/>
  <c r="K231" i="1" s="1"/>
  <c r="E232" i="1"/>
  <c r="K232" i="1" s="1"/>
  <c r="E233" i="1"/>
  <c r="K233" i="1" s="1"/>
  <c r="E234" i="1"/>
  <c r="K234" i="1" s="1"/>
  <c r="E235" i="1"/>
  <c r="K235" i="1" s="1"/>
  <c r="E236" i="1"/>
  <c r="K236" i="1" s="1"/>
  <c r="E237" i="1"/>
  <c r="K237" i="1" s="1"/>
  <c r="E238" i="1"/>
  <c r="K238" i="1" s="1"/>
  <c r="E239" i="1"/>
  <c r="K239" i="1" s="1"/>
  <c r="E240" i="1"/>
  <c r="K240" i="1" s="1"/>
  <c r="E241" i="1"/>
  <c r="K241" i="1" s="1"/>
  <c r="E242" i="1"/>
  <c r="K242" i="1" s="1"/>
  <c r="E243" i="1"/>
  <c r="K243" i="1" s="1"/>
  <c r="E244" i="1"/>
  <c r="K244" i="1" s="1"/>
  <c r="E245" i="1"/>
  <c r="K245" i="1" s="1"/>
  <c r="E246" i="1"/>
  <c r="K246" i="1" s="1"/>
  <c r="E247" i="1"/>
  <c r="K247" i="1" s="1"/>
  <c r="E248" i="1"/>
  <c r="K248" i="1" s="1"/>
  <c r="E249" i="1"/>
  <c r="K249" i="1" s="1"/>
  <c r="E250" i="1"/>
  <c r="K250" i="1" s="1"/>
  <c r="E251" i="1"/>
  <c r="K251" i="1" s="1"/>
  <c r="E252" i="1"/>
  <c r="K252" i="1" s="1"/>
  <c r="E253" i="1"/>
  <c r="K253" i="1" s="1"/>
  <c r="E254" i="1"/>
  <c r="K254" i="1" s="1"/>
  <c r="E255" i="1"/>
  <c r="K255" i="1" s="1"/>
  <c r="E256" i="1"/>
  <c r="K256" i="1" s="1"/>
  <c r="E257" i="1"/>
  <c r="K257" i="1" s="1"/>
  <c r="E258" i="1"/>
  <c r="K258" i="1" s="1"/>
  <c r="E259" i="1"/>
  <c r="K259" i="1" s="1"/>
  <c r="E260" i="1"/>
  <c r="K260" i="1" s="1"/>
  <c r="E261" i="1"/>
  <c r="K261" i="1" s="1"/>
  <c r="E262" i="1"/>
  <c r="K262" i="1" s="1"/>
  <c r="E263" i="1"/>
  <c r="K263" i="1" s="1"/>
  <c r="E264" i="1"/>
  <c r="K264" i="1" s="1"/>
  <c r="E265" i="1"/>
  <c r="K265" i="1" s="1"/>
  <c r="E266" i="1"/>
  <c r="K266" i="1" s="1"/>
  <c r="E267" i="1"/>
  <c r="K267" i="1" s="1"/>
  <c r="E268" i="1"/>
  <c r="K268" i="1" s="1"/>
  <c r="E269" i="1"/>
  <c r="K269" i="1" s="1"/>
  <c r="E270" i="1"/>
  <c r="K270" i="1" s="1"/>
  <c r="E271" i="1"/>
  <c r="K271" i="1" s="1"/>
  <c r="E272" i="1"/>
  <c r="K272" i="1" s="1"/>
  <c r="E273" i="1"/>
  <c r="K273" i="1" s="1"/>
  <c r="E274" i="1"/>
  <c r="K274" i="1" s="1"/>
  <c r="E275" i="1"/>
  <c r="K275" i="1" s="1"/>
  <c r="E276" i="1"/>
  <c r="K276" i="1" s="1"/>
  <c r="E277" i="1"/>
  <c r="K277" i="1" s="1"/>
  <c r="E278" i="1"/>
  <c r="K278" i="1" s="1"/>
  <c r="E279" i="1"/>
  <c r="K279" i="1" s="1"/>
  <c r="E280" i="1"/>
  <c r="K280" i="1" s="1"/>
  <c r="E281" i="1"/>
  <c r="K281" i="1" s="1"/>
  <c r="E282" i="1"/>
  <c r="K282" i="1" s="1"/>
  <c r="E283" i="1"/>
  <c r="K283" i="1" s="1"/>
  <c r="E284" i="1"/>
  <c r="K284" i="1" s="1"/>
  <c r="E285" i="1"/>
  <c r="K285" i="1" s="1"/>
  <c r="E286" i="1"/>
  <c r="K286" i="1" s="1"/>
  <c r="E287" i="1"/>
  <c r="K287" i="1" s="1"/>
  <c r="E288" i="1"/>
  <c r="K288" i="1" s="1"/>
  <c r="E289" i="1"/>
  <c r="K289" i="1" s="1"/>
  <c r="E290" i="1"/>
  <c r="K290" i="1" s="1"/>
  <c r="E291" i="1"/>
  <c r="K291" i="1" s="1"/>
  <c r="E292" i="1"/>
  <c r="K292" i="1" s="1"/>
  <c r="E293" i="1"/>
  <c r="K293" i="1" s="1"/>
  <c r="E294" i="1"/>
  <c r="K294" i="1" s="1"/>
  <c r="E295" i="1"/>
  <c r="K295" i="1" s="1"/>
  <c r="E296" i="1"/>
  <c r="K296" i="1" s="1"/>
  <c r="E297" i="1"/>
  <c r="K297" i="1" s="1"/>
  <c r="E298" i="1"/>
  <c r="K298" i="1" s="1"/>
  <c r="E299" i="1"/>
  <c r="K299" i="1" s="1"/>
  <c r="E300" i="1"/>
  <c r="K300" i="1" s="1"/>
  <c r="E301" i="1"/>
  <c r="K301" i="1" s="1"/>
  <c r="E302" i="1"/>
  <c r="K302" i="1" s="1"/>
  <c r="E303" i="1"/>
  <c r="K303" i="1" s="1"/>
  <c r="E304" i="1"/>
  <c r="K304" i="1" s="1"/>
  <c r="E305" i="1"/>
  <c r="K305" i="1" s="1"/>
  <c r="E306" i="1"/>
  <c r="K306" i="1" s="1"/>
  <c r="E307" i="1"/>
  <c r="K307" i="1" s="1"/>
  <c r="E308" i="1"/>
  <c r="K308" i="1" s="1"/>
  <c r="E309" i="1"/>
  <c r="K309" i="1" s="1"/>
  <c r="E310" i="1"/>
  <c r="K310" i="1" s="1"/>
  <c r="E2" i="1"/>
  <c r="K2" i="1" s="1"/>
  <c r="G3" i="1"/>
  <c r="G4" i="1"/>
  <c r="G5" i="1"/>
  <c r="H5" i="1" s="1"/>
  <c r="G6" i="1"/>
  <c r="H6" i="1" s="1"/>
  <c r="G7" i="1"/>
  <c r="G8" i="1"/>
  <c r="H8" i="1" s="1"/>
  <c r="G9" i="1"/>
  <c r="G10" i="1"/>
  <c r="G11" i="1"/>
  <c r="G12" i="1"/>
  <c r="G13" i="1"/>
  <c r="G14" i="1"/>
  <c r="G15" i="1"/>
  <c r="H15" i="1" s="1"/>
  <c r="G16" i="1"/>
  <c r="H16" i="1" s="1"/>
  <c r="G17" i="1"/>
  <c r="G18" i="1"/>
  <c r="H18" i="1" s="1"/>
  <c r="G19" i="1"/>
  <c r="G20" i="1"/>
  <c r="G21" i="1"/>
  <c r="G22" i="1"/>
  <c r="G23" i="1"/>
  <c r="G24" i="1"/>
  <c r="G25" i="1"/>
  <c r="H25" i="1" s="1"/>
  <c r="G26" i="1"/>
  <c r="H26" i="1" s="1"/>
  <c r="G27" i="1"/>
  <c r="G28" i="1"/>
  <c r="H28" i="1" s="1"/>
  <c r="G29" i="1"/>
  <c r="G30" i="1"/>
  <c r="G31" i="1"/>
  <c r="G32" i="1"/>
  <c r="G33" i="1"/>
  <c r="G34" i="1"/>
  <c r="G35" i="1"/>
  <c r="H35" i="1" s="1"/>
  <c r="G36" i="1"/>
  <c r="G37" i="1"/>
  <c r="G38" i="1"/>
  <c r="G39" i="1"/>
  <c r="G40" i="1"/>
  <c r="G41" i="1"/>
  <c r="G42" i="1"/>
  <c r="G43" i="1"/>
  <c r="G44" i="1"/>
  <c r="G45" i="1"/>
  <c r="H45" i="1" s="1"/>
  <c r="G46" i="1"/>
  <c r="G47" i="1"/>
  <c r="G48" i="1"/>
  <c r="G49" i="1"/>
  <c r="G50" i="1"/>
  <c r="G51" i="1"/>
  <c r="G52" i="1"/>
  <c r="G53" i="1"/>
  <c r="G54" i="1"/>
  <c r="G55" i="1"/>
  <c r="H55" i="1" s="1"/>
  <c r="G56" i="1"/>
  <c r="G57" i="1"/>
  <c r="G58" i="1"/>
  <c r="G59" i="1"/>
  <c r="G60" i="1"/>
  <c r="G61" i="1"/>
  <c r="G62" i="1"/>
  <c r="G63" i="1"/>
  <c r="G64" i="1"/>
  <c r="G65" i="1"/>
  <c r="H65" i="1" s="1"/>
  <c r="G66" i="1"/>
  <c r="G67" i="1"/>
  <c r="G68" i="1"/>
  <c r="G69" i="1"/>
  <c r="G70" i="1"/>
  <c r="G71" i="1"/>
  <c r="G72" i="1"/>
  <c r="G73" i="1"/>
  <c r="G74" i="1"/>
  <c r="G75" i="1"/>
  <c r="H75" i="1" s="1"/>
  <c r="G76" i="1"/>
  <c r="G77" i="1"/>
  <c r="G78" i="1"/>
  <c r="G79" i="1"/>
  <c r="G80" i="1"/>
  <c r="G81" i="1"/>
  <c r="G82" i="1"/>
  <c r="G83" i="1"/>
  <c r="G84" i="1"/>
  <c r="G85" i="1"/>
  <c r="H85" i="1" s="1"/>
  <c r="G86" i="1"/>
  <c r="G87" i="1"/>
  <c r="G88" i="1"/>
  <c r="G89" i="1"/>
  <c r="G90" i="1"/>
  <c r="G91" i="1"/>
  <c r="G92" i="1"/>
  <c r="G93" i="1"/>
  <c r="G94" i="1"/>
  <c r="G95" i="1"/>
  <c r="H95" i="1" s="1"/>
  <c r="G96" i="1"/>
  <c r="G97" i="1"/>
  <c r="G98" i="1"/>
  <c r="G99" i="1"/>
  <c r="G100" i="1"/>
  <c r="G101" i="1"/>
  <c r="G102" i="1"/>
  <c r="G103" i="1"/>
  <c r="G104" i="1"/>
  <c r="G105" i="1"/>
  <c r="H105" i="1" s="1"/>
  <c r="G106" i="1"/>
  <c r="G107" i="1"/>
  <c r="G108" i="1"/>
  <c r="G109" i="1"/>
  <c r="G110" i="1"/>
  <c r="G111" i="1"/>
  <c r="G112" i="1"/>
  <c r="G113" i="1"/>
  <c r="G114" i="1"/>
  <c r="G115" i="1"/>
  <c r="H115" i="1" s="1"/>
  <c r="G116" i="1"/>
  <c r="G117" i="1"/>
  <c r="G118" i="1"/>
  <c r="G119" i="1"/>
  <c r="G120" i="1"/>
  <c r="G121" i="1"/>
  <c r="G122" i="1"/>
  <c r="G123" i="1"/>
  <c r="G124" i="1"/>
  <c r="G125" i="1"/>
  <c r="H125" i="1" s="1"/>
  <c r="G126" i="1"/>
  <c r="G127" i="1"/>
  <c r="G128" i="1"/>
  <c r="G129" i="1"/>
  <c r="G130" i="1"/>
  <c r="G131" i="1"/>
  <c r="G132" i="1"/>
  <c r="G133" i="1"/>
  <c r="G134" i="1"/>
  <c r="G135" i="1"/>
  <c r="H135" i="1" s="1"/>
  <c r="G136" i="1"/>
  <c r="G137" i="1"/>
  <c r="G138" i="1"/>
  <c r="G139" i="1"/>
  <c r="G140" i="1"/>
  <c r="G141" i="1"/>
  <c r="G142" i="1"/>
  <c r="G143" i="1"/>
  <c r="G144" i="1"/>
  <c r="G145" i="1"/>
  <c r="H145" i="1" s="1"/>
  <c r="G146" i="1"/>
  <c r="G147" i="1"/>
  <c r="G148" i="1"/>
  <c r="G149" i="1"/>
  <c r="G150" i="1"/>
  <c r="G151" i="1"/>
  <c r="G152" i="1"/>
  <c r="G153" i="1"/>
  <c r="G154" i="1"/>
  <c r="G155" i="1"/>
  <c r="H155" i="1" s="1"/>
  <c r="G156" i="1"/>
  <c r="G157" i="1"/>
  <c r="G158" i="1"/>
  <c r="G159" i="1"/>
  <c r="G160" i="1"/>
  <c r="G161" i="1"/>
  <c r="G162" i="1"/>
  <c r="G163" i="1"/>
  <c r="G164" i="1"/>
  <c r="G165" i="1"/>
  <c r="H165" i="1" s="1"/>
  <c r="G166" i="1"/>
  <c r="G167" i="1"/>
  <c r="G168" i="1"/>
  <c r="G169" i="1"/>
  <c r="G170" i="1"/>
  <c r="G171" i="1"/>
  <c r="G172" i="1"/>
  <c r="G173" i="1"/>
  <c r="G174" i="1"/>
  <c r="G175" i="1"/>
  <c r="H175" i="1" s="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2" i="1"/>
  <c r="H185" i="1" l="1"/>
  <c r="H195" i="1"/>
  <c r="H47" i="1"/>
  <c r="H27" i="1"/>
  <c r="H17" i="1"/>
  <c r="H7" i="1"/>
  <c r="H96" i="1"/>
  <c r="H86" i="1"/>
  <c r="H76" i="1"/>
  <c r="H66" i="1"/>
  <c r="H22" i="1"/>
  <c r="H12" i="1"/>
  <c r="H63" i="1"/>
  <c r="H33" i="1"/>
  <c r="H23" i="1"/>
  <c r="H141" i="1"/>
  <c r="H131" i="1"/>
  <c r="H121" i="1"/>
  <c r="H111" i="1"/>
  <c r="H101" i="1"/>
  <c r="H81" i="1"/>
  <c r="H61" i="1"/>
  <c r="H41" i="1"/>
  <c r="H11" i="1"/>
  <c r="H91" i="1"/>
  <c r="H51" i="1"/>
  <c r="H31" i="1"/>
  <c r="H21" i="1"/>
  <c r="H53" i="1"/>
  <c r="H13" i="1"/>
  <c r="H3" i="1"/>
  <c r="H142" i="1"/>
  <c r="H122" i="1"/>
  <c r="H112" i="1"/>
  <c r="H102" i="1"/>
  <c r="H92" i="1"/>
  <c r="H82" i="1"/>
  <c r="H72" i="1"/>
  <c r="H62" i="1"/>
  <c r="H52" i="1"/>
  <c r="H42" i="1"/>
  <c r="H32" i="1"/>
  <c r="H132" i="1"/>
  <c r="H113" i="1"/>
  <c r="H103" i="1"/>
  <c r="H93" i="1"/>
  <c r="H83" i="1"/>
  <c r="H73" i="1"/>
  <c r="H56" i="1"/>
  <c r="H161" i="1"/>
  <c r="H79" i="1"/>
  <c r="H69" i="1"/>
  <c r="H59" i="1"/>
  <c r="H49" i="1"/>
  <c r="H39" i="1"/>
  <c r="H29" i="1"/>
  <c r="H19" i="1"/>
  <c r="H9" i="1"/>
  <c r="H144" i="1"/>
  <c r="H94" i="1"/>
  <c r="H74" i="1"/>
  <c r="H44" i="1"/>
  <c r="H134" i="1"/>
  <c r="H114" i="1"/>
  <c r="H14" i="1"/>
  <c r="H164" i="1"/>
  <c r="H84" i="1"/>
  <c r="H64" i="1"/>
  <c r="H54" i="1"/>
  <c r="H34" i="1"/>
  <c r="H24" i="1"/>
  <c r="H4" i="1"/>
  <c r="H154" i="1"/>
  <c r="H124" i="1"/>
  <c r="H104" i="1"/>
  <c r="H143" i="1"/>
  <c r="H133" i="1"/>
  <c r="H123" i="1"/>
  <c r="H202" i="1"/>
  <c r="H192" i="1"/>
  <c r="H182" i="1"/>
  <c r="H172" i="1"/>
  <c r="H162" i="1"/>
  <c r="H174" i="1"/>
  <c r="H224" i="1"/>
  <c r="H214" i="1"/>
  <c r="H204" i="1"/>
  <c r="H194" i="1"/>
  <c r="H184" i="1"/>
  <c r="H274" i="1"/>
  <c r="H231" i="1"/>
  <c r="H221" i="1"/>
  <c r="H211" i="1"/>
  <c r="H201" i="1"/>
  <c r="H191" i="1"/>
  <c r="H181" i="1"/>
  <c r="H171" i="1"/>
  <c r="H284" i="1"/>
  <c r="H254" i="1"/>
  <c r="H234" i="1"/>
  <c r="H157" i="1"/>
  <c r="H137" i="1"/>
  <c r="H107" i="1"/>
  <c r="H77" i="1"/>
  <c r="H57" i="1"/>
  <c r="H304" i="1"/>
  <c r="H294" i="1"/>
  <c r="H264" i="1"/>
  <c r="H244" i="1"/>
  <c r="H147" i="1"/>
  <c r="H127" i="1"/>
  <c r="H117" i="1"/>
  <c r="H87" i="1"/>
  <c r="H67" i="1"/>
  <c r="H183" i="1"/>
  <c r="H272" i="1"/>
  <c r="H232" i="1"/>
  <c r="H213" i="1"/>
  <c r="H173" i="1"/>
  <c r="H203" i="1"/>
  <c r="H153" i="1"/>
  <c r="H262" i="1"/>
  <c r="H139" i="1"/>
  <c r="H119" i="1"/>
  <c r="H109" i="1"/>
  <c r="H282" i="1"/>
  <c r="H252" i="1"/>
  <c r="H242" i="1"/>
  <c r="H193" i="1"/>
  <c r="H163" i="1"/>
  <c r="H149" i="1"/>
  <c r="H129" i="1"/>
  <c r="H89" i="1"/>
  <c r="H243" i="1"/>
  <c r="H200" i="1"/>
  <c r="H180" i="1"/>
  <c r="H150" i="1"/>
  <c r="H130" i="1"/>
  <c r="H110" i="1"/>
  <c r="H90" i="1"/>
  <c r="H60" i="1"/>
  <c r="H50" i="1"/>
  <c r="H40" i="1"/>
  <c r="H30" i="1"/>
  <c r="H10" i="1"/>
  <c r="H199" i="1"/>
  <c r="H179" i="1"/>
  <c r="H190" i="1"/>
  <c r="H170" i="1"/>
  <c r="H160" i="1"/>
  <c r="H140" i="1"/>
  <c r="H120" i="1"/>
  <c r="H100" i="1"/>
  <c r="H80" i="1"/>
  <c r="H70" i="1"/>
  <c r="H20" i="1"/>
  <c r="H263" i="1"/>
  <c r="H233" i="1"/>
  <c r="H253" i="1"/>
  <c r="H223" i="1"/>
  <c r="H189" i="1"/>
  <c r="H169" i="1"/>
  <c r="H295" i="1"/>
  <c r="H285" i="1"/>
  <c r="H275" i="1"/>
  <c r="H265" i="1"/>
  <c r="H255" i="1"/>
  <c r="H245" i="1"/>
  <c r="H235" i="1"/>
  <c r="H225" i="1"/>
  <c r="H215" i="1"/>
  <c r="H205" i="1"/>
  <c r="H302" i="1"/>
  <c r="H209" i="1"/>
  <c r="H292" i="1"/>
  <c r="H229" i="1"/>
  <c r="H219" i="1"/>
  <c r="H148" i="1"/>
  <c r="H138" i="1"/>
  <c r="H128" i="1"/>
  <c r="H118" i="1"/>
  <c r="H108" i="1"/>
  <c r="H88" i="1"/>
  <c r="H78" i="1"/>
  <c r="H68" i="1"/>
  <c r="H58" i="1"/>
  <c r="H48" i="1"/>
  <c r="H38" i="1"/>
  <c r="H222" i="1"/>
  <c r="H212" i="1"/>
  <c r="H159" i="1"/>
  <c r="H152" i="1"/>
  <c r="H151" i="1"/>
  <c r="H99" i="1"/>
  <c r="H98" i="1"/>
  <c r="H97" i="1"/>
  <c r="H71" i="1"/>
  <c r="H46" i="1"/>
  <c r="H43" i="1"/>
  <c r="H37" i="1"/>
  <c r="H36" i="1"/>
  <c r="H303" i="1"/>
  <c r="H293" i="1"/>
  <c r="H283" i="1"/>
  <c r="H273" i="1"/>
  <c r="H310" i="1"/>
  <c r="H300" i="1"/>
  <c r="H290" i="1"/>
  <c r="H280" i="1"/>
  <c r="H270" i="1"/>
  <c r="H260" i="1"/>
  <c r="H250" i="1"/>
  <c r="H240" i="1"/>
  <c r="H230" i="1"/>
  <c r="H220" i="1"/>
  <c r="H210" i="1"/>
  <c r="H307" i="1"/>
  <c r="H297" i="1"/>
  <c r="H287" i="1"/>
  <c r="H277" i="1"/>
  <c r="H267" i="1"/>
  <c r="H257" i="1"/>
  <c r="H247" i="1"/>
  <c r="H237" i="1"/>
  <c r="H227" i="1"/>
  <c r="H217" i="1"/>
  <c r="H207" i="1"/>
  <c r="H197" i="1"/>
  <c r="H187" i="1"/>
  <c r="H177" i="1"/>
  <c r="H167" i="1"/>
  <c r="H301" i="1"/>
  <c r="H291" i="1"/>
  <c r="H281" i="1"/>
  <c r="H271" i="1"/>
  <c r="H261" i="1"/>
  <c r="H241" i="1"/>
  <c r="H308" i="1"/>
  <c r="H298" i="1"/>
  <c r="H288" i="1"/>
  <c r="H278" i="1"/>
  <c r="H268" i="1"/>
  <c r="H258" i="1"/>
  <c r="H248" i="1"/>
  <c r="H238" i="1"/>
  <c r="H228" i="1"/>
  <c r="H218" i="1"/>
  <c r="H208" i="1"/>
  <c r="H198" i="1"/>
  <c r="H188" i="1"/>
  <c r="H178" i="1"/>
  <c r="H168" i="1"/>
  <c r="H158" i="1"/>
  <c r="H309" i="1"/>
  <c r="H299" i="1"/>
  <c r="H289" i="1"/>
  <c r="H279" i="1"/>
  <c r="H269" i="1"/>
  <c r="H259" i="1"/>
  <c r="H249" i="1"/>
  <c r="H239" i="1"/>
  <c r="H306" i="1"/>
  <c r="H296" i="1"/>
  <c r="H286" i="1"/>
  <c r="H276" i="1"/>
  <c r="H266" i="1"/>
  <c r="H256" i="1"/>
  <c r="H246" i="1"/>
  <c r="H236" i="1"/>
  <c r="H226" i="1"/>
  <c r="H216" i="1"/>
  <c r="H206" i="1"/>
  <c r="H196" i="1"/>
  <c r="H186" i="1"/>
  <c r="H176" i="1"/>
  <c r="H166" i="1"/>
  <c r="H156" i="1"/>
  <c r="H146" i="1"/>
  <c r="H136" i="1"/>
  <c r="H126" i="1"/>
  <c r="H116" i="1"/>
  <c r="H106" i="1"/>
  <c r="H305" i="1"/>
  <c r="H251" i="1"/>
  <c r="H2" i="1"/>
</calcChain>
</file>

<file path=xl/sharedStrings.xml><?xml version="1.0" encoding="utf-8"?>
<sst xmlns="http://schemas.openxmlformats.org/spreadsheetml/2006/main" count="7987" uniqueCount="5510">
  <si>
    <t>audio_file</t>
  </si>
  <si>
    <t>id</t>
  </si>
  <si>
    <t>site</t>
  </si>
  <si>
    <t>whisper_transcript</t>
  </si>
  <si>
    <t>human_level</t>
  </si>
  <si>
    <t>iss</t>
  </si>
  <si>
    <t>green_essential</t>
  </si>
  <si>
    <t>human_page</t>
  </si>
  <si>
    <t>Emergency_Identifier</t>
  </si>
  <si>
    <t>gpt_moi_category</t>
  </si>
  <si>
    <t>gpt_moi_reasoning</t>
  </si>
  <si>
    <t>num_patients_gpt</t>
  </si>
  <si>
    <t>exclusion_criteria</t>
  </si>
  <si>
    <t>gpt_entity_age</t>
  </si>
  <si>
    <t>gpt_entity_heart_rate</t>
  </si>
  <si>
    <t>gpt_entity_blood_pressure</t>
  </si>
  <si>
    <t>gpt_entity_respiratory_rate</t>
  </si>
  <si>
    <t>gpt_entity_gcs</t>
  </si>
  <si>
    <t>gpt_entity_mental_status</t>
  </si>
  <si>
    <t>gpt_entity_mechanism_of_injury</t>
  </si>
  <si>
    <t>gpt_redacted_transcript_age</t>
  </si>
  <si>
    <t>gpt_redacted_transcript_heart_rate</t>
  </si>
  <si>
    <t>gpt_redacted_transcript_blood_pressure</t>
  </si>
  <si>
    <t>gpt_redacted_transcript_respiratory_rate</t>
  </si>
  <si>
    <t>gpt_redacted_transcript_gcs</t>
  </si>
  <si>
    <t>gpt_redacted_transcript_mental_status</t>
  </si>
  <si>
    <t>gpt_redacted_transcript_mechanism_of_injury</t>
  </si>
  <si>
    <t>gpt4o_hybrid_redacted_level_age</t>
  </si>
  <si>
    <t>gpt4o_hybrid_redacted_level_heart_rate</t>
  </si>
  <si>
    <t>gpt4o_hybrid_redacted_level_blood_pressure</t>
  </si>
  <si>
    <t>gpt4o_hybrid_redacted_level_respiratory_rate</t>
  </si>
  <si>
    <t>gpt4o_hybrid_redacted_level_gcs</t>
  </si>
  <si>
    <t>gpt4o_hybrid_redacted_level_mental_status</t>
  </si>
  <si>
    <t>gpt4o_hybrid_redacted_level_mechanism_of_injury</t>
  </si>
  <si>
    <t>iss_level</t>
  </si>
  <si>
    <t>rch</t>
  </si>
  <si>
    <t>University. Hey, UAH, it's Cleveland 36. Hey, what do you got? I got a 13-year-old pedestrian struck male. He did have some head trauma, unknown if he's LOC. He's pretty upset, so it's hard to get any info. Looks like some deformity to the right lower leg. He's got some linear right leg pain with some abrasion. Blood pressure is 134 over 76, heart rate 100. The rest of his are 18. He's 98% under a mirror. And we're going to be there probably in about five to six. Okay. How fast is the car going by chance? Maybe like 25, 30, unsure. We're not really able to get much information from everybody on scene. Okay, no worries. I have a lot of PDFs. I don't know. All right, thank you so much. No problem. Bye. Bye.</t>
  </si>
  <si>
    <t>I got a 13-year-old pedestrian struck male. Blood pressure is 134 over 76, heart rate 100. The rest of his are 18. He's 98% under a mirror. Okay. How fast is the car going by chance? Maybe like 25, 30, unsure</t>
  </si>
  <si>
    <t>Pedestrian struck by vehicle</t>
  </si>
  <si>
    <t>The transcript mentions a 13-year-old pedestrian struck by a vehicle.</t>
  </si>
  <si>
    <t>include</t>
  </si>
  <si>
    <t>['13-year-old']</t>
  </si>
  <si>
    <t>['heart rate 100']</t>
  </si>
  <si>
    <t>['Blood pressure is 134 over 76']</t>
  </si>
  <si>
    <t>[]</t>
  </si>
  <si>
    <t>["He's pretty upset"]</t>
  </si>
  <si>
    <t>['pedestrian struck', 'head trauma', 'deformity to the right lower leg', 'linear right leg pain with some abrasion', 'car going by chance? Maybe like 25, 30']</t>
  </si>
  <si>
    <t>University. Hey, UAH, it's Cleveland 36. Hey, what do you got? I got a 13-year-old pedestrian struck male. He did have some head trauma, unknown if he's LOC. He's pretty upset, so it's hard to get any info. Looks like some deformity to the right lower leg. He's got some linear right leg pain with some abrasion. Blood pressure is 134 over 76, [REDACTED]. The rest of his are 18. He's 98% under a mirror. And we're going to be there probably in about five to six. Okay. How fast is the car going by chance? Maybe like 25, 30, unsure. We're not really able to get much information from everybody on scene. Okay, no worries. I have a lot of PDFs. I don't know. All right, thank you so much. No problem. Bye. Bye.</t>
  </si>
  <si>
    <t>University. Hey, UAH, it's Cleveland 36. Hey, what do you got? I got a 13-year-old pedestrian struck male. He did have some head trauma, unknown if he's LOC. He's pretty upset, so it's hard to get any info. Looks like some deformity to the right lower leg. He's got some linear right leg pain with some abrasion. [REDACTED], heart rate 100. The rest of his are 18. He's 98% under a mirror. And we're going to be there probably in about five to six. Okay. How fast is the car going by chance? Maybe like 25, 30, unsure. We're not really able to get much information from everybody on scene. Okay, no worries. I have a lot of PDFs. I don't know. All right, thank you so much. No problem. Bye. Bye.</t>
  </si>
  <si>
    <t>University. Hey, UAH, it's Cleveland 36. Hey, what do you got? I got a 13-year-old pedestrian struck male. He did have some head trauma, unknown if he's LOC. [REDACTED], so it's hard to get any info. Looks like some deformity to the right lower leg. He's got some linear right leg pain with some abrasion. Blood pressure is 134 over 76, heart rate 100. The rest of his are 18. He's 98% under a mirror. And we're going to be there probably in about five to six. Okay. How fast is the car going by chance? Maybe like 25, 30, unsure. We're not really able to get much information from everybody on scene. Okay, no worries. I have a lot of PDFs. I don't know. All right, thank you so much. No problem. Bye. Bye.</t>
  </si>
  <si>
    <t>University. Hey, UAH, it's Cleveland 36. Hey, what do you got? I got a 13-year-old [REDACTED] male. He did have some [REDACTED], unknown if he's LOC. He's pretty upset, so it's hard to get any info. Looks like some [REDACTED]. He's got some [REDACTED]. Blood pressure is 134 over 76, heart rate 100. The rest of his are 18. He's 98% under a mirror. And we're going to be there probably in about five to six. Okay. How fast is the [REDACTED], unsure. We're not really able to get much information from everybody on scene. Okay, no worries. I have a lot of PDFs. I don't know. All right, thank you so much. No problem. Bye. Bye.</t>
  </si>
  <si>
    <t>Hello, CUH. Hi, UH. This is the Shaker Heights Fire Department. What you got? We're coming in with a 16-year-old male. He was a driver of a car at a high rate of speed, struck a pole. We have severe front-end damage to the automobile. We have airbag deployments. He was ambulatory and in police custody when we arrived on scene. He's still handcuffed at this time. Hospital stolen vehicle. He's oriented appropriate following commands. Unknown loss of consciousness. But right now his mental status is intact. He's only complaining of right knee discomfort. He's got some bleeding around his mouth. There was no pain or discomfort of his head, neck, and back. We have him immobilized with a cervical collar, position of comfort on the stretcher. Vital signs are all normal. I have a heart rate of 100, adding 98%. Normal respiratory rate and quality. Blood pressure was 128 over 70. Denying any significant medical history. Trauma exam. There's no significant findings other than the bleeding around the mouth and that right knee pain. Okay. Yeah, he's 16 years old. So do you want him adult? If there was no passenger intrusion, if he's going to be a rainbows and lemonades. Okay. All right. So there was no intrusion, right? There was no intrusion. Okay. But it's severe and at high rate of speed. Yeah, they'll make it a... Okay, they'll make it one. How far out? We're about 10 minutes. All right. Thank you. See you then. Thank you. Bye-bye.</t>
  </si>
  <si>
    <t>16-year-old male. He was a driver of a car at a high rate of speed, struck a pole. We have severe front-end damage to the automobile. We have airbag deployments. He was ambulatory and in police custody when we arrived on scene. Unknown loss of consciousness. But right now his mental status is intact. He's only complaining of right knee discomfort. He's got some bleeding around his mouth. There was no pain or discomfort of his head, neck, and back. We have him immobilized with a cervical collar, position of comfort on the stretcher. Vital signs are all normal. I have a heart rate of 100, adding 98%. Normal respiratory rate and quality. Blood pressure was 128 over 70.How far out? We're about 10 minutes</t>
  </si>
  <si>
    <t>High-speed MVC with pole</t>
  </si>
  <si>
    <t>The transcript describes a 16-year-old male who was driving a car at a high rate of speed and struck a pole, resulting in severe front-end damage and airbag deployment.</t>
  </si>
  <si>
    <t>['16-year-old male', "he's 16 years old"]</t>
  </si>
  <si>
    <t>['heart rate of 100']</t>
  </si>
  <si>
    <t>['Blood pressure was 128 over 70']</t>
  </si>
  <si>
    <t>["He's oriented appropriate following commands", 'right now his mental status is intact']</t>
  </si>
  <si>
    <t>['driver of a car at a high rate of speed, struck a pole', 'severe front-end damage to the automobile', 'airbag deployments']</t>
  </si>
  <si>
    <t>Hello, CUH. Hi, UH. This is the Shaker Heights Fire Department. What you got? We're coming in with a [REDACTED]. He was a driver of a car at a high rate of speed, struck a pole. We have severe front-end damage to the automobile. We have airbag deployments. He was ambulatory and in police custody when we arrived on scene. He's still handcuffed at this time. Hospital stolen vehicle. He's oriented appropriate following commands. Unknown loss of consciousness. But right now his mental status is intact. He's only complaining of right knee discomfort. He's got some bleeding around his mouth. There was no pain or discomfort of his head, neck, and back. We have him immobilized with a cervical collar, position of comfort on the stretcher. Vital signs are all normal. I have a heart rate of 100, adding 98%. Normal respiratory rate and quality. Blood pressure was 128 over 70. Denying any significant medical history. Trauma exam. There's no significant findings other than the bleeding around the mouth and that right knee pain. Okay. Yeah, [REDACTED]. So do you want him adult? If there was no passenger intrusion, if he's going to be a rainbows and lemonades. Okay. All right. So there was no intrusion, right? There was no intrusion. Okay. But it's severe and at high rate of speed. Yeah, they'll make it a... Okay, they'll make it one. How far out? We're about 10 minutes. All right. Thank you. See you then. Thank you. Bye-bye.</t>
  </si>
  <si>
    <t>Hello, CUH. Hi, UH. This is the Shaker Heights Fire Department. What you got? We're coming in with a 16-year-old male. He was a driver of a car at a high rate of speed, struck a pole. We have severe front-end damage to the automobile. We have airbag deployments. He was ambulatory and in police custody when we arrived on scene. He's still handcuffed at this time. Hospital stolen vehicle. He's oriented appropriate following commands. Unknown loss of consciousness. But right now his mental status is intact. He's only complaining of right knee discomfort. He's got some bleeding around his mouth. There was no pain or discomfort of his head, neck, and back. We have him immobilized with a cervical collar, position of comfort on the stretcher. Vital signs are all normal. I have a [REDACTED], adding 98%. Normal respiratory rate and quality. Blood pressure was 128 over 70. Denying any significant medical history. Trauma exam. There's no significant findings other than the bleeding around the mouth and that right knee pain. Okay. Yeah, he's 16 years old. So do you want him adult? If there was no passenger intrusion, if he's going to be a rainbows and lemonades. Okay. All right. So there was no intrusion, right? There was no intrusion. Okay. But it's severe and at high rate of speed. Yeah, they'll make it a... Okay, they'll make it one. How far out? We're about 10 minutes. All right. Thank you. See you then. Thank you. Bye-bye.</t>
  </si>
  <si>
    <t>Hello, CUH. Hi, UH. This is the Shaker Heights Fire Department. What you got? We're coming in with a 16-year-old male. He was a driver of a car at a high rate of speed, struck a pole. We have severe front-end damage to the automobile. We have airbag deployments. He was ambulatory and in police custody when we arrived on scene. He's still handcuffed at this time. Hospital stolen vehicle. He's oriented appropriate following commands. Unknown loss of consciousness. But right now his mental status is intact. He's only complaining of right knee discomfort. He's got some bleeding around his mouth. There was no pain or discomfort of his head, neck, and back. We have him immobilized with a cervical collar, position of comfort on the stretcher. Vital signs are all normal. I have a heart rate of 100, adding 98%. Normal respiratory rate and quality. [REDACTED]. Denying any significant medical history. Trauma exam. There's no significant findings other than the bleeding around the mouth and that right knee pain. Okay. Yeah, he's 16 years old. So do you want him adult? If there was no passenger intrusion, if he's going to be a rainbows and lemonades. Okay. All right. So there was no intrusion, right? There was no intrusion. Okay. But it's severe and at high rate of speed. Yeah, they'll make it a... Okay, they'll make it one. How far out? We're about 10 minutes. All right. Thank you. See you then. Thank you. Bye-bye.</t>
  </si>
  <si>
    <t>Hello, CUH. Hi, UH. This is the Shaker Heights Fire Department. What you got? We're coming in with a 16-year-old male. He was a driver of a car at a high rate of speed, struck a pole. We have severe front-end damage to the automobile. We have airbag deployments. He was ambulatory and in police custody when we arrived on scene. He's still handcuffed at this time. Hospital stolen vehicle. [REDACTED]. Unknown loss of consciousness. But [REDACTED]. He's only complaining of right knee discomfort. He's got some bleeding around his mouth. There was no pain or discomfort of his head, neck, and back. We have him immobilized with a cervical collar, position of comfort on the stretcher. Vital signs are all normal. I have a heart rate of 100, adding 98%. Normal respiratory rate and quality. Blood pressure was 128 over 70. Denying any significant medical history. Trauma exam. There's no significant findings other than the bleeding around the mouth and that right knee pain. Okay. Yeah, he's 16 years old. So do you want him adult? If there was no passenger intrusion, if he's going to be a rainbows and lemonades. Okay. All right. So there was no intrusion, right? There was no intrusion. Okay. But it's severe and at high rate of speed. Yeah, they'll make it a... Okay, they'll make it one. How far out? We're about 10 minutes. All right. Thank you. See you then. Thank you. Bye-bye.</t>
  </si>
  <si>
    <t>Hello, CUH. Hi, UH. This is the Shaker Heights Fire Department. What you got? We're coming in with a 16-year-old male. He was a [REDACTED]. We have [REDACTED]. We have [REDACTED]. He was ambulatory and in police custody when we arrived on scene. He's still handcuffed at this time. Hospital stolen vehicle. He's oriented appropriate following commands. Unknown loss of consciousness. But right now his mental status is intact. He's only complaining of right knee discomfort. He's got some bleeding around his mouth. There was no pain or discomfort of his head, neck, and back. We have him immobilized with a cervical collar, position of comfort on the stretcher. Vital signs are all normal. I have a heart rate of 100, adding 98%. Normal respiratory rate and quality. Blood pressure was 128 over 70. Denying any significant medical history. Trauma exam. There's no significant findings other than the bleeding around the mouth and that right knee pain. Okay. Yeah, he's 16 years old. So do you want him adult? If there was no passenger intrusion, if he's going to be a rainbows and lemonades. Okay. All right. So there was no intrusion, right? There was no intrusion. Okay. But it's severe and at high rate of speed. Yeah, they'll make it a... Okay, they'll make it one. How far out? We're about 10 minutes. All right. Thank you. See you then. Thank you. Bye-bye.</t>
  </si>
  <si>
    <t>QH Danny. Hey, I'm 36. Hey. I have a 15-year-old female. She had a fall while playing basketball. Since the fall, she hasn't been responding. She'll, like, open and close her eyes and blink and, like, kind of, like, look at her and everything, but she hasn't been responding or saying anything. We do have her C-collar. Her vitals are 143 over 88, 18 respires, 97% on remanent, and a heart rate of 78. Well, did she fall and hit her head? Yeah, they said she fell and hit her head pretty hard on the floor. It's just like, you know, like a traditional wooden basketball floor. Yeah. What's her GCS for you guys? Well, she's not responding, like, to a – you know, I got to look at the numbers here. I mean, I guess if I do it according to – I guess it will be a 10. How about a 10? Okay. Yeah. I mean, she's not saying anything to us at all. She's just opening her eyes. Okay. And then, like, she's, like, squeezing her mother's hand, and she's actually squeezing her hand and stuff. Did she have positive LOC, I'm assuming? Yeah, that's what they said pretty much. Yeah. Okay. All righty. How far are you out? Maybe, like, 10. 10. And you said how long ago was it that she had fell? They said – when we got there, they said, like, they were on the phone, so, like, for a while, so, like, 15 minutes, like, when we got there. Oh, okay. So probably, like, 5 o'clock or something like that, maybe? Yeah, yeah. Okay, gotcha. All right. Okay. We'll see you soon. All right. Okay, bye. Bye. Bye.</t>
  </si>
  <si>
    <t>15-year-old female. She had a fall while playing basketball. Since the fall, she hasn't been responding. She'll, like, open and close her eyes and blink and, like, kind of, like, look at her and everything, but she hasn't been responding or saying anything. vitals are 143 over 88, 18 respires, 97% on remanent, and a heart rate of 78. What's her GCS for you guys? I guess it will be a 10. How about a 10?</t>
  </si>
  <si>
    <t>Fall while playing basketball</t>
  </si>
  <si>
    <t>The transcript describes a 15-year-old female who fell and hit her head while playing basketball.</t>
  </si>
  <si>
    <t>['15-year-old female']</t>
  </si>
  <si>
    <t>['heart rate of 78']</t>
  </si>
  <si>
    <t>['143 over 88']</t>
  </si>
  <si>
    <t>['18 respires']</t>
  </si>
  <si>
    <t>['fall while playing basketball', 'she fell and hit her head pretty hard on the floor', 'traditional wooden basketball floor']</t>
  </si>
  <si>
    <t>QH Danny. Hey, I'm 36. Hey. I have a [REDACTED]. She had a fall while playing basketball. Since the fall, she hasn't been responding. She'll, like, open and close her eyes and blink and, like, kind of, like, look at her and everything, but she hasn't been responding or saying anything. We do have her C-collar. Her vitals are 143 over 88, 18 respires, 97% on remanent, and a heart rate of 78. Well, did she fall and hit her head? Yeah, they said she fell and hit her head pretty hard on the floor. It's just like, you know, like a traditional wooden basketball floor. Yeah. What's her GCS for you guys? Well, she's not responding, like, to a – you know, I got to look at the numbers here. I mean, I guess if I do it according to – I guess it will be a 10. How about a 10? Okay. Yeah. I mean, she's not saying anything to us at all. She's just opening her eyes. Okay. And then, like, she's, like, squeezing her mother's hand, and she's actually squeezing her hand and stuff. Did she have positive LOC, I'm assuming? Yeah, that's what they said pretty much. Yeah. Okay. All righty. How far are you out? Maybe, like, 10. 10. And you said how long ago was it that she had fell? They said – when we got there, they said, like, they were on the phone, so, like, for a while, so, like, 15 minutes, like, when we got there. Oh, okay. So probably, like, 5 o'clock or something like that, maybe? Yeah, yeah. Okay, gotcha. All right. Okay. We'll see you soon. All right. Okay, bye. Bye. Bye.</t>
  </si>
  <si>
    <t>QH Danny. Hey, I'm 36. Hey. I have a 15-year-old female. She had a fall while playing basketball. Since the fall, she hasn't been responding. She'll, like, open and close her eyes and blink and, like, kind of, like, look at her and everything, but she hasn't been responding or saying anything. We do have her C-collar. Her vitals are 143 over 88, 18 respires, 97% on remanent, and a [REDACTED]. Well, did she fall and hit her head? Yeah, they said she fell and hit her head pretty hard on the floor. It's just like, you know, like a traditional wooden basketball floor. Yeah. What's her GCS for you guys? Well, she's not responding, like, to a – you know, I got to look at the numbers here. I mean, I guess if I do it according to – I guess it will be a 10. How about a 10? Okay. Yeah. I mean, she's not saying anything to us at all. She's just opening her eyes. Okay. And then, like, she's, like, squeezing her mother's hand, and she's actually squeezing her hand and stuff. Did she have positive LOC, I'm assuming? Yeah, that's what they said pretty much. Yeah. Okay. All righty. How far are you out? Maybe, like, 10. 10. And you said how long ago was it that she had fell? They said – when we got there, they said, like, they were on the phone, so, like, for a while, so, like, 15 minutes, like, when we got there. Oh, okay. So probably, like, 5 o'clock or something like that, maybe? Yeah, yeah. Okay, gotcha. All right. Okay. We'll see you soon. All right. Okay, bye. Bye. Bye.</t>
  </si>
  <si>
    <t>QH Danny. Hey, I'm 36. Hey. I have a 15-year-old female. She had a fall while playing basketball. Since the fall, she hasn't been responding. She'll, like, open and close her eyes and blink and, like, kind of, like, look at her and everything, but she hasn't been responding or saying anything. We do have her C-collar. Her vitals are [REDACTED], 18 respires, 97% on remanent, and a heart rate of 78. Well, did she fall and hit her head? Yeah, they said she fell and hit her head pretty hard on the floor. It's just like, you know, like a traditional wooden basketball floor. Yeah. What's her GCS for you guys? Well, she's not responding, like, to a – you know, I got to look at the numbers here. I mean, I guess if I do it according to – I guess it will be a 10. How about a 10? Okay. Yeah. I mean, she's not saying anything to us at all. She's just opening her eyes. Okay. And then, like, she's, like, squeezing her mother's hand, and she's actually squeezing her hand and stuff. Did she have positive LOC, I'm assuming? Yeah, that's what they said pretty much. Yeah. Okay. All righty. How far are you out? Maybe, like, 10. 10. And you said how long ago was it that she had fell? They said – when we got there, they said, like, they were on the phone, so, like, for a while, so, like, 15 minutes, like, when we got there. Oh, okay. So probably, like, 5 o'clock or something like that, maybe? Yeah, yeah. Okay, gotcha. All right. Okay. We'll see you soon. All right. Okay, bye. Bye. Bye.</t>
  </si>
  <si>
    <t>QH Danny. Hey, I'm 36. Hey. I have a 15-year-old female. She had a fall while playing basketball. Since the fall, she hasn't been responding. She'll, like, open and close her eyes and blink and, like, kind of, like, look at her and everything, but she hasn't been responding or saying anything. We do have her C-collar. Her vitals are 143 over 88, [REDACTED], 97% on remanent, and a heart rate of 78. Well, did she fall and hit her head? Yeah, they said she fell and hit her head pretty hard on the floor. It's just like, you know, like a traditional wooden basketball floor. Yeah. What's her GCS for you guys? Well, she's not responding, like, to a – you know, I got to look at the numbers here. I mean, I guess if I do it according to – I guess it will be a 10. How about a 10? Okay. Yeah. I mean, she's not saying anything to us at all. She's just opening her eyes. Okay. And then, like, she's, like, squeezing her mother's hand, and she's actually squeezing her hand and stuff. Did she have positive LOC, I'm assuming? Yeah, that's what they said pretty much. Yeah. Okay. All righty. How far are you out? Maybe, like, 10. 10. And you said how long ago was it that she had fell? They said – when we got there, they said, like, they were on the phone, so, like, for a while, so, like, 15 minutes, like, when we got there. Oh, okay. So probably, like, 5 o'clock or something like that, maybe? Yeah, yeah. Okay, gotcha. All right. Okay. We'll see you soon. All right. Okay, bye. Bye. Bye.</t>
  </si>
  <si>
    <t>QH Danny. Hey, I'm 36. Hey. I have a 15-year-old female. She had a [REDACTED]. Since the fall, she hasn't been responding. She'll, like, open and close her eyes and blink and, like, kind of, like, look at her and everything, but she hasn't been responding or saying anything. We do have her C-collar. Her vitals are 143 over 88, 18 respires, 97% on remanent, and a heart rate of 78. Well, did she fall and hit her head? Yeah, they said [REDACTED]. It's just like, you know, like a [REDACTED]. Yeah. What's her GCS for you guys? Well, she's not responding, like, to a – you know, I got to look at the numbers here. I mean, I guess if I do it according to – I guess it will be a 10. How about a 10? Okay. Yeah. I mean, she's not saying anything to us at all. She's just opening her eyes. Okay. And then, like, she's, like, squeezing her mother's hand, and she's actually squeezing her hand and stuff. Did she have positive LOC, I'm assuming? Yeah, that's what they said pretty much. Yeah. Okay. All righty. How far are you out? Maybe, like, 10. 10. And you said how long ago was it that she had fell? They said – when we got there, they said, like, they were on the phone, so, like, for a while, so, like, 15 minutes, like, when we got there. Oh, okay. So probably, like, 5 o'clock or something like that, maybe? Yeah, yeah. Okay, gotcha. All right. Okay. We'll see you soon. All right. Okay, bye. Bye. Bye.</t>
  </si>
  <si>
    <t>Hey, it's Cleveland 41. Hey. We have a 15 female coming to you. She has two GSWs to the right hip, also a graze to the front of the abdomen, a foliar-oriented, blood pressure is 144 over 74, 104 heart rate, 24 respirations. She's 99 a room air. We are about seven, eight minutes out. All right. I'll let them know you're coming. All right. Thank you. Bye. Bye.</t>
  </si>
  <si>
    <t>15 female coming to you. She has two GSWs to the right hip, also a graze to the front of the abdomen, a foliar-oriented, blood pressure is 144 over 74, 104 heart rate, 24 respirations. She's 99 a room air. We are about seven, eight minutes out.</t>
  </si>
  <si>
    <t>GSW to right hip</t>
  </si>
  <si>
    <t>The transcript mentions two gunshot wounds (GSWs) to the right hip.</t>
  </si>
  <si>
    <t>['15 female']</t>
  </si>
  <si>
    <t>['104 heart rate']</t>
  </si>
  <si>
    <t>['blood pressure is 144 over 74']</t>
  </si>
  <si>
    <t>['24 respirations']</t>
  </si>
  <si>
    <t>['two GSWs to the right hip', 'a graze to the front of the abdomen']</t>
  </si>
  <si>
    <t>Hey, it's Cleveland 41. Hey. We have a [REDACTED] coming to you. She has two GSWs to the right hip, also a graze to the front of the abdomen, a foliar-oriented, blood pressure is 144 over 74, 104 heart rate, 24 respirations. She's 99 a room air. We are about seven, eight minutes out. All right. I'll let them know you're coming. All right. Thank you. Bye. Bye.</t>
  </si>
  <si>
    <t>Hey, it's Cleveland 41. Hey. We have a 15 female coming to you. She has two GSWs to the right hip, also a graze to the front of the abdomen, a foliar-oriented, blood pressure is 144 over 74, [REDACTED], 24 respirations. She's 99 a room air. We are about seven, eight minutes out. All right. I'll let them know you're coming. All right. Thank you. Bye. Bye.</t>
  </si>
  <si>
    <t>Hey, it's Cleveland 41. Hey. We have a 15 female coming to you. She has two GSWs to the right hip, also a graze to the front of the abdomen, a foliar-oriented, [REDACTED], 104 heart rate, 24 respirations. She's 99 a room air. We are about seven, eight minutes out. All right. I'll let them know you're coming. All right. Thank you. Bye. Bye.</t>
  </si>
  <si>
    <t>Hey, it's Cleveland 41. Hey. We have a 15 female coming to you. She has two GSWs to the right hip, also a graze to the front of the abdomen, a foliar-oriented, blood pressure is 144 over 74, 104 heart rate, [REDACTED]. She's 99 a room air. We are about seven, eight minutes out. All right. I'll let them know you're coming. All right. Thank you. Bye. Bye.</t>
  </si>
  <si>
    <t>Hey, it's Cleveland 41. Hey. We have a 15 female coming to you. She has [REDACTED], also [REDACTED], a foliar-oriented, blood pressure is 144 over 74, 104 heart rate, 24 respirations. She's 99 a room air. We are about seven, eight minutes out. All right. I'll let them know you're coming. All right. Thank you. Bye. Bye.</t>
  </si>
  <si>
    <t>You raised Cleveland. Hey, this is Cleveland 7 en route 15-year-old male, GSW to the left eye, vital signs, blood pressure 150, 90, heart rate 56, signs on the monitor, we have an 18 in place. You're cutting out. We're going to be there in three, GSW to the eye, 15-year-old GSW to the eye, be there in three. Eye? Eye, like on the face. Eye, okay. Left eye. Thank you. Yep.</t>
  </si>
  <si>
    <t>15-year-old male, GSW to the left eye, vital signs, blood pressure 150, 90, heart rate 56, signs on the monitor</t>
  </si>
  <si>
    <t>GSW to the left eye</t>
  </si>
  <si>
    <t>The transcript repeatedly mentions a gunshot wound (GSW) to the left eye.</t>
  </si>
  <si>
    <t>['15-year-old male', '15-year-old']</t>
  </si>
  <si>
    <t>['heart rate 56']</t>
  </si>
  <si>
    <t>['blood pressure 150, 90']</t>
  </si>
  <si>
    <t>['GSW to the left eye', 'GSW to the eye', 'GSW to the eye']</t>
  </si>
  <si>
    <t>You raised Cleveland. Hey, this is Cleveland 7 en route [REDACTED], GSW to the left eye, vital signs, blood pressure 150, 90, heart rate 56, signs on the monitor, we have an 18 in place. You're cutting out. We're going to be there in three, GSW to the eye, [REDACTED] GSW to the eye, be there in three. Eye? Eye, like on the face. Eye, okay. Left eye. Thank you. Yep.</t>
  </si>
  <si>
    <t>You raised Cleveland. Hey, this is Cleveland 7 en route 15-year-old male, GSW to the left eye, vital signs, blood pressure 150, 90, [REDACTED], signs on the monitor, we have an 18 in place. You're cutting out. We're going to be there in three, GSW to the eye, 15-year-old GSW to the eye, be there in three. Eye? Eye, like on the face. Eye, okay. Left eye. Thank you. Yep.</t>
  </si>
  <si>
    <t>You raised Cleveland. Hey, this is Cleveland 7 en route 15-year-old male, GSW to the left eye, vital signs, [REDACTED], heart rate 56, signs on the monitor, we have an 18 in place. You're cutting out. We're going to be there in three, GSW to the eye, 15-year-old GSW to the eye, be there in three. Eye? Eye, like on the face. Eye, okay. Left eye. Thank you. Yep.</t>
  </si>
  <si>
    <t>You raised Cleveland. Hey, this is Cleveland 7 en route 15-year-old male, [REDACTED], vital signs, blood pressure 150, 90, heart rate 56, signs on the monitor, we have an 18 in place. You're cutting out. We're going to be there in three, [REDACTED], 15-year-old [REDACTED], be there in three. Eye? Eye, like on the face. Eye, okay. Left eye. Thank you. Yep.</t>
  </si>
  <si>
    <t>He weighed... Hey, Cleveland Heights 241. Call for a patient report. What do you got? I got a one-year-old female. Parents said that the baby actually fell off the couch and bumped its head. We got to see if the baby was kind of unconscious, lethargic, severe lethargic. Baby is aroused by papal stimuli. Does have a bruise on her head. Right now, respirations are 30 respirations per minute. Heart rate is 149. Blood pressure is 141 over 86. We're assisting some ventilations because we kind of lose the tracks on the ventilations with her. Really? We're assisting her ventilations at this current time. We're going to try to start her in line here. So she's still lethargic and out of it? Yeah, she's pretty lethargic. Okay. Some kind of head trauma. Okay. How far out? Okay. Yeah. About five? Hello? Yeah. I'd say about five to seven minutes. All right. I'll let them know. Thank you. All right. Thank you. Thank you.</t>
  </si>
  <si>
    <t>one-year-old female. Parents said that the baby actually fell off the couch and bumped its head. We got to see if the baby was kind of unconscious, lethargic, severe lethargic. Baby is aroused by papal stimuli. Does have a bruise on her head. Right now, respirations are 30 respirations per minute. Heart rate is 149. Blood pressure is 141 over 86. We're assisting some ventilations because we kind of lose the tracks on the ventilations with her.  How far out? About five? Hello? Yeah. I'd say about five to seven minutes</t>
  </si>
  <si>
    <t>Fall off the couch</t>
  </si>
  <si>
    <t>The report states the baby fell off the couch and bumped its head, leading to lethargy and head trauma.</t>
  </si>
  <si>
    <t>['one-year-old female']</t>
  </si>
  <si>
    <t>['Heart rate is 149']</t>
  </si>
  <si>
    <t>['Blood pressure is 141 over 86']</t>
  </si>
  <si>
    <t>['respirations are 30 respirations per minute']</t>
  </si>
  <si>
    <t>He weighed... Hey, Cleveland Heights 241. Call for a patient report. What do you got? I got a one-year-old female. Parents said that the baby actually fell off the couch and bumped its head. We got to see if the baby was kind of unconscious, lethargic, severe lethargic. Baby is aroused by papal stimuli. Does have a bruise on her head. Right now, respirations are 30 respirations per minute. [REDACTED]. Blood pressure is 141 over 86. We're assisting some ventilations because we kind of lose the tracks on the ventilations with her. Really? We're assisting her ventilations at this current time. We're going to try to start her in line here. So she's still lethargic and out of it? Yeah, she's pretty lethargic. Okay. Some kind of head trauma. Okay. How far out? Okay. Yeah. About five? Hello? Yeah. I'd say about five to seven minutes. All right. I'll let them know. Thank you. All right. Thank you. Thank you.</t>
  </si>
  <si>
    <t>He weighed... Hey, Cleveland Heights 241. Call for a patient report. What do you got? I got a one-year-old female. Parents said that the baby actually fell off the couch and bumped its head. We got to see if the baby was kind of unconscious, lethargic, severe lethargic. Baby is aroused by papal stimuli. Does have a bruise on her head. Right now, respirations are 30 respirations per minute. Heart rate is 149. [REDACTED]. We're assisting some ventilations because we kind of lose the tracks on the ventilations with her. Really? We're assisting her ventilations at this current time. We're going to try to start her in line here. So she's still lethargic and out of it? Yeah, she's pretty lethargic. Okay. Some kind of head trauma. Okay. How far out? Okay. Yeah. About five? Hello? Yeah. I'd say about five to seven minutes. All right. I'll let them know. Thank you. All right. Thank you. Thank you.</t>
  </si>
  <si>
    <t>He weighed... Hey, Cleveland Heights 241. Call for a patient report. What do you got? I got a one-year-old female. Parents said that the baby actually fell off the couch and bumped its head. We got to see if the baby was kind of unconscious, lethargic, severe lethargic. Baby is aroused by papal stimuli. Does have a bruise on her head. Right now, [REDACTED]. Heart rate is 149. Blood pressure is 141 over 86. We're assisting some ventilations because we kind of lose the tracks on the ventilations with her. Really? We're assisting her ventilations at this current time. We're going to try to start her in line here. So she's still lethargic and out of it? Yeah, she's pretty lethargic. Okay. Some kind of head trauma. Okay. How far out? Okay. Yeah. About five? Hello? Yeah. I'd say about five to seven minutes. All right. I'll let them know. Thank you. All right. Thank you. Thank you.</t>
  </si>
  <si>
    <t>Hi UH, this is Euclid SWAT 1342. We have a trauma alert. We have a 17 year old driver and a 6 year old passenger who was struck on the highway, ricocheted off another car and slammed right into a guard rail. The only complaint is from the 17 year old, complaints of left wrist pain and left leg pain. The 6 year old girl has no complaints, doesn't seem to be injured. She should be there in about 10 minutes. Was there an intrusion to the car? There was about a 6 inch intrusion with airbag deployment. Okay. You said there was an intrusion? Yes. Okay. About 65 miles an hour on the freeway. 65 and they were both restrained? One was. Was she restrained? Did she have a seat belt on? Both seemed like they had their seat belts on. Okay. Is the 17 a male or a female? 17 year old male, 6 year old female. Okay. Was the 6 year old in the back or in the front? Back. In the back. Okay. Yeah, you got it. Okay. All right. How far are you out? About 10 minutes. All righty. See you soon. Yep. Okay. Bye. Bye. Bye.</t>
  </si>
  <si>
    <t>L2, 6 y/o, Vitals(BP, HR, RR), GCS: , MOI (MVC with 6-inch intrusion, airbag deployment, restrained), ETA: 10 minutes</t>
  </si>
  <si>
    <t>Vehicle collision with guard rail</t>
  </si>
  <si>
    <t>The transcript describes a vehicle being struck, ricocheting off another car, and slamming into a guard rail.</t>
  </si>
  <si>
    <t>exclude</t>
  </si>
  <si>
    <t>['17 year old driver', '6 year old passenger', '17 year old male', '6 year old female']</t>
  </si>
  <si>
    <t>Hi UH, this is Euclid SWAT 1342. We have a trauma alert. We have a [REDACTED] and a [REDACTED] who was struck on the highway, ricocheted off another car and slammed right into a guard rail. The only complaint is from the 17 year old, complaints of left wrist pain and left leg pain. The 6 year old girl has no complaints, doesn't seem to be injured. She should be there in about 10 minutes. Was there an intrusion to the car? There was about a 6 inch intrusion with airbag deployment. Okay. You said there was an intrusion? Yes. Okay. About 65 miles an hour on the freeway. 65 and they were both restrained? One was. Was she restrained? Did she have a seat belt on? Both seemed like they had their seat belts on. Okay. Is the 17 a male or a female? [REDACTED], [REDACTED]. Okay. Was the 6 year old in the back or in the front? Back. In the back. Okay. Yeah, you got it. Okay. All right. How far are you out? About 10 minutes. All righty. See you soon. Yep. Okay. Bye. Bye. Bye.</t>
  </si>
  <si>
    <t>Hi UH, this is University Hive Squad 1141. We are in route to your location with a 13 year old female that was struck by a vehicle. She got hit, significant damage to the front of the vehicle, flew over the vehicle probably a good 20 feet away from where she was struck. Currently only complaint of neck, back and hip pain. Does have some abrasions on her left side and chest. No other visible decay at BTOS. We do have an IV established. Vitals are blood pressure of 147 over 59. SpO2 is 98 on room wear with a heart rate of 82. ET at your facility is approximately 6 minutes. Okay, you said she's 13, correct? Correct. And do they, does the person know how fast they were going when they hit her? What was that? Do they know how fast they were going when they hit her? No. No, like I said, the patient flew about 20 feet and went over the vehicle. Okay, is she alert and oriented? The road there is a 35. Oh, gotcha. Is she alert and oriented? Yes. Okay. Yeah, no loss of consciousness. She remembers everything. Okay. I said only complaint at this point is pain. Okay, she'll still be a trauma, so you guys go to the trauma room when she gets here. Copy. Alright, see you soon. Bye. Thank you.</t>
  </si>
  <si>
    <t>13 year old female that was struck by a vehicle. She got hit, significant damage to the front of the vehicle, flew over the vehicle probably a good 20 feet away from where she was struck. Currently only complaint of neck, back and hip pain. Does have some abrasions on her left side and chest.Vitals are blood pressure of 147 over 59. SpO2 is 98 on room wear with a heart rate of 82. ET at your facility is approximately 6 minutes.</t>
  </si>
  <si>
    <t>Struck by a vehicle</t>
  </si>
  <si>
    <t>The transcript clearly states that the 13-year-old female was struck by a vehicle.</t>
  </si>
  <si>
    <t>['13 year old female', "she's 13"]</t>
  </si>
  <si>
    <t>['heart rate of 82']</t>
  </si>
  <si>
    <t>['blood pressure of 147 over 59']</t>
  </si>
  <si>
    <t>Hi UH, this is University Hive Squad 1141. We are in route to your location with a [REDACTED] that was struck by a vehicle. She got hit, significant damage to the front of the vehicle, flew over the vehicle probably a good 20 feet away from where she was struck. Currently only complaint of neck, back and hip pain. Does have some abrasions on her left side and chest. No other visible decay at BTOS. We do have an IV established. Vitals are blood pressure of 147 over 59. SpO2 is 98 on room wear with a heart rate of 82. ET at your facility is approximately 6 minutes. Okay, you said [REDACTED], correct? Correct. And do they, does the person know how fast they were going when they hit her? What was that? Do they know how fast they were going when they hit her? No. No, like I said, the patient flew about 20 feet and went over the vehicle. Okay, is she alert and oriented? The road there is a 35. Oh, gotcha. Is she alert and oriented? Yes. Okay. Yeah, no loss of consciousness. She remembers everything. Okay. I said only complaint at this point is pain. Okay, she'll still be a trauma, so you guys go to the trauma room when she gets here. Copy. Alright, see you soon. Bye. Thank you.</t>
  </si>
  <si>
    <t>Hi UH, this is University Hive Squad 1141. We are in route to your location with a 13 year old female that was struck by a vehicle. She got hit, significant damage to the front of the vehicle, flew over the vehicle probably a good 20 feet away from where she was struck. Currently only complaint of neck, back and hip pain. Does have some abrasions on her left side and chest. No other visible decay at BTOS. We do have an IV established. Vitals are blood pressure of 147 over 59. SpO2 is 98 on room wear with a [REDACTED]. ET at your facility is approximately 6 minutes. Okay, you said she's 13, correct? Correct. And do they, does the person know how fast they were going when they hit her? What was that? Do they know how fast they were going when they hit her? No. No, like I said, the patient flew about 20 feet and went over the vehicle. Okay, is she alert and oriented? The road there is a 35. Oh, gotcha. Is she alert and oriented? Yes. Okay. Yeah, no loss of consciousness. She remembers everything. Okay. I said only complaint at this point is pain. Okay, she'll still be a trauma, so you guys go to the trauma room when she gets here. Copy. Alright, see you soon. Bye. Thank you.</t>
  </si>
  <si>
    <t>Hi UH, this is University Hive Squad 1141. We are in route to your location with a 13 year old female that was struck by a vehicle. She got hit, significant damage to the front of the vehicle, flew over the vehicle probably a good 20 feet away from where she was struck. Currently only complaint of neck, back and hip pain. Does have some abrasions on her left side and chest. No other visible decay at BTOS. We do have an IV established. Vitals are [REDACTED]. SpO2 is 98 on room wear with a heart rate of 82. ET at your facility is approximately 6 minutes. Okay, you said she's 13, correct? Correct. And do they, does the person know how fast they were going when they hit her? What was that? Do they know how fast they were going when they hit her? No. No, like I said, the patient flew about 20 feet and went over the vehicle. Okay, is she alert and oriented? The road there is a 35. Oh, gotcha. Is she alert and oriented? Yes. Okay. Yeah, no loss of consciousness. She remembers everything. Okay. I said only complaint at this point is pain. Okay, she'll still be a trauma, so you guys go to the trauma room when she gets here. Copy. Alright, see you soon. Bye. Thank you.</t>
  </si>
  <si>
    <t>UH is the day. Hey, Cleveland Medec 31. All right. Cleveland Medec 31. Yep. We're coming to you guys with a 16-mile Evolving NVA. He was unrestrained passenger in the back. He did hit his head, no LOC. He's just got some, like, a cut to his lip. So he is tacky, about 120s to 130s. Blood pressure is 105 over 72. He's got a C collar on him. And we're leaving in 30 seconds. So how much damage was done to this car? It's minor to moderate, no signs of intrusion. We're just going to IV in, put him on a C collar. So this is going to be a PEDS trauma, just to let you know. Okay. All right. So what's the EPA? Give us about two minutes. We're right at 105 in Chester. Okay. Yeah. Okay. 45-year-old.</t>
  </si>
  <si>
    <t>16-mile Evolving NVA. He was unrestrained passenger in the back. He did hit his head, no LOC. He's just got some, like, a cut to his lip. So he is tacky, about 120s to 130s. Blood pressure is 105 over 72. So what's the EPA? Give us about two minutes</t>
  </si>
  <si>
    <t>NVA (Motor Vehicle Accident)</t>
  </si>
  <si>
    <t>The transcript mentions an "Evolving NVA" and describes the patient as an unrestrained passenger in the back who hit his head.</t>
  </si>
  <si>
    <t>['tacky, about 120s to 130s']</t>
  </si>
  <si>
    <t>['Blood pressure is 105 over 72']</t>
  </si>
  <si>
    <t>UH is the day. Hey, Cleveland Medec 31. All right. Cleveland Medec 31. Yep. We're coming to you guys with a 16-mile Evolving NVA. He was unrestrained passenger in the back. He did hit his head, no LOC. He's just got some, like, a cut to his lip. So he is [REDACTED]. Blood pressure is 105 over 72. He's got a C collar on him. And we're leaving in 30 seconds. So how much damage was done to this car? It's minor to moderate, no signs of intrusion. We're just going to IV in, put him on a C collar. So this is going to be a PEDS trauma, just to let you know. Okay. All right. So what's the EPA? Give us about two minutes. We're right at 105 in Chester. Okay. Yeah. Okay. 45-year-old.</t>
  </si>
  <si>
    <t>UH is the day. Hey, Cleveland Medec 31. All right. Cleveland Medec 31. Yep. We're coming to you guys with a 16-mile Evolving NVA. He was unrestrained passenger in the back. He did hit his head, no LOC. He's just got some, like, a cut to his lip. So he is tacky, about 120s to 130s. [REDACTED]. He's got a C collar on him. And we're leaving in 30 seconds. So how much damage was done to this car? It's minor to moderate, no signs of intrusion. We're just going to IV in, put him on a C collar. So this is going to be a PEDS trauma, just to let you know. Okay. All right. So what's the EPA? Give us about two minutes. We're right at 105 in Chester. Okay. Yeah. Okay. 45-year-old.</t>
  </si>
  <si>
    <t>U-H, Dani. Hey, Dani. It's Cleveland 13. Hello. Bringing you guys up. Pediatric trauma. Okay. We have a 10-year-old male, pedestrian struck. Vehicle said they were going about 30 miles an hour, braked, and then struck the 10-year-old. Positive LOC, no obvious injuries or trauma that we can see, just abrasion of the extremities. Vitals are all fine at this time. Pressure is 100 over 74. Heart rate is 104, sinus pack on the monitor. Three weeks just sinus pack, and respires are 20. He's 100% on room air. We'll be there in like eight minutes. Eight minutes. Okay, bye. Bye.</t>
  </si>
  <si>
    <t>L2, 10 y/o, Vitals(100/74, 104, 20), GCS: , MOI (pedestrian struck by vehicle at 30 mph), ETA: 8 minutes</t>
  </si>
  <si>
    <t>10-year-old male, pedestrian struck. Vehicle said they were going about 30 miles an hour, braked, and then struck the 10-year-old. Positive LOC, no obvious injuries or trauma that we can see, just abrasion of the extremities. Vitals are all fine at this time. Pressure is 100 over 74. Heart rate is 104, sinus pack on the monitor.respires are 20. He's 100% on room air. We'll be there in like eight minutes.</t>
  </si>
  <si>
    <t>The transcript states the patient is a "10-year-old male, pedestrian struck" by a vehicle.</t>
  </si>
  <si>
    <t>['Heart rate is 104']</t>
  </si>
  <si>
    <t>['Pressure is 100 over 74']</t>
  </si>
  <si>
    <t>['respires are 20']</t>
  </si>
  <si>
    <t>['Positive LOC']</t>
  </si>
  <si>
    <t>['pedestrian struck', 'Vehicle said they were going about 30 miles an hour, braked, and then struck the 10-year-old']</t>
  </si>
  <si>
    <t>U-H, Dani. Hey, Dani. It's Cleveland 13. Hello. Bringing you guys up. Pediatric trauma. Okay. We have a 10-year-old male, pedestrian struck. Vehicle said they were going about 30 miles an hour, braked, and then struck the 10-year-old. Positive LOC, no obvious injuries or trauma that we can see, just abrasion of the extremities. Vitals are all fine at this time. Pressure is 100 over 74. [REDACTED], sinus pack on the monitor. Three weeks just sinus pack, and respires are 20. He's 100% on room air. We'll be there in like eight minutes. Eight minutes. Okay, bye. Bye.</t>
  </si>
  <si>
    <t>U-H, Dani. Hey, Dani. It's Cleveland 13. Hello. Bringing you guys up. Pediatric trauma. Okay. We have a 10-year-old male, pedestrian struck. Vehicle said they were going about 30 miles an hour, braked, and then struck the 10-year-old. Positive LOC, no obvious injuries or trauma that we can see, just abrasion of the extremities. Vitals are all fine at this time. [REDACTED]. Heart rate is 104, sinus pack on the monitor. Three weeks just sinus pack, and respires are 20. He's 100% on room air. We'll be there in like eight minutes. Eight minutes. Okay, bye. Bye.</t>
  </si>
  <si>
    <t>U-H, Dani. Hey, Dani. It's Cleveland 13. Hello. Bringing you guys up. Pediatric trauma. Okay. We have a 10-year-old male, pedestrian struck. Vehicle said they were going about 30 miles an hour, braked, and then struck the 10-year-old. Positive LOC, no obvious injuries or trauma that we can see, just abrasion of the extremities. Vitals are all fine at this time. Pressure is 100 over 74. Heart rate is 104, sinus pack on the monitor. Three weeks just sinus pack, and [REDACTED]. He's 100% on room air. We'll be there in like eight minutes. Eight minutes. Okay, bye. Bye.</t>
  </si>
  <si>
    <t>U-H, Dani. Hey, Dani. It's Cleveland 13. Hello. Bringing you guys up. Pediatric trauma. Okay. We have a 10-year-old male, pedestrian struck. Vehicle said they were going about 30 miles an hour, braked, and then struck the 10-year-old. [REDACTED], no obvious injuries or trauma that we can see, just abrasion of the extremities. Vitals are all fine at this time. Pressure is 100 over 74. Heart rate is 104, sinus pack on the monitor. Three weeks just sinus pack, and respires are 20. He's 100% on room air. We'll be there in like eight minutes. Eight minutes. Okay, bye. Bye.</t>
  </si>
  <si>
    <t>U-H, Dani. Hey, Dani. It's Cleveland 13. Hello. Bringing you guys up. Pediatric trauma. Okay. We have a 10-year-old male, [REDACTED]. [REDACTED]. Positive LOC, no obvious injuries or trauma that we can see, just abrasion of the extremities. Vitals are all fine at this time. Pressure is 100 over 74. Heart rate is 104, sinus pack on the monitor. Three weeks just sinus pack, and respires are 20. He's 100% on room air. We'll be there in like eight minutes. Eight minutes. Okay, bye. Bye.</t>
  </si>
  <si>
    <t>UH? UH, within 40. Go ahead. I got a 13 female, GSW to the head. 13 female? 1-3, 13. GSW to the head? Agonal respiration, unresponsive. Can't get a blood pressure on her. Heart rate's in the 40s. ETA? ETA. About 10 minutes. 10 minutes? Yeah. All right, thanks. Thank you.</t>
  </si>
  <si>
    <t>L1, 13 y/o, Vitals(BP: unable to obtain, HR: 40s, RR: agonal), GCS: unresponsive, MOI (GSW to the head), ETA: 10 minutes</t>
  </si>
  <si>
    <t>13 female, GSW to the head. 13 female? 1-3, 13. GSW to the head? Agonal respiration, unresponsive. Can't get a blood pressure on her. Heart rate's in the 40s.  ETA. About 10 minutes</t>
  </si>
  <si>
    <t>GSW to the head</t>
  </si>
  <si>
    <t>The transcript clearly states "GSW to the head" for a 13-year-old female.</t>
  </si>
  <si>
    <t>['13 female', '1-3, 13']</t>
  </si>
  <si>
    <t>["Heart rate's in the 40s"]</t>
  </si>
  <si>
    <t>["Can't get a blood pressure on her"]</t>
  </si>
  <si>
    <t>['Agonal respiration']</t>
  </si>
  <si>
    <t>['unresponsive']</t>
  </si>
  <si>
    <t>['GSW to the head']</t>
  </si>
  <si>
    <t>UH? UH, within 40. Go ahead. I got a [REDACTED], GSW to the head. [REDACTED]? [REDACTED]. GSW to the head? Agonal respiration, unresponsive. Can't get a blood pressure on her. Heart rate's in the 40s. ETA? ETA. About 10 minutes. 10 minutes? Yeah. All right, thanks. Thank you.</t>
  </si>
  <si>
    <t>UH? UH, within 40. Go ahead. I got a 13 female, GSW to the head. 13 female? 1-3, 13. GSW to the head? Agonal respiration, unresponsive. Can't get a blood pressure on her. [REDACTED]. ETA? ETA. About 10 minutes. 10 minutes? Yeah. All right, thanks. Thank you.</t>
  </si>
  <si>
    <t>UH? UH, within 40. Go ahead. I got a 13 female, GSW to the head. 13 female? 1-3, 13. GSW to the head? Agonal respiration, unresponsive. [REDACTED]. Heart rate's in the 40s. ETA? ETA. About 10 minutes. 10 minutes? Yeah. All right, thanks. Thank you.</t>
  </si>
  <si>
    <t>UH? UH, within 40. Go ahead. I got a 13 female, GSW to the head. 13 female? 1-3, 13. GSW to the head? [REDACTED], unresponsive. Can't get a blood pressure on her. Heart rate's in the 40s. ETA? ETA. About 10 minutes. 10 minutes? Yeah. All right, thanks. Thank you.</t>
  </si>
  <si>
    <t>UH? UH, within 40. Go ahead. I got a 13 female, GSW to the head. 13 female? 1-3, 13. GSW to the head? Agonal respiration, [REDACTED]. Can't get a blood pressure on her. Heart rate's in the 40s. ETA? ETA. About 10 minutes. 10 minutes? Yeah. All right, thanks. Thank you.</t>
  </si>
  <si>
    <t>UH? UH, within 40. Go ahead. I got a 13 female, [REDACTED]. 13 female? 1-3, 13. [REDACTED]? Agonal respiration, unresponsive. Can't get a blood pressure on her. Heart rate's in the 40s. ETA? ETA. About 10 minutes. 10 minutes? Yeah. All right, thanks. Thank you.</t>
  </si>
  <si>
    <t>Hello, CUH. Hey, UH. It's Lee with the Medic 7. We have a 10-year-old female. She was unrestrained backseat passenger in a car versus whole MVA. Heavy front-end damage. She's got a lot of damage to her face and mouth. She is alert and oriented talking. Now she's got pain on palpation all over her body. The vitals are stable. We have a heart rate of 112 sinus on the monitor. Blood pressure 130 over 76. 16 respirators, 98%. We have a 22 for access. We will probably be there in about five minutes. Do you have any questions? Do you know how fast? Not based on the damage. I'm estimating, you know, 40s, 50s. 40 to 50. Okay. Unrestrained backseat. Unknown LOC. Unknown. Unknown LOC. Facial, mouth, body pain. And currently AMO4. Okay. She'll be a trauma over there in a minute. All right. See you in a few. Bye. Thanks. Bye-bye.</t>
  </si>
  <si>
    <t>10-year-old female. She was unrestrained backseat passenger in a car versus whole MVA. Heavy front-end damage. She's got a lot of damage to her face and mouth. She is alert and oriented talking. Now she's got pain on palpation all over her body. The vitals are stable. We have a heart rate of 112 sinus on the monitor. Blood pressure 130 over 76. 16 respirators, 98%. Do you know how fast? Not based on the damage. I'm estimating, you know, 40s, 50s. 40 to 50. Okay. Unrestrained backseat. Unknown LOC. She'll be a trauma over there in a minute.</t>
  </si>
  <si>
    <t>Car versus whole MVA</t>
  </si>
  <si>
    <t>The transcript describes the patient as an unrestrained backseat passenger in a motor vehicle accident (MVA) with heavy front-end damage.</t>
  </si>
  <si>
    <t>['10-year-old female']</t>
  </si>
  <si>
    <t>['Blood pressure 130 over 76']</t>
  </si>
  <si>
    <t>['16 respirators']</t>
  </si>
  <si>
    <t>['She is alert and oriented talking', 'currently AMO4']</t>
  </si>
  <si>
    <t>['unrestrained backseat passenger in a car versus whole MVA', 'Heavy front-end damage', 'Unrestrained backseat']</t>
  </si>
  <si>
    <t>Hello, CUH. Hey, UH. It's Lee with the Medic 7. We have a [REDACTED]. She was unrestrained backseat passenger in a car versus whole MVA. Heavy front-end damage. She's got a lot of damage to her face and mouth. She is alert and oriented talking. Now she's got pain on palpation all over her body. The vitals are stable. We have a heart rate of 112 sinus on the monitor. Blood pressure 130 over 76. 16 respirators, 98%. We have a 22 for access. We will probably be there in about five minutes. Do you have any questions? Do you know how fast? Not based on the damage. I'm estimating, you know, 40s, 50s. 40 to 50. Okay. Unrestrained backseat. Unknown LOC. Unknown. Unknown LOC. Facial, mouth, body pain. And currently AMO4. Okay. She'll be a trauma over there in a minute. All right. See you in a few. Bye. Thanks. Bye-bye.</t>
  </si>
  <si>
    <t>Hello, CUH. Hey, UH. It's Lee with the Medic 7. We have a 10-year-old female. She was unrestrained backseat passenger in a car versus whole MVA. Heavy front-end damage. She's got a lot of damage to her face and mouth. She is alert and oriented talking. Now she's got pain on palpation all over her body. The vitals are stable. We have a heart rate of 112 sinus on the monitor. [REDACTED]. 16 respirators, 98%. We have a 22 for access. We will probably be there in about five minutes. Do you have any questions? Do you know how fast? Not based on the damage. I'm estimating, you know, 40s, 50s. 40 to 50. Okay. Unrestrained backseat. Unknown LOC. Unknown. Unknown LOC. Facial, mouth, body pain. And currently AMO4. Okay. She'll be a trauma over there in a minute. All right. See you in a few. Bye. Thanks. Bye-bye.</t>
  </si>
  <si>
    <t>Hello, CUH. Hey, UH. It's Lee with the Medic 7. We have a 10-year-old female. She was unrestrained backseat passenger in a car versus whole MVA. Heavy front-end damage. She's got a lot of damage to her face and mouth. She is alert and oriented talking. Now she's got pain on palpation all over her body. The vitals are stable. We have a heart rate of 112 sinus on the monitor. Blood pressure 130 over 76. [REDACTED], 98%. We have a 22 for access. We will probably be there in about five minutes. Do you have any questions? Do you know how fast? Not based on the damage. I'm estimating, you know, 40s, 50s. 40 to 50. Okay. Unrestrained backseat. Unknown LOC. Unknown. Unknown LOC. Facial, mouth, body pain. And currently AMO4. Okay. She'll be a trauma over there in a minute. All right. See you in a few. Bye. Thanks. Bye-bye.</t>
  </si>
  <si>
    <t>Hello, CUH. Hey, UH. It's Lee with the Medic 7. We have a 10-year-old female. She was unrestrained backseat passenger in a car versus whole MVA. Heavy front-end damage. She's got a lot of damage to her face and mouth. [REDACTED]. Now she's got pain on palpation all over her body. The vitals are stable. We have a heart rate of 112 sinus on the monitor. Blood pressure 130 over 76. 16 respirators, 98%. We have a 22 for access. We will probably be there in about five minutes. Do you have any questions? Do you know how fast? Not based on the damage. I'm estimating, you know, 40s, 50s. 40 to 50. Okay. Unrestrained backseat. Unknown LOC. Unknown. Unknown LOC. Facial, mouth, body pain. And [REDACTED]. Okay. She'll be a trauma over there in a minute. All right. See you in a few. Bye. Thanks. Bye-bye.</t>
  </si>
  <si>
    <t>Hello, CUH. Hey, UH. It's Lee with the Medic 7. We have a 10-year-old female. She was [REDACTED]. [REDACTED]. She's got a lot of damage to her face and mouth. She is alert and oriented talking. Now she's got pain on palpation all over her body. The vitals are stable. We have a heart rate of 112 sinus on the monitor. Blood pressure 130 over 76. 16 respirators, 98%. We have a 22 for access. We will probably be there in about five minutes. Do you have any questions? Do you know how fast? Not based on the damage. I'm estimating, you know, 40s, 50s. 40 to 50. Okay. [REDACTED]. Unknown LOC. Unknown. Unknown LOC. Facial, mouth, body pain. And currently AMO4. Okay. She'll be a trauma over there in a minute. All right. See you in a few. Bye. Thanks. Bye-bye.</t>
  </si>
  <si>
    <t>U.H. Hey, U.H., I got a trauma activation for rainbow babies and children. Go ahead. All right, we have an 8-year-old male involved in an MVC or pedestrian. He was playing kind of in the street and got hit by what appears to be the side of an SUV. It's unknown if he got run over or if he just hit the side of the car, but there is obvious deformity to the left leg and distal to the knee. Like the shinbone, he obviously is in pain. He is awake. He's alert and oriented. Right now we do have the legs pointed up. We attempted an IV, but he was fighting pretty good. Last set of vitals for us were 164 over 99 for a pressure, 99% on room air, heart rate of 114. We just let the scene. He should be there in about seven minutes. How long, sorry? About seven minutes. And what unit are you? University of the Ice, 11. 4-1. 11. Perfect. We'll see you in about seven. Okay. All right. Thank you.</t>
  </si>
  <si>
    <t>8-year-old male involved in an MVC or pedestrian. He was playing kind of in the street and got hit by what appears to be the side of an SUV. It's unknown if he got run over or if he just hit the side of the car, but there is obvious deformity to the left leg and distal to the knee. Like the shinbone, he obviously is in pain. He is awake. He's alert and oriented. 164 over 99 for a pressure, 99% on room air, heart rate of 114. We'll see you in about seven.</t>
  </si>
  <si>
    <t>Pedestrian hit by SUV</t>
  </si>
  <si>
    <t>The transcript describes an 8-year-old male who was hit by the side of an SUV while playing in the street.</t>
  </si>
  <si>
    <t>['8-year-old male']</t>
  </si>
  <si>
    <t>['heart rate of 114']</t>
  </si>
  <si>
    <t>['164 over 99 for a pressure']</t>
  </si>
  <si>
    <t>['involved in an MVC or pedestrian', 'got hit by what appears to be the side of an SUV', 'unknown if he got run over or if he just hit the side of the car']</t>
  </si>
  <si>
    <t>U.H. Hey, U.H., I got a trauma activation for rainbow babies and children. Go ahead. All right, we have an [REDACTED] involved in an MVC or pedestrian. He was playing kind of in the street and got hit by what appears to be the side of an SUV. It's unknown if he got run over or if he just hit the side of the car, but there is obvious deformity to the left leg and distal to the knee. Like the shinbone, he obviously is in pain. He is awake. He's alert and oriented. Right now we do have the legs pointed up. We attempted an IV, but he was fighting pretty good. Last set of vitals for us were 164 over 99 for a pressure, 99% on room air, heart rate of 114. We just let the scene. He should be there in about seven minutes. How long, sorry? About seven minutes. And what unit are you? University of the Ice, 11. 4-1. 11. Perfect. We'll see you in about seven. Okay. All right. Thank you.</t>
  </si>
  <si>
    <t>U.H. Hey, U.H., I got a trauma activation for rainbow babies and children. Go ahead. All right, we have an 8-year-old male involved in an MVC or pedestrian. He was playing kind of in the street and got hit by what appears to be the side of an SUV. It's unknown if he got run over or if he just hit the side of the car, but there is obvious deformity to the left leg and distal to the knee. Like the shinbone, he obviously is in pain. He is awake. He's alert and oriented. Right now we do have the legs pointed up. We attempted an IV, but he was fighting pretty good. Last set of vitals for us were 164 over 99 for a pressure, 99% on room air, [REDACTED]. We just let the scene. He should be there in about seven minutes. How long, sorry? About seven minutes. And what unit are you? University of the Ice, 11. 4-1. 11. Perfect. We'll see you in about seven. Okay. All right. Thank you.</t>
  </si>
  <si>
    <t>U.H. Hey, U.H., I got a trauma activation for rainbow babies and children. Go ahead. All right, we have an 8-year-old male involved in an MVC or pedestrian. He was playing kind of in the street and got hit by what appears to be the side of an SUV. It's unknown if he got run over or if he just hit the side of the car, but there is obvious deformity to the left leg and distal to the knee. Like the shinbone, he obviously is in pain. He is awake. He's alert and oriented. Right now we do have the legs pointed up. We attempted an IV, but he was fighting pretty good. Last set of vitals for us were [REDACTED], 99% on room air, heart rate of 114. We just let the scene. He should be there in about seven minutes. How long, sorry? About seven minutes. And what unit are you? University of the Ice, 11. 4-1. 11. Perfect. We'll see you in about seven. Okay. All right. Thank you.</t>
  </si>
  <si>
    <t>U.H. Hey, U.H., I got a trauma activation for rainbow babies and children. Go ahead. All right, we have an 8-year-old male [REDACTED]. He was playing kind of in the street and [REDACTED]. It's [REDACTED], but there is obvious deformity to the left leg and distal to the knee. Like the shinbone, he obviously is in pain. He is awake. He's alert and oriented. Right now we do have the legs pointed up. We attempted an IV, but he was fighting pretty good. Last set of vitals for us were 164 over 99 for a pressure, 99% on room air, heart rate of 114. We just let the scene. He should be there in about seven minutes. How long, sorry? About seven minutes. And what unit are you? University of the Ice, 11. 4-1. 11. Perfect. We'll see you in about seven. Okay. All right. Thank you.</t>
  </si>
  <si>
    <t>12. UH, this is Zach. Hey, this is Cleveland Heights Squad 241, patient report. Uh, trauma alert. We're coming to you with a 13-year-old shot in the right thigh, exit wound to the right groin. Um, right now his vital signs are all stable. BP 130 over 77. Uh, heart rate 100. Got a tourniquet applied. Bleeding controlled. 18 in the left AC and we get him 25. Micrograms fentanyl for pain management. Um, patient is alert and oriented. Should be your facility at say two to three minutes. Any questions or? You said he's 13 years old? 13 years old. All right. We'll see you soon. Thank you.</t>
  </si>
  <si>
    <t>13-year-old shot in the right thigh, exit wound to the right groin. Um, right now his vital signs are all stable. BP 130 over 77. Uh, heart rate 100. Got a tourniquet applied. Bleeding controlled.  Should be your facility at say two to three minutes.</t>
  </si>
  <si>
    <t>GSW to right thigh</t>
  </si>
  <si>
    <t>The report clearly states the patient was "shot in the right thigh."</t>
  </si>
  <si>
    <t>['13-year-old', '13 years old', '13 years old']</t>
  </si>
  <si>
    <t>['BP 130 over 77']</t>
  </si>
  <si>
    <t>['patient is alert and oriented']</t>
  </si>
  <si>
    <t>['shot in the right thigh', 'exit wound to the right groin']</t>
  </si>
  <si>
    <t>12. UH, this is Zach. Hey, this is Cleveland Heights Squad 241, patient report. Uh, trauma alert. We're coming to you with a [REDACTED] shot in the right thigh, exit wound to the right groin. Um, right now his vital signs are all stable. BP 130 over 77. Uh, heart rate 100. Got a tourniquet applied. Bleeding controlled. 18 in the left AC and we get him 25. Micrograms fentanyl for pain management. Um, patient is alert and oriented. Should be your facility at say two to three minutes. Any questions or? You said he's [REDACTED]? [REDACTED]. All right. We'll see you soon. Thank you.</t>
  </si>
  <si>
    <t>12. UH, this is Zach. Hey, this is Cleveland Heights Squad 241, patient report. Uh, trauma alert. We're coming to you with a 13-year-old shot in the right thigh, exit wound to the right groin. Um, right now his vital signs are all stable. BP 130 over 77. Uh, [REDACTED]. Got a tourniquet applied. Bleeding controlled. 18 in the left AC and we get him 25. Micrograms fentanyl for pain management. Um, patient is alert and oriented. Should be your facility at say two to three minutes. Any questions or? You said he's 13 years old? 13 years old. All right. We'll see you soon. Thank you.</t>
  </si>
  <si>
    <t>12. UH, this is Zach. Hey, this is Cleveland Heights Squad 241, patient report. Uh, trauma alert. We're coming to you with a 13-year-old shot in the right thigh, exit wound to the right groin. Um, right now his vital signs are all stable. [REDACTED]. Uh, heart rate 100. Got a tourniquet applied. Bleeding controlled. 18 in the left AC and we get him 25. Micrograms fentanyl for pain management. Um, patient is alert and oriented. Should be your facility at say two to three minutes. Any questions or? You said he's 13 years old? 13 years old. All right. We'll see you soon. Thank you.</t>
  </si>
  <si>
    <t>12. UH, this is Zach. Hey, this is Cleveland Heights Squad 241, patient report. Uh, trauma alert. We're coming to you with a 13-year-old shot in the right thigh, exit wound to the right groin. Um, right now his vital signs are all stable. BP 130 over 77. Uh, heart rate 100. Got a tourniquet applied. Bleeding controlled. 18 in the left AC and we get him 25. Micrograms fentanyl for pain management. Um, [REDACTED]. Should be your facility at say two to three minutes. Any questions or? You said he's 13 years old? 13 years old. All right. We'll see you soon. Thank you.</t>
  </si>
  <si>
    <t>12. UH, this is Zach. Hey, this is Cleveland Heights Squad 241, patient report. Uh, trauma alert. We're coming to you with a 13-year-old [REDACTED], [REDACTED]. Um, right now his vital signs are all stable. BP 130 over 77. Uh, heart rate 100. Got a tourniquet applied. Bleeding controlled. 18 in the left AC and we get him 25. Micrograms fentanyl for pain management. Um, patient is alert and oriented. Should be your facility at say two to three minutes. Any questions or? You said he's 13 years old? 13 years old. All right. We'll see you soon. Thank you.</t>
  </si>
  <si>
    <t>Oh, my God. Hey, it's Medic 30. Hi, what's up? So we have a 13-year-old male that was probably about like maybe half an hour ago or so, was riding his bike and was hit by a car. He said the car was like maybe going like 10 miles per hour, knocked him off his bike and kind of like dragged him just a little bit. So he's got some abrasions on like the left side of his face and on his left leg. So his vitals are all stable, blood pressure of 120 over 74, heart rate of 108, respiration is 18 at 99%. He's just complaining of like a headache, no LOC or anything like that, might just have a concussion. And we're probably about eight minutes away. Okay, sounds good. I'll let Pete know. They'll see you back there, okay? All right, thanks. All right, bye. Bye.</t>
  </si>
  <si>
    <t>13-year-old male that was riding his bike and was hit by a car. So his vitals are all stable, blood pressure of 120 over 74, heart rate of 108, respiration is 18 at 99%. He's just complaining of like a headache, no LOC or anything. we're probably about eight minutes away.</t>
  </si>
  <si>
    <t>Bicycle hit by a car</t>
  </si>
  <si>
    <t>The transcript describes a 13-year-old male who was riding his bike and was hit by a car.</t>
  </si>
  <si>
    <t>['13-year-old male']</t>
  </si>
  <si>
    <t>['heart rate of 108']</t>
  </si>
  <si>
    <t>['blood pressure of 120 over 74']</t>
  </si>
  <si>
    <t>['respiration is 18']</t>
  </si>
  <si>
    <t>['just complaining of like a headache', 'no LOC or anything like that', 'might just have a concussion']</t>
  </si>
  <si>
    <t>['was riding his bike and was hit by a car', 'the car was like maybe going like 10 miles per hour', 'knocked him off his bike', 'dragged him just a little bit']</t>
  </si>
  <si>
    <t>Oh, my God. Hey, it's Medic 30. Hi, what's up? So we have a [REDACTED] that was probably about like maybe half an hour ago or so, was riding his bike and was hit by a car. He said the car was like maybe going like 10 miles per hour, knocked him off his bike and kind of like dragged him just a little bit. So he's got some abrasions on like the left side of his face and on his left leg. So his vitals are all stable, blood pressure of 120 over 74, heart rate of 108, respiration is 18 at 99%. He's just complaining of like a headache, no LOC or anything like that, might just have a concussion. And we're probably about eight minutes away. Okay, sounds good. I'll let Pete know. They'll see you back there, okay? All right, thanks. All right, bye. Bye.</t>
  </si>
  <si>
    <t>Oh, my God. Hey, it's Medic 30. Hi, what's up? So we have a 13-year-old male that was probably about like maybe half an hour ago or so, was riding his bike and was hit by a car. He said the car was like maybe going like 10 miles per hour, knocked him off his bike and kind of like dragged him just a little bit. So he's got some abrasions on like the left side of his face and on his left leg. So his vitals are all stable, blood pressure of 120 over 74, [REDACTED], respiration is 18 at 99%. He's just complaining of like a headache, no LOC or anything like that, might just have a concussion. And we're probably about eight minutes away. Okay, sounds good. I'll let Pete know. They'll see you back there, okay? All right, thanks. All right, bye. Bye.</t>
  </si>
  <si>
    <t>Oh, my God. Hey, it's Medic 30. Hi, what's up? So we have a 13-year-old male that was probably about like maybe half an hour ago or so, was riding his bike and was hit by a car. He said the car was like maybe going like 10 miles per hour, knocked him off his bike and kind of like dragged him just a little bit. So he's got some abrasions on like the left side of his face and on his left leg. So his vitals are all stable, [REDACTED], heart rate of 108, respiration is 18 at 99%. He's just complaining of like a headache, no LOC or anything like that, might just have a concussion. And we're probably about eight minutes away. Okay, sounds good. I'll let Pete know. They'll see you back there, okay? All right, thanks. All right, bye. Bye.</t>
  </si>
  <si>
    <t>Oh, my God. Hey, it's Medic 30. Hi, what's up? So we have a 13-year-old male that was probably about like maybe half an hour ago or so, was riding his bike and was hit by a car. He said the car was like maybe going like 10 miles per hour, knocked him off his bike and kind of like dragged him just a little bit. So he's got some abrasions on like the left side of his face and on his left leg. So his vitals are all stable, blood pressure of 120 over 74, heart rate of 108, [REDACTED] at 99%. He's just complaining of like a headache, no LOC or anything like that, might just have a concussion. And we're probably about eight minutes away. Okay, sounds good. I'll let Pete know. They'll see you back there, okay? All right, thanks. All right, bye. Bye.</t>
  </si>
  <si>
    <t>Oh, my God. Hey, it's Medic 30. Hi, what's up? So we have a 13-year-old male that was probably about like maybe half an hour ago or so, was riding his bike and was hit by a car. He said the car was like maybe going like 10 miles per hour, knocked him off his bike and kind of like dragged him just a little bit. So he's got some abrasions on like the left side of his face and on his left leg. So his vitals are all stable, blood pressure of 120 over 74, heart rate of 108, respiration is 18 at 99%. He's [REDACTED], [REDACTED], [REDACTED]. And we're probably about eight minutes away. Okay, sounds good. I'll let Pete know. They'll see you back there, okay? All right, thanks. All right, bye. Bye.</t>
  </si>
  <si>
    <t>Oh, my God. Hey, it's Medic 30. Hi, what's up? So we have a 13-year-old male that was probably about like maybe half an hour ago or so, [REDACTED]. He said [REDACTED], [REDACTED] and kind of like [REDACTED]. So he's got some abrasions on like the left side of his face and on his left leg. So his vitals are all stable, blood pressure of 120 over 74, heart rate of 108, respiration is 18 at 99%. He's just complaining of like a headache, no LOC or anything like that, might just have a concussion. And we're probably about eight minutes away. Okay, sounds good. I'll let Pete know. They'll see you back there, okay? All right, thanks. All right, bye. Bye.</t>
  </si>
  <si>
    <t>We have a seven-year-old male, multiple dog bite, three inch squared of bulging to the scalp, about a, I'd say, two inch deep bite wound to the right calf, or the left calf, sorry, and then another bite wound to the left bicep. These anal times three vitals are stable at 99 heart rate, 100 on the numeric, what was the pressure? 148 over 90 for the pressure. We gave 34 micrograms of fentanyl, and I'd say we'll be there in about five minutes. Okay, we'll see you guys when you get here. Good, thank you. Bye.</t>
  </si>
  <si>
    <t>seven-year-old male, multiple dog bite, three inch squared of bulging to the scalp, about a, I'd say, two inch deep bite wound to the right calf, or the left calf, sorry, and then another bite wound to the left bicep. These anal times three vitals are stable at 99 heart rate, 100 on the numeric, what was the pressure? 148 over 90 for the pressure. we'll be there in about five minutes</t>
  </si>
  <si>
    <t>Multiple dog bites</t>
  </si>
  <si>
    <t>The transcript describes multiple bite wounds from a dog on different parts of the patient's body.</t>
  </si>
  <si>
    <t>['seven-year-old male']</t>
  </si>
  <si>
    <t>['99 heart rate']</t>
  </si>
  <si>
    <t>['148 over 90 for the pressure']</t>
  </si>
  <si>
    <t>We have a [REDACTED], multiple dog bite, three inch squared of bulging to the scalp, about a, I'd say, two inch deep bite wound to the right calf, or the left calf, sorry, and then another bite wound to the left bicep. These anal times three vitals are stable at 99 heart rate, 100 on the numeric, what was the pressure? 148 over 90 for the pressure. We gave 34 micrograms of fentanyl, and I'd say we'll be there in about five minutes. Okay, we'll see you guys when you get here. Good, thank you. Bye.</t>
  </si>
  <si>
    <t>We have a seven-year-old male, multiple dog bite, three inch squared of bulging to the scalp, about a, I'd say, two inch deep bite wound to the right calf, or the left calf, sorry, and then another bite wound to the left bicep. These anal times three vitals are stable at [REDACTED], 100 on the numeric, what was the pressure? 148 over 90 for the pressure. We gave 34 micrograms of fentanyl, and I'd say we'll be there in about five minutes. Okay, we'll see you guys when you get here. Good, thank you. Bye.</t>
  </si>
  <si>
    <t>We have a seven-year-old male, multiple dog bite, three inch squared of bulging to the scalp, about a, I'd say, two inch deep bite wound to the right calf, or the left calf, sorry, and then another bite wound to the left bicep. These anal times three vitals are stable at 99 heart rate, 100 on the numeric, what was the pressure? [REDACTED]. We gave 34 micrograms of fentanyl, and I'd say we'll be there in about five minutes. Okay, we'll see you guys when you get here. Good, thank you. Bye.</t>
  </si>
  <si>
    <t>Hello, UH. Hey, it's Medic 10. What do you got? We have an 11-year-old male with a GSW to his neck. It's grazed to his left posterior neck. There is no penetrating trauma. So he's okay. Vitals are good. We have a heart rate of 84. Blood pressure 125 over 86. Breastfus are 20 and normal. And he's 99% remanded. Okay. How far out? About 510. This is 100% of the graze, right? 100%. Okay. Thank you. Bye. Bye. Thank you.</t>
  </si>
  <si>
    <t>11-year-old male with a GSW to his neck. It's grazed to his left posterior neck. There is no penetrating trauma. So he's okay. Vitals are good. We have a heart rate of 84. Blood pressure 125 over 86. Breastfus are 20 and normal. And he's 99% remanded. Okay. How far out? About 510.</t>
  </si>
  <si>
    <t>GSW to neck</t>
  </si>
  <si>
    <t>The transcript mentions a gunshot wound (GSW) to the neck of an 11-year-old male.</t>
  </si>
  <si>
    <t>['11-year-old male']</t>
  </si>
  <si>
    <t>['heart rate of 84']</t>
  </si>
  <si>
    <t>['Blood pressure 125 over 86']</t>
  </si>
  <si>
    <t>['Breastfus are 20']</t>
  </si>
  <si>
    <t>Hello, UH. Hey, it's Medic 10. What do you got? We have an [REDACTED] with a GSW to his neck. It's grazed to his left posterior neck. There is no penetrating trauma. So he's okay. Vitals are good. We have a heart rate of 84. Blood pressure 125 over 86. Breastfus are 20 and normal. And he's 99% remanded. Okay. How far out? About 510. This is 100% of the graze, right? 100%. Okay. Thank you. Bye. Bye. Thank you.</t>
  </si>
  <si>
    <t>Hello, UH. Hey, it's Medic 10. What do you got? We have an 11-year-old male with a GSW to his neck. It's grazed to his left posterior neck. There is no penetrating trauma. So he's okay. Vitals are good. We have a [REDACTED]. Blood pressure 125 over 86. Breastfus are 20 and normal. And he's 99% remanded. Okay. How far out? About 510. This is 100% of the graze, right? 100%. Okay. Thank you. Bye. Bye. Thank you.</t>
  </si>
  <si>
    <t>Hello, UH. Hey, it's Medic 10. What do you got? We have an 11-year-old male with a GSW to his neck. It's grazed to his left posterior neck. There is no penetrating trauma. So he's okay. Vitals are good. We have a heart rate of 84. [REDACTED]. Breastfus are 20 and normal. And he's 99% remanded. Okay. How far out? About 510. This is 100% of the graze, right? 100%. Okay. Thank you. Bye. Bye. Thank you.</t>
  </si>
  <si>
    <t>Hello, UH. Hey, it's Medic 10. What do you got? We have an 11-year-old male with a GSW to his neck. It's grazed to his left posterior neck. There is no penetrating trauma. So he's okay. Vitals are good. We have a heart rate of 84. Blood pressure 125 over 86. [REDACTED] and normal. And he's 99% remanded. Okay. How far out? About 510. This is 100% of the graze, right? 100%. Okay. Thank you. Bye. Bye. Thank you.</t>
  </si>
  <si>
    <t>Hey Danny, it's 41 with two PEDS traumas. Alright, gotcha. Okay, so we got a one-year-old and a two-year-old female approximately. They were involved in an MVA, major driver's side damage. The one-year-old was properly restrained in the car seat on the passenger side, probably eight inches of intrusion in the front airbag deployment. The two-year-old was properly restrained in a booster seat in the driver's side rear, however was displaced laterally into the cabin. Lack to the left side of the forehead. They're both interactive with kind of weak cries. The two-year-old's heart rate is 100 right now, pressure is 120 over 80, 98% room air. No other like palpable injuries or fractures or anything like that. Okay, gotcha. So both vitals were pretty much stable besides the weak cries? Yeah. Okay. How far are you out? Right five minutes. All right, see you, bye. Okay.</t>
  </si>
  <si>
    <t>L2, 2 y/o, Vitals(120/80, 100, N/A), GCS: N/A, MOI (MVA with major driver's side damage), ETA: 5 minutes</t>
  </si>
  <si>
    <t>MVA with major driver's side damage</t>
  </si>
  <si>
    <t>The transcript describes an MVA with major driver's side damage involving two children.</t>
  </si>
  <si>
    <t>['one-year-old', 'two-year-old female']</t>
  </si>
  <si>
    <t>["two-year-old's heart rate is 100"]</t>
  </si>
  <si>
    <t>['pressure is 120 over 80']</t>
  </si>
  <si>
    <t>['both interactive with kind of weak cries']</t>
  </si>
  <si>
    <t>Hey Danny, it's 41 with two PEDS traumas. Alright, gotcha. Okay, so we got a [REDACTED] and a [REDACTED] approximately. They were involved in an MVA, major driver's side damage. The [REDACTED] was properly restrained in the car seat on the passenger side, probably eight inches of intrusion in the front airbag deployment. The two-year-old was properly restrained in a booster seat in the driver's side rear, however was displaced laterally into the cabin. Lack to the left side of the forehead. They're both interactive with kind of weak cries. The two-year-old's heart rate is 100 right now, pressure is 120 over 80, 98% room air. No other like palpable injuries or fractures or anything like that. Okay, gotcha. So both vitals were pretty much stable besides the weak cries? Yeah. Okay. How far are you out? Right five minutes. All right, see you, bye. Okay.</t>
  </si>
  <si>
    <t>Hey Danny, it's 41 with two PEDS traumas. Alright, gotcha. Okay, so we got a one-year-old and a two-year-old female approximately. They were involved in an MVA, major driver's side damage. The one-year-old was properly restrained in the car seat on the passenger side, probably eight inches of intrusion in the front airbag deployment. The two-year-old was properly restrained in a booster seat in the driver's side rear, however was displaced laterally into the cabin. Lack to the left side of the forehead. They're both interactive with kind of weak cries. The [REDACTED] right now, pressure is 120 over 80, 98% room air. No other like palpable injuries or fractures or anything like that. Okay, gotcha. So both vitals were pretty much stable besides the weak cries? Yeah. Okay. How far are you out? Right five minutes. All right, see you, bye. Okay.</t>
  </si>
  <si>
    <t>Hey Danny, it's 41 with two PEDS traumas. Alright, gotcha. Okay, so we got a one-year-old and a two-year-old female approximately. They were involved in an MVA, major driver's side damage. The one-year-old was properly restrained in the car seat on the passenger side, probably eight inches of intrusion in the front airbag deployment. The two-year-old was properly restrained in a booster seat in the driver's side rear, however was displaced laterally into the cabin. Lack to the left side of the forehead. They're both interactive with kind of weak cries. The two-year-old's heart rate is 100 right now, [REDACTED], 98% room air. No other like palpable injuries or fractures or anything like that. Okay, gotcha. So both vitals were pretty much stable besides the weak cries? Yeah. Okay. How far are you out? Right five minutes. All right, see you, bye. Okay.</t>
  </si>
  <si>
    <t>Hey Danny, it's 41 with two PEDS traumas. Alright, gotcha. Okay, so we got a one-year-old and a two-year-old female approximately. They were involved in an MVA, major driver's side damage. The one-year-old was properly restrained in the car seat on the passenger side, probably eight inches of intrusion in the front airbag deployment. The two-year-old was properly restrained in a booster seat in the driver's side rear, however was displaced laterally into the cabin. Lack to the left side of the forehead. They're [REDACTED]. The two-year-old's heart rate is 100 right now, pressure is 120 over 80, 98% room air. No other like palpable injuries or fractures or anything like that. Okay, gotcha. So both vitals were pretty much stable besides the weak cries? Yeah. Okay. How far are you out? Right five minutes. All right, see you, bye. Okay.</t>
  </si>
  <si>
    <t>Hello, this is UH. Hi, UH, this is UB What you got? We're bringing you a 15-year-old male. He has two gunshot wounds to both femurs. It looks like both femurs are fractured. Bleeding is controlled at this time. We have one leg splinted. We have one 18-gauge IV in the left AC. He is conscious alert breathing with us. He's cool, clammy to the touch. We got him on oxygen. He does have a radial pulse of at least 90 spallet. We still haven't gotten a pressure yet. But he's got a strong radial pulse. How far out? About 8 minutes, 8 to 10 minutes. So one in each femur both appear fractured. Any tourniquets or anything? No tourniquets. Bleeding is controlled at this time. Alright, we'll see you in 8. Alright, bye. Thank you.</t>
  </si>
  <si>
    <t>15-year-old male. He has two gunshot wounds to both femurs. It looks like both femurs are fractured. Bleeding is controlled at this time. He is conscious alert breathing with us. He's cool, clammy to the touch. We got him on oxygen. He does have a radial pulse of at least 90 spallet. We still haven't gotten a pressure yet. But he's got a strong radial pulse. How far out? About 8 minutes, 8 to 10 minutes.</t>
  </si>
  <si>
    <t>GSW to both femurs</t>
  </si>
  <si>
    <t>The transcript mentions the patient has two gunshot wounds to both femurs.</t>
  </si>
  <si>
    <t>['15-year-old male']</t>
  </si>
  <si>
    <t>['He is conscious alert breathing with us']</t>
  </si>
  <si>
    <t>Hello, this is UH. Hi, UH, this is UB What you got? We're bringing you a [REDACTED]. He has two gunshot wounds to both femurs. It looks like both femurs are fractured. Bleeding is controlled at this time. We have one leg splinted. We have one 18-gauge IV in the left AC. He is conscious alert breathing with us. He's cool, clammy to the touch. We got him on oxygen. He does have a radial pulse of at least 90 spallet. We still haven't gotten a pressure yet. But he's got a strong radial pulse. How far out? About 8 minutes, 8 to 10 minutes. So one in each femur both appear fractured. Any tourniquets or anything? No tourniquets. Bleeding is controlled at this time. Alright, we'll see you in 8. Alright, bye. Thank you.</t>
  </si>
  <si>
    <t>Hello, this is UH. Hi, UH, this is UB What you got? We're bringing you a 15-year-old male. He has two gunshot wounds to both femurs. It looks like both femurs are fractured. Bleeding is controlled at this time. We have one leg splinted. We have one 18-gauge IV in the left AC. [REDACTED]. He's cool, clammy to the touch. We got him on oxygen. He does have a radial pulse of at least 90 spallet. We still haven't gotten a pressure yet. But he's got a strong radial pulse. How far out? About 8 minutes, 8 to 10 minutes. So one in each femur both appear fractured. Any tourniquets or anything? No tourniquets. Bleeding is controlled at this time. Alright, we'll see you in 8. Alright, bye. Thank you.</t>
  </si>
  <si>
    <t>U.H. Hey, Rich. Cleveland 31. What do you got? I bring a 15 female GSW to the left thigh above the knee. Stable vitals, line left, beginning of all five. All right. Just that one, right? Yeah. 15 female. Yep, one five. Thank you. All right.</t>
  </si>
  <si>
    <t>15 female GSW to the left thigh above the knee. Stable vitals, line left, beginning of all five. All right. Just that one, right? Yeah. 15 female.</t>
  </si>
  <si>
    <t>GSW to the left thigh</t>
  </si>
  <si>
    <t>The transcript mentions a "15 female GSW to the left thigh above the knee."</t>
  </si>
  <si>
    <t>['15 female', '15 female', 'one five']</t>
  </si>
  <si>
    <t>['GSW to the left thigh above the knee']</t>
  </si>
  <si>
    <t>U.H. Hey, Rich. Cleveland 31. What do you got? I bring a [REDACTED] GSW to the left thigh above the knee. Stable vitals, line left, beginning of all five. All right. Just that one, right? Yeah. [REDACTED]. Yep, [REDACTED]. Thank you. All right.</t>
  </si>
  <si>
    <t>U.H. Hey, Rich. Cleveland 31. What do you got? I bring a 15 female [REDACTED]. Stable vitals, line left, beginning of all five. All right. Just that one, right? Yeah. 15 female. Yep, one five. Thank you. All right.</t>
  </si>
  <si>
    <t>Hey, UH, this is a trauma. All right, we got it. University Heights 1141 bringing the 19-month-old male. He was ran over by a jeep. Looks like he has left femur and left humerus. Vitals are stable is what we can tell. He has movement error. Everything's intact. No obvious deformities. We have him two-collared and fully immobilized. We got a 24 in the left AC. We have mom with us, and they're in 5 to 10. Okay, we'll see you. All right.</t>
  </si>
  <si>
    <t>19-month-old male. He was ran over by a jeep. Looks like he has left femur and left humerus. Vitals are stable is what we can tell. He has movement error. Everything's intact. No obvious deformities. Be there in 5 to 10</t>
  </si>
  <si>
    <t>Ran over by a jeep</t>
  </si>
  <si>
    <t>The transcript explicitly states the child was "ran over by a jeep."</t>
  </si>
  <si>
    <t>['19-month-old male']</t>
  </si>
  <si>
    <t>['ran over by a jeep']</t>
  </si>
  <si>
    <t>Hey, UH, this is a trauma. All right, we got it. University Heights 1141 bringing the [REDACTED]. He was ran over by a jeep. Looks like he has left femur and left humerus. Vitals are stable is what we can tell. He has movement error. Everything's intact. No obvious deformities. We have him two-collared and fully immobilized. We got a 24 in the left AC. We have mom with us, and they're in 5 to 10. Okay, we'll see you. All right.</t>
  </si>
  <si>
    <t>Hey, UH, this is a trauma. All right, we got it. University Heights 1141 bringing the 19-month-old male. He was [REDACTED]. Looks like he has left femur and left humerus. Vitals are stable is what we can tell. He has movement error. Everything's intact. No obvious deformities. We have him two-collared and fully immobilized. We got a 24 in the left AC. We have mom with us, and they're in 5 to 10. Okay, we'll see you. All right.</t>
  </si>
  <si>
    <t>University. Hey, this is Shaker Heights 245. We are in route to you guys with a three-year-old male, pediatric three, coming from home. She's complained of fell out of a second story window about 12 to 15 feet in height. I'm calling her coach trauma on this due to mechanism of injury. Uh, he's alert and oriented right now. He has a 15. Uh, we have him, uh, on a backboard and C-spine, uh, no deformities noted. Uh, he had a small abrasion on his left elbow. Pupils of pearl, um, uh, no retraction to pain other than on his head. He's, uh, complaining of pain, uh, from the fall on his head. Uh, no loss of consciousness. Vitals are as follows. Um, heart rate about 118. Uh, SBO2 is 98% breathing 22 times a minute. Um, blood pressure. What was that blood pressure? Hey, what was that blood pressure? 160 over a hundred for BP. Uh, we'll be to you guys in about, uh, 10 minutes. All right. We'll see you guys in 10. All right. Thanks. Thanks.</t>
  </si>
  <si>
    <t>three-year-old male fell out of a second story window about 12 to 15 feet in height. no loss of consciousness. Vitals are as follows. Um, heart rate about 118. Uh, SBO2 is 98% breathing 22 times a minute.  what was that blood pressure? 160 over a hundred for BP. we'll be to you guys in 10 minutes.</t>
  </si>
  <si>
    <t>Fall from a second story window</t>
  </si>
  <si>
    <t>The transcript describes a three-year-old male who fell out of a second story window, which is explicitly stated as the mechanism of injury.</t>
  </si>
  <si>
    <t>['three-year-old male', 'pediatric three']</t>
  </si>
  <si>
    <t>['heart rate about 118']</t>
  </si>
  <si>
    <t>['breathing 22 times a minute']</t>
  </si>
  <si>
    <t>["he's alert and oriented right now"]</t>
  </si>
  <si>
    <t>['fell out of a second story window about 12 to 15 feet in height', 'coach trauma on this due to mechanism of injury', 'complaining of pain, uh, from the fall on his head']</t>
  </si>
  <si>
    <t>University. Hey, this is Shaker Heights 245. We are in route to you guys with a [REDACTED], [REDACTED], coming from home. She's complained of fell out of a second story window about 12 to 15 feet in height. I'm calling her coach trauma on this due to mechanism of injury. Uh, he's alert and oriented right now. He has a 15. Uh, we have him, uh, on a backboard and C-spine, uh, no deformities noted. Uh, he had a small abrasion on his left elbow. Pupils of pearl, um, uh, no retraction to pain other than on his head. He's, uh, complaining of pain, uh, from the fall on his head. Uh, no loss of consciousness. Vitals are as follows. Um, heart rate about 118. Uh, SBO2 is 98% breathing 22 times a minute. Um, blood pressure. What was that blood pressure? Hey, what was that blood pressure? 160 over a hundred for BP. Uh, we'll be to you guys in about, uh, 10 minutes. All right. We'll see you guys in 10. All right. Thanks. Thanks.</t>
  </si>
  <si>
    <t>University. Hey, this is Shaker Heights 245. We are in route to you guys with a three-year-old male, pediatric three, coming from home. She's complained of fell out of a second story window about 12 to 15 feet in height. I'm calling her coach trauma on this due to mechanism of injury. Uh, he's alert and oriented right now. He has a 15. Uh, we have him, uh, on a backboard and C-spine, uh, no deformities noted. Uh, he had a small abrasion on his left elbow. Pupils of pearl, um, uh, no retraction to pain other than on his head. He's, uh, complaining of pain, uh, from the fall on his head. Uh, no loss of consciousness. Vitals are as follows. Um, [REDACTED]. Uh, SBO2 is 98% breathing 22 times a minute. Um, blood pressure. What was that blood pressure? Hey, what was that blood pressure? 160 over a hundred for BP. Uh, we'll be to you guys in about, uh, 10 minutes. All right. We'll see you guys in 10. All right. Thanks. Thanks.</t>
  </si>
  <si>
    <t>University. Hey, this is Shaker Heights 245. We are in route to you guys with a three-year-old male, pediatric three, coming from home. She's complained of fell out of a second story window about 12 to 15 feet in height. I'm calling her coach trauma on this due to mechanism of injury. Uh, he's alert and oriented right now. He has a 15. Uh, we have him, uh, on a backboard and C-spine, uh, no deformities noted. Uh, he had a small abrasion on his left elbow. Pupils of pearl, um, uh, no retraction to pain other than on his head. He's, uh, complaining of pain, uh, from the fall on his head. Uh, no loss of consciousness. Vitals are as follows. Um, heart rate about 118. Uh, SBO2 is 98% [REDACTED]. Um, blood pressure. What was that blood pressure? Hey, what was that blood pressure? 160 over a hundred for BP. Uh, we'll be to you guys in about, uh, 10 minutes. All right. We'll see you guys in 10. All right. Thanks. Thanks.</t>
  </si>
  <si>
    <t>University. Hey, this is Shaker Heights 245. We are in route to you guys with a three-year-old male, pediatric three, coming from home. She's complained of fell out of a second story window about 12 to 15 feet in height. I'm calling her coach trauma on this due to mechanism of injury. Uh, [REDACTED]. He has a 15. Uh, we have him, uh, on a backboard and C-spine, uh, no deformities noted. Uh, he had a small abrasion on his left elbow. Pupils of pearl, um, uh, no retraction to pain other than on his head. He's, uh, complaining of pain, uh, from the fall on his head. Uh, no loss of consciousness. Vitals are as follows. Um, heart rate about 118. Uh, SBO2 is 98% breathing 22 times a minute. Um, blood pressure. What was that blood pressure? Hey, what was that blood pressure? 160 over a hundred for BP. Uh, we'll be to you guys in about, uh, 10 minutes. All right. We'll see you guys in 10. All right. Thanks. Thanks.</t>
  </si>
  <si>
    <t>University. Hey, this is Shaker Heights 245. We are in route to you guys with a three-year-old male, pediatric three, coming from home. She's complained of [REDACTED]. I'm calling her [REDACTED]. Uh, he's alert and oriented right now. He has a 15. Uh, we have him, uh, on a backboard and C-spine, uh, no deformities noted. Uh, he had a small abrasion on his left elbow. Pupils of pearl, um, uh, no retraction to pain other than on his head. He's, uh, [REDACTED]. Uh, no loss of consciousness. Vitals are as follows. Um, heart rate about 118. Uh, SBO2 is 98% breathing 22 times a minute. Um, blood pressure. What was that blood pressure? Hey, what was that blood pressure? 160 over a hundred for BP. Uh, we'll be to you guys in about, uh, 10 minutes. All right. We'll see you guys in 10. All right. Thanks. Thanks.</t>
  </si>
  <si>
    <t>Hey, this is Euclid 42. Okay. I got an 11-year-old male coming in from home, was running, glass door shut, and his arms went through it. He's got a pretty, probably a two-inch laceration on his medial in a cubital region. I got it bandaged up now, and he's got a couple other kind of like small lacerations on his left arm. But the one on his right is pretty deep. On his right, what part of his body? It's like his antecubital, like right on his, like kind of the medial part of his AC. Okay, and this is bleeding is controlled, though? Yeah, as of now it is. Yeah, we got it bandaged up pretty tightly. Okay, what's your ETA? ETA is going to be less than 10. All right, thank you.</t>
  </si>
  <si>
    <t>11-year-old male where glass door shut, and his arms went through it. bleeding is controlled.  ETA is going to be less than 10</t>
  </si>
  <si>
    <t>Ran into glass door, arms went through it</t>
  </si>
  <si>
    <t>The transcript describes the patient running into a glass door, resulting in lacerations.</t>
  </si>
  <si>
    <t>['was running, glass door shut, and his arms went through it']</t>
  </si>
  <si>
    <t>Hey, this is Euclid 42. Okay. I got an [REDACTED] coming in from home, was running, glass door shut, and his arms went through it. He's got a pretty, probably a two-inch laceration on his medial in a cubital region. I got it bandaged up now, and he's got a couple other kind of like small lacerations on his left arm. But the one on his right is pretty deep. On his right, what part of his body? It's like his antecubital, like right on his, like kind of the medial part of his AC. Okay, and this is bleeding is controlled, though? Yeah, as of now it is. Yeah, we got it bandaged up pretty tightly. Okay, what's your ETA? ETA is going to be less than 10. All right, thank you.</t>
  </si>
  <si>
    <t>Hey, this is Euclid 42. Okay. I got an 11-year-old male coming in from home, [REDACTED]. He's got a pretty, probably a two-inch laceration on his medial in a cubital region. I got it bandaged up now, and he's got a couple other kind of like small lacerations on his left arm. But the one on his right is pretty deep. On his right, what part of his body? It's like his antecubital, like right on his, like kind of the medial part of his AC. Okay, and this is bleeding is controlled, though? Yeah, as of now it is. Yeah, we got it bandaged up pretty tightly. Okay, what's your ETA? ETA is going to be less than 10. All right, thank you.</t>
  </si>
  <si>
    <t>uh hey uh cleveland 17 we got a 12 year old male pedestrian struck uh witness they went 10 to 15 feet at about 40 miles an hour the blow was strong enough it knocked him out of his boots he does not recall the collision but he is currently awake alert oriented and is not complaining of any pain um he has some uh bleeding to his nose as well as abrasions on his back uh he's boarded collared vitals showing like this i'm looking at 130 sinus for upholstery 106 over 62 for a pressure 98 and that is room air um we are starting a line as we speak and we are coming to rainbows we'll be there probably about six minutes all right any lost conscience that we know uh he didn't he doesn't remember the events okay amnesia okay thank you all right thank you</t>
  </si>
  <si>
    <t>12 year old male pedestrian struck. went 10 to 15 feet at about 40 miles an hour. 130 sinus for upholstery 106 over 62 for a pressure 98.</t>
  </si>
  <si>
    <t>The transcript mentions a 12-year-old male pedestrian who was struck and thrown 10 to 15 feet by a vehicle traveling at about 40 miles an hour.</t>
  </si>
  <si>
    <t>['12 year old male']</t>
  </si>
  <si>
    <t>['130 sinus for upholstery']</t>
  </si>
  <si>
    <t>['106 over 62 for a pressure']</t>
  </si>
  <si>
    <t>['currently awake alert oriented', "he didn't he doesn't remember the events", 'amnesia']</t>
  </si>
  <si>
    <t>['pedestrian struck', 'witness they went 10 to 15 feet at about 40 miles an hour', 'the blow was strong enough it knocked him out of his boots']</t>
  </si>
  <si>
    <t>uh hey uh cleveland 17 we got a [REDACTED] pedestrian struck uh witness they went 10 to 15 feet at about 40 miles an hour the blow was strong enough it knocked him out of his boots he does not recall the collision but he is currently awake alert oriented and is not complaining of any pain um he has some uh bleeding to his nose as well as abrasions on his back uh he's boarded collared vitals showing like this i'm looking at 130 sinus for upholstery 106 over 62 for a pressure 98 and that is room air um we are starting a line as we speak and we are coming to rainbows we'll be there probably about six minutes all right any lost conscience that we know uh he didn't he doesn't remember the events okay amnesia okay thank you all right thank you</t>
  </si>
  <si>
    <t>uh hey uh cleveland 17 we got a 12 year old male pedestrian struck uh witness they went 10 to 15 feet at about 40 miles an hour the blow was strong enough it knocked him out of his boots he does not recall the collision but he is currently awake alert oriented and is not complaining of any pain um he has some uh bleeding to his nose as well as abrasions on his back uh he's boarded collared vitals showing like this i'm looking at [REDACTED] 106 over 62 for a pressure 98 and that is room air um we are starting a line as we speak and we are coming to rainbows we'll be there probably about six minutes all right any lost conscience that we know uh he didn't he doesn't remember the events okay amnesia okay thank you all right thank you</t>
  </si>
  <si>
    <t>uh hey uh cleveland 17 we got a 12 year old male pedestrian struck uh witness they went 10 to 15 feet at about 40 miles an hour the blow was strong enough it knocked him out of his boots he does not recall the collision but he is currently awake alert oriented and is not complaining of any pain um he has some uh bleeding to his nose as well as abrasions on his back uh he's boarded collared vitals showing like this i'm looking at 130 sinus for upholstery [REDACTED] 98 and that is room air um we are starting a line as we speak and we are coming to rainbows we'll be there probably about six minutes all right any lost conscience that we know uh he didn't he doesn't remember the events okay amnesia okay thank you all right thank you</t>
  </si>
  <si>
    <t>uh hey uh cleveland 17 we got a 12 year old male pedestrian struck uh witness they went 10 to 15 feet at about 40 miles an hour the blow was strong enough it knocked him out of his boots he does not recall the collision but he is [REDACTED] and is not complaining of any pain um he has some uh bleeding to his nose as well as abrasions on his back uh he's boarded collared vitals showing like this i'm looking at 130 sinus for upholstery 106 over 62 for a pressure 98 and that is room air um we are starting a line as we speak and we are coming to rainbows we'll be there probably about six minutes all right any lost conscience that we know uh [REDACTED] okay [REDACTED] okay thank you all right thank you</t>
  </si>
  <si>
    <t>uh hey uh cleveland 17 we got a 12 year old male [REDACTED] uh [REDACTED] [REDACTED] he does not recall the collision but he is currently awake alert oriented and is not complaining of any pain um he has some uh bleeding to his nose as well as abrasions on his back uh he's boarded collared vitals showing like this i'm looking at 130 sinus for upholstery 106 over 62 for a pressure 98 and that is room air um we are starting a line as we speak and we are coming to rainbows we'll be there probably about six minutes all right any lost conscience that we know uh he didn't he doesn't remember the events okay amnesia okay thank you all right thank you</t>
  </si>
  <si>
    <t>Hey, it's 30. We are in route with a 1515 female walking to school was hit by a car. Unknown rate of speed. This happened about an hour ago. She says the car did not go over her any part of her body, but it did put her up in the air and she fell to the ground. She's complaining of some left arm pain. She's got abrasions to her left elbow and her left knuckle as well. Has some back pain. MSPs are all good. We got her collar just in case. Um, got mom on board. She's showing sinus at 90. Got a BP of 104 over 70. Respirators are 16. She's 100% on room air. We'll probably be there in like eight to 10 minutes. Eight to 10 minutes. Unknown speed. No OC though. No OC, no. But she does have an abrasion to her chin. So she did, her head did hit the ground. Head hit the ground. Okay. Awesome. All right. Yep.</t>
  </si>
  <si>
    <t>15 female walking to school was hit by a car. Unknown rate of speed. sinus at 90. Got a BP of 104 over 70. Respirators are 16. She's 100% on room air. We'll probably be there in like eight to 10 minutes</t>
  </si>
  <si>
    <t>Pedestrian hit by a car</t>
  </si>
  <si>
    <t>The transcript states the patient was "walking to school was hit by a car."</t>
  </si>
  <si>
    <t>['1515 female']</t>
  </si>
  <si>
    <t>['BP of 104 over 70']</t>
  </si>
  <si>
    <t>['Respirators are 16']</t>
  </si>
  <si>
    <t>Hey, it's 30. We are in route with a [REDACTED] walking to school was hit by a car. Unknown rate of speed. This happened about an hour ago. She says the car did not go over her any part of her body, but it did put her up in the air and she fell to the ground. She's complaining of some left arm pain. She's got abrasions to her left elbow and her left knuckle as well. Has some back pain. MSPs are all good. We got her collar just in case. Um, got mom on board. She's showing sinus at 90. Got a BP of 104 over 70. Respirators are 16. She's 100% on room air. We'll probably be there in like eight to 10 minutes. Eight to 10 minutes. Unknown speed. No OC though. No OC, no. But she does have an abrasion to her chin. So she did, her head did hit the ground. Head hit the ground. Okay. Awesome. All right. Yep.</t>
  </si>
  <si>
    <t>Hey, it's 30. We are in route with a 1515 female walking to school was hit by a car. Unknown rate of speed. This happened about an hour ago. She says the car did not go over her any part of her body, but it did put her up in the air and she fell to the ground. She's complaining of some left arm pain. She's got abrasions to her left elbow and her left knuckle as well. Has some back pain. MSPs are all good. We got her collar just in case. Um, got mom on board. She's showing sinus at 90. Got a [REDACTED]. Respirators are 16. She's 100% on room air. We'll probably be there in like eight to 10 minutes. Eight to 10 minutes. Unknown speed. No OC though. No OC, no. But she does have an abrasion to her chin. So she did, her head did hit the ground. Head hit the ground. Okay. Awesome. All right. Yep.</t>
  </si>
  <si>
    <t>Hey, it's 30. We are in route with a 1515 female walking to school was hit by a car. Unknown rate of speed. This happened about an hour ago. She says the car did not go over her any part of her body, but it did put her up in the air and she fell to the ground. She's complaining of some left arm pain. She's got abrasions to her left elbow and her left knuckle as well. Has some back pain. MSPs are all good. We got her collar just in case. Um, got mom on board. She's showing sinus at 90. Got a BP of 104 over 70. [REDACTED]. She's 100% on room air. We'll probably be there in like eight to 10 minutes. Eight to 10 minutes. Unknown speed. No OC though. No OC, no. But she does have an abrasion to her chin. So she did, her head did hit the ground. Head hit the ground. Okay. Awesome. All right. Yep.</t>
  </si>
  <si>
    <t>Hi, it's Kim at UH Transfer Center. Can you send out a full trauma activation for a 23-month-old being flown in from a scene by Cleveland Clinic? 23-month-old little kid. What's the trauma? I mean, what is it? Fell out of a second story window. Okay. That's all I know about him. Okay. They already talked to Dingle Dine. She said it's a full trauma. Okay. Thanks. Thank you.</t>
  </si>
  <si>
    <t>23-month-old Fell out of a second story window</t>
  </si>
  <si>
    <t>Fell out of a second story window</t>
  </si>
  <si>
    <t>The transcript explicitly states the child "fell out of a second story window."</t>
  </si>
  <si>
    <t>['23-month-old', '23-month-old little kid']</t>
  </si>
  <si>
    <t>['Fell out of a second story window']</t>
  </si>
  <si>
    <t>Hi, it's Kim at UH Transfer Center. Can you send out a full trauma activation for a 23-month-old being flown in from a scene by Cleveland Clinic? 23-month-old little kid. What's the trauma? I mean, what is it? [REDACTED]. Okay. That's all I know about him. Okay. They already talked to Dingle Dine. She said it's a full trauma. Okay. Thanks. Thank you.</t>
  </si>
  <si>
    <t>What year were I? U.H. Hey, U.H., Cleveland Medical Center Report. Got a two-year-old female. She was actually shot in her left foot. We're not unsure if it was through and through. It was already wrapped in gauze before we got there. She is alert, oriented, age appropriate. No active bleeding right now. Pressure is 113 over 77. She is signed up on the monitor at a rate of about 112. Respirations are 28. Lungs are clear bilateral. Boom stat is at about 100%. We'll be at your doorsteps in about five to six minutes. Okay. Sounds good. I'll let him know. Thanks. All right. Thanks. Bye.</t>
  </si>
  <si>
    <t>two year old female shot in the left foot. BP 113 over 77. rate of about 112. Respirations are 28. Lungs are clear bilateral. Boom stat is at about 100%. We'll be at your doorsteps in about five to six minutes.</t>
  </si>
  <si>
    <t>GSW to left foot</t>
  </si>
  <si>
    <t>The transcript mentions a two-year-old female who was shot in her left foot.</t>
  </si>
  <si>
    <t>['two-year-old female']</t>
  </si>
  <si>
    <t>['Pressure is 113 over 77']</t>
  </si>
  <si>
    <t>['Respirations are 28']</t>
  </si>
  <si>
    <t>['She is alert, oriented, age appropriate']</t>
  </si>
  <si>
    <t>['shot in her left foot']</t>
  </si>
  <si>
    <t>What year were I? U.H. Hey, U.H., Cleveland Medical Center Report. Got a [REDACTED]. She was actually shot in her left foot. We're not unsure if it was through and through. It was already wrapped in gauze before we got there. She is alert, oriented, age appropriate. No active bleeding right now. Pressure is 113 over 77. She is signed up on the monitor at a rate of about 112. Respirations are 28. Lungs are clear bilateral. Boom stat is at about 100%. We'll be at your doorsteps in about five to six minutes. Okay. Sounds good. I'll let him know. Thanks. All right. Thanks. Bye.</t>
  </si>
  <si>
    <t>What year were I? U.H. Hey, U.H., Cleveland Medical Center Report. Got a two-year-old female. She was actually shot in her left foot. We're not unsure if it was through and through. It was already wrapped in gauze before we got there. She is alert, oriented, age appropriate. No active bleeding right now. [REDACTED]. She is signed up on the monitor at a rate of about 112. Respirations are 28. Lungs are clear bilateral. Boom stat is at about 100%. We'll be at your doorsteps in about five to six minutes. Okay. Sounds good. I'll let him know. Thanks. All right. Thanks. Bye.</t>
  </si>
  <si>
    <t>What year were I? U.H. Hey, U.H., Cleveland Medical Center Report. Got a two-year-old female. She was actually shot in her left foot. We're not unsure if it was through and through. It was already wrapped in gauze before we got there. She is alert, oriented, age appropriate. No active bleeding right now. Pressure is 113 over 77. She is signed up on the monitor at a rate of about 112. [REDACTED]. Lungs are clear bilateral. Boom stat is at about 100%. We'll be at your doorsteps in about five to six minutes. Okay. Sounds good. I'll let him know. Thanks. All right. Thanks. Bye.</t>
  </si>
  <si>
    <t>What year were I? U.H. Hey, U.H., Cleveland Medical Center Report. Got a two-year-old female. She was actually shot in her left foot. We're not unsure if it was through and through. It was already wrapped in gauze before we got there. [REDACTED]. No active bleeding right now. Pressure is 113 over 77. She is signed up on the monitor at a rate of about 112. Respirations are 28. Lungs are clear bilateral. Boom stat is at about 100%. We'll be at your doorsteps in about five to six minutes. Okay. Sounds good. I'll let him know. Thanks. All right. Thanks. Bye.</t>
  </si>
  <si>
    <t>What year were I? U.H. Hey, U.H., Cleveland Medical Center Report. Got a two-year-old female. She was actually [REDACTED]. We're not unsure if it was through and through. It was already wrapped in gauze before we got there. She is alert, oriented, age appropriate. No active bleeding right now. Pressure is 113 over 77. She is signed up on the monitor at a rate of about 112. Respirations are 28. Lungs are clear bilateral. Boom stat is at about 100%. We'll be at your doorsteps in about five to six minutes. Okay. Sounds good. I'll let him know. Thanks. All right. Thanks. Bye.</t>
  </si>
  <si>
    <t>UH. UH, this is Youthwood medic 43, as they should care for. What you got? Coming in with a pediatric trauma, 14 year old female, anal times four, unconscious. She got stabbed in the head with a screwdriver, sounds like it was a flathead screwdriver. Unknown how deep it went in, but probably about 2-3 millimeters in diameter in the front left, low of her head. Heart rate is 116, 99% on room air, blood pressure is 138 over 68, 18 gauge in the left AC, and will be there in about 10 minutes or so. Okay, that's the only wound, right? Yeah, she only had one. You said what part of the head? Front left lobe. Front left, okay, thank you. Unknown how deep. Okay, bye.</t>
  </si>
  <si>
    <t>14 year old female, anal times four, unconscious. She got stabbed in the head with a screwdriver. Heart rate is 116, 99% on room air, blood pressure is 138 over 68. will be there in about 10 minutes or so.</t>
  </si>
  <si>
    <t>Stabbed in the head with a screwdriver</t>
  </si>
  <si>
    <t>The transcript describes a 14-year-old female who was stabbed in the head with a screwdriver.</t>
  </si>
  <si>
    <t>['14 year old female']</t>
  </si>
  <si>
    <t>['Heart rate is 116']</t>
  </si>
  <si>
    <t>['blood pressure is 138 over 68']</t>
  </si>
  <si>
    <t>['anal times four', 'unconscious']</t>
  </si>
  <si>
    <t>UH. UH, this is Youthwood medic 43, as they should care for. What you got? Coming in with a pediatric trauma, [REDACTED], anal times four, unconscious. She got stabbed in the head with a screwdriver, sounds like it was a flathead screwdriver. Unknown how deep it went in, but probably about 2-3 millimeters in diameter in the front left, low of her head. Heart rate is 116, 99% on room air, blood pressure is 138 over 68, 18 gauge in the left AC, and will be there in about 10 minutes or so. Okay, that's the only wound, right? Yeah, she only had one. You said what part of the head? Front left lobe. Front left, okay, thank you. Unknown how deep. Okay, bye.</t>
  </si>
  <si>
    <t>UH. UH, this is Youthwood medic 43, as they should care for. What you got? Coming in with a pediatric trauma, 14 year old female, anal times four, unconscious. She got stabbed in the head with a screwdriver, sounds like it was a flathead screwdriver. Unknown how deep it went in, but probably about 2-3 millimeters in diameter in the front left, low of her head. [REDACTED], 99% on room air, blood pressure is 138 over 68, 18 gauge in the left AC, and will be there in about 10 minutes or so. Okay, that's the only wound, right? Yeah, she only had one. You said what part of the head? Front left lobe. Front left, okay, thank you. Unknown how deep. Okay, bye.</t>
  </si>
  <si>
    <t>UH. UH, this is Youthwood medic 43, as they should care for. What you got? Coming in with a pediatric trauma, 14 year old female, anal times four, unconscious. She got stabbed in the head with a screwdriver, sounds like it was a flathead screwdriver. Unknown how deep it went in, but probably about 2-3 millimeters in diameter in the front left, low of her head. Heart rate is 116, 99% on room air, [REDACTED], 18 gauge in the left AC, and will be there in about 10 minutes or so. Okay, that's the only wound, right? Yeah, she only had one. You said what part of the head? Front left lobe. Front left, okay, thank you. Unknown how deep. Okay, bye.</t>
  </si>
  <si>
    <t>UH. UH, this is Youthwood medic 43, as they should care for. What you got? Coming in with a pediatric trauma, 14 year old female, [REDACTED], [REDACTED]. She got stabbed in the head with a screwdriver, sounds like it was a flathead screwdriver. Unknown how deep it went in, but probably about 2-3 millimeters in diameter in the front left, low of her head. Heart rate is 116, 99% on room air, blood pressure is 138 over 68, 18 gauge in the left AC, and will be there in about 10 minutes or so. Okay, that's the only wound, right? Yeah, she only had one. You said what part of the head? Front left lobe. Front left, okay, thank you. Unknown how deep. Okay, bye.</t>
  </si>
  <si>
    <t>UH. UH. This is Cleveland Heights 243. We have a 12 year old male that was shot in his left foot. It looks like it was through and through so it's out. And no bleeding, we have a bandage up. Blood pressure 162 over 114. We got an IV established and we should probably be in in like 5 minutes. Just one wound or you said two? Just one wound through and through. So it went through and out it looks like. So how far out are you? Probably 5 minutes out. Alright we'll see you soon, thanks.</t>
  </si>
  <si>
    <t>L2, 12 y/o, Vitals(BP 162/114, HR not provided, RR not provided), GCS: not provided, MOI (gunshot wound to left foot), ETA: 5 minutes</t>
  </si>
  <si>
    <t>12 year old male that was shot in his left foot. Bleeding is bandaged up.Blood pressure 162 over 114. be there in 5 minutes.</t>
  </si>
  <si>
    <t>The transcript mentions a 12-year-old male who was shot in his left foot.</t>
  </si>
  <si>
    <t>['Blood pressure 162 over 114']</t>
  </si>
  <si>
    <t>['shot in his left foot', 'through and through']</t>
  </si>
  <si>
    <t>UH. UH. This is Cleveland Heights 243. We have a [REDACTED] that was shot in his left foot. It looks like it was through and through so it's out. And no bleeding, we have a bandage up. Blood pressure 162 over 114. We got an IV established and we should probably be in in like 5 minutes. Just one wound or you said two? Just one wound through and through. So it went through and out it looks like. So how far out are you? Probably 5 minutes out. Alright we'll see you soon, thanks.</t>
  </si>
  <si>
    <t>UH. UH. This is Cleveland Heights 243. We have a 12 year old male that was shot in his left foot. It looks like it was through and through so it's out. And no bleeding, we have a bandage up. [REDACTED]. We got an IV established and we should probably be in in like 5 minutes. Just one wound or you said two? Just one wound through and through. So it went through and out it looks like. So how far out are you? Probably 5 minutes out. Alright we'll see you soon, thanks.</t>
  </si>
  <si>
    <t>UH. UH. This is Cleveland Heights 243. We have a 12 year old male that was [REDACTED]. It looks like it was [REDACTED] so it's out. And no bleeding, we have a bandage up. Blood pressure 162 over 114. We got an IV established and we should probably be in in like 5 minutes. Just one wound or you said two? Just one wound [REDACTED]. So it went through and out it looks like. So how far out are you? Probably 5 minutes out. Alright we'll see you soon, thanks.</t>
  </si>
  <si>
    <t>UH. Hey, UH, this is Seth, you get 341 with patient report. This is going to go to pediatrics. Pediatrics? Yep. Go ahead. This is going to be a trauma alert for a fall, possibly from the second floor of a house, possibly onto the ground, hitting some boxes on the way down. A neighbor found him sitting up in an alert and was crying in the driveway, alerted the mother. When we got there, he was crying in her arms but was consolable. He is very lethargic and tired right now. Vital signs are as follows, BP of 114 over 72, 90 on the pulse. He was 96% on room air. He will wake up if you tactile stimulate him or anything like that, and he cries a little bit, then wants us to go down and go back to sleep. Pupils are sluggish to respond. No visible outer injuries that we can tell, even when patients are in the room, and we can't see them. If you're picking him up and palpating anything on him, like I said, he just cries when you wake him up, and he goes right back to sleep. Be at you guys in about two minutes. Two minutes? Yep. Got you. Thank you.</t>
  </si>
  <si>
    <t>trauma alert for a fall, possibly from the second floor of a house, possibly onto the ground, hitting some boxes on the way down.BP of 114 over 72, 90 on the pulse. He was 96% on room air. He will wake up if you tactile stimulate him or anything like that, and he cries a little bit, then wants us to go down and go back to sleep. Pupils are sluggish to respond. be there in two minutes.</t>
  </si>
  <si>
    <t>Fall possibly from the second floor of a house</t>
  </si>
  <si>
    <t>The report mentions a trauma alert for a fall, possibly from the second floor of a house.</t>
  </si>
  <si>
    <t>['90 on the pulse']</t>
  </si>
  <si>
    <t>['BP of 114 over 72']</t>
  </si>
  <si>
    <t>['a fall, possibly from the second floor of a house, possibly onto the ground, hitting some boxes on the way down']</t>
  </si>
  <si>
    <t>UH. Hey, UH, this is Seth, you get 341 with patient report. This is going to go to pediatrics. Pediatrics? Yep. Go ahead. This is going to be a trauma alert for a fall, possibly from the second floor of a house, possibly onto the ground, hitting some boxes on the way down. A neighbor found him sitting up in an alert and was crying in the driveway, alerted the mother. When we got there, he was crying in her arms but was consolable. He is very lethargic and tired right now. Vital signs are as follows, BP of 114 over 72, [REDACTED]. He was 96% on room air. He will wake up if you tactile stimulate him or anything like that, and he cries a little bit, then wants us to go down and go back to sleep. Pupils are sluggish to respond. No visible outer injuries that we can tell, even when patients are in the room, and we can't see them. If you're picking him up and palpating anything on him, like I said, he just cries when you wake him up, and he goes right back to sleep. Be at you guys in about two minutes. Two minutes? Yep. Got you. Thank you.</t>
  </si>
  <si>
    <t>UH. Hey, UH, this is Seth, you get 341 with patient report. This is going to go to pediatrics. Pediatrics? Yep. Go ahead. This is going to be a trauma alert for a fall, possibly from the second floor of a house, possibly onto the ground, hitting some boxes on the way down. A neighbor found him sitting up in an alert and was crying in the driveway, alerted the mother. When we got there, he was crying in her arms but was consolable. He is very lethargic and tired right now. Vital signs are as follows, [REDACTED], 90 on the pulse. He was 96% on room air. He will wake up if you tactile stimulate him or anything like that, and he cries a little bit, then wants us to go down and go back to sleep. Pupils are sluggish to respond. No visible outer injuries that we can tell, even when patients are in the room, and we can't see them. If you're picking him up and palpating anything on him, like I said, he just cries when you wake him up, and he goes right back to sleep. Be at you guys in about two minutes. Two minutes? Yep. Got you. Thank you.</t>
  </si>
  <si>
    <t>UH. Hey, UH, this is Seth, you get 341 with patient report. This is going to go to pediatrics. Pediatrics? Yep. Go ahead. This is going to be a trauma alert for [REDACTED]. A neighbor found him sitting up in an alert and was crying in the driveway, alerted the mother. When we got there, he was crying in her arms but was consolable. He is very lethargic and tired right now. Vital signs are as follows, BP of 114 over 72, 90 on the pulse. He was 96% on room air. He will wake up if you tactile stimulate him or anything like that, and he cries a little bit, then wants us to go down and go back to sleep. Pupils are sluggish to respond. No visible outer injuries that we can tell, even when patients are in the room, and we can't see them. If you're picking him up and palpating anything on him, like I said, he just cries when you wake him up, and he goes right back to sleep. Be at you guys in about two minutes. Two minutes? Yep. Got you. Thank you.</t>
  </si>
  <si>
    <t>New Age. New Age, 242. We're coming with a 16-year-old male. He was at the park going down a hill to follow his scooter. Pumped his head pretty good, has a pretty good golf ball bump above his right eye. He was kind of knocked out when we were there. Doesn't remember the accident. Is coming to now. Is A&amp;O times four, A&amp;O times three. He doesn't remember the incident. Vitals are all stable and we should be there in about three to four minutes. You said he fell, lost consciousness? Off a scooter and bumps his head on some concrete. Like what kind of scooter? Like a Razor scooter, like a non-electric, non-motorized scooter. It was a pretty steep hill, so we're guessing it was a pretty good rate of speed that he fell at. It was unwitnessed. Okay. He was out of control. He wasn't responding at all when you got to him. Yeah, he wasn't responding at all when we were there. Just kind of spontaneous eye movement. And now he's talking with us, just does not remember the incident, but remembers that he was going to the park and all that, but doesn't remember the incident. He does keep repeating himself as well. 16-year-old, right? Yep. All right, thanks. Yep.</t>
  </si>
  <si>
    <t>16 year old male who fell off a scooter. Vitals are all stable and we should be there in about three to four minutes</t>
  </si>
  <si>
    <t>Fall from scooter</t>
  </si>
  <si>
    <t>The transcript describes a 16-year-old male who fell off a non-motorized scooter and hit his head.</t>
  </si>
  <si>
    <t>['16-year-old male', '16-year-old']</t>
  </si>
  <si>
    <t>['going down a hill to follow his scooter', 'Pumped his head pretty good', 'golf ball bump above his right eye', 'fell, lost consciousness', 'Off a scooter and bumps his head on some concrete', 'Like a Razor scooter, like a non-electric, non-motorized scooter', 'pretty steep hill', 'pretty good rate of speed', 'unwitnessed', 'out of control']</t>
  </si>
  <si>
    <t>New Age. New Age, 242. We're coming with a [REDACTED]. He was at the park going down a hill to follow his scooter. Pumped his head pretty good, has a pretty good golf ball bump above his right eye. He was kind of knocked out when we were there. Doesn't remember the accident. Is coming to now. Is A&amp;O times four, A&amp;O times three. He doesn't remember the incident. Vitals are all stable and we should be there in about three to four minutes. You said he fell, lost consciousness? Off a scooter and bumps his head on some concrete. Like what kind of scooter? Like a Razor scooter, like a non-electric, non-motorized scooter. It was a pretty steep hill, so we're guessing it was a pretty good rate of speed that he fell at. It was unwitnessed. Okay. He was out of control. He wasn't responding at all when you got to him. Yeah, he wasn't responding at all when we were there. Just kind of spontaneous eye movement. And now he's talking with us, just does not remember the incident, but remembers that he was going to the park and all that, but doesn't remember the incident. He does keep repeating himself as well. [REDACTED], right? Yep. All right, thanks. Yep.</t>
  </si>
  <si>
    <t>New Age. New Age, 242. We're coming with a 16-year-old male. He was at the park [REDACTED]. [REDACTED], has a pretty good [REDACTED]. He was kind of knocked out when we were there. Doesn't remember the accident. Is coming to now. Is A&amp;O times four, A&amp;O times three. He doesn't remember the incident. Vitals are all stable and we should be there in about three to four minutes. You said he [REDACTED]? [REDACTED]. Like what kind of scooter? [REDACTED]. It was a [REDACTED], so we're guessing it was a [REDACTED] that he fell at. It was [REDACTED]. Okay. He was [REDACTED]. He wasn't responding at all when you got to him. Yeah, he wasn't responding at all when we were there. Just kind of spontaneous eye movement. And now he's talking with us, just does not remember the incident, but remembers that he was going to the park and all that, but doesn't remember the incident. He does keep repeating himself as well. 16-year-old, right? Yep. All right, thanks. Yep.</t>
  </si>
  <si>
    <t>This is Cleveland Medics 17. I got a 15 female. Gunshot wound to the right thigh. I'm sorry. It looks... stupid allergies. It looks like it went all the way through, but I can't tell for sure. But there's definitely a wound on both sides of the thigh. Bleeding is controlled. We have an Israeli bandage on it. Her vitals are stable. And we'll be there in about five minutes or so. All right. I'll let Pete know you guys are coming. Okay. Thank you. Bye.</t>
  </si>
  <si>
    <t>15 female. Gunshot wound to the right thigh. Bleeding is controlled. We have an Israeli bandage on it. Her vitals are stable. And we'll be there in about five minutes</t>
  </si>
  <si>
    <t>The transcript mentions a gunshot wound to the right thigh as the injury.</t>
  </si>
  <si>
    <t>This is Cleveland Medics 17. I got a [REDACTED]. Gunshot wound to the right thigh. I'm sorry. It looks... stupid allergies. It looks like it went all the way through, but I can't tell for sure. But there's definitely a wound on both sides of the thigh. Bleeding is controlled. We have an Israeli bandage on it. Her vitals are stable. And we'll be there in about five minutes or so. All right. I'll let Pete know you guys are coming. Okay. Thank you. Bye.</t>
  </si>
  <si>
    <t>Hello? Can you hear me? Yeah, go ahead. Two male, unrestrained passenger of the NBA, 8-0-4, does have crush injuries, yeah, crush injuries to both of his legs, his left leg. You said how old is he? Approximately two. Approximately two, okay. Crush injuries to legs, okay. He was pinned for an elongated period of time. Vitals are as follows, pressures 100 over 62, heart rate 108, rest force 30, 100 center of the air, GCS 15. All right, how far? Well, a couple minutes. All right, see you, bye. Yeah, bye.</t>
  </si>
  <si>
    <t>two year old male MVA. pressures 100 over 62, heart rate 108, rest force 30, 100 center of the air, GCS 15</t>
  </si>
  <si>
    <t>NBA (Non-Battlefield Accident) with crush injuries</t>
  </si>
  <si>
    <t>The transcript mentions a "non-battlefield accident" (NBA) with the patient having crush injuries to his legs.</t>
  </si>
  <si>
    <t>['Approximately two', 'Approximately two, okay']</t>
  </si>
  <si>
    <t>['heart rate 108']</t>
  </si>
  <si>
    <t>['pressures 100 over 62']</t>
  </si>
  <si>
    <t>['rest force 30']</t>
  </si>
  <si>
    <t>['unrestrained passenger of the NBA', 'crush injuries', 'crush injuries to both of his legs', 'pinned for an elongated period of time']</t>
  </si>
  <si>
    <t>Hello? Can you hear me? Yeah, go ahead. Two male, unrestrained passenger of the NBA, 8-0-4, does have crush injuries, yeah, crush injuries to both of his legs, his left leg. You said how old is he? Approximately two. Approximately two, okay. Crush injuries to legs, okay. He was pinned for an elongated period of time. Vitals are as follows, pressures 100 over 62, [REDACTED], rest force 30, 100 center of the air, GCS 15. All right, how far? Well, a couple minutes. All right, see you, bye. Yeah, bye.</t>
  </si>
  <si>
    <t>Hello? Can you hear me? Yeah, go ahead. Two male, unrestrained passenger of the NBA, 8-0-4, does have crush injuries, yeah, crush injuries to both of his legs, his left leg. You said how old is he? Approximately two. Approximately two, okay. Crush injuries to legs, okay. He was pinned for an elongated period of time. Vitals are as follows, [REDACTED], heart rate 108, rest force 30, 100 center of the air, GCS 15. All right, how far? Well, a couple minutes. All right, see you, bye. Yeah, bye.</t>
  </si>
  <si>
    <t>Hello? Can you hear me? Yeah, go ahead. Two male, unrestrained passenger of the NBA, 8-0-4, does have crush injuries, yeah, crush injuries to both of his legs, his left leg. You said how old is he? Approximately two. Approximately two, okay. Crush injuries to legs, okay. He was pinned for an elongated period of time. Vitals are as follows, pressures 100 over 62, heart rate 108, [REDACTED], 100 center of the air, GCS 15. All right, how far? Well, a couple minutes. All right, see you, bye. Yeah, bye.</t>
  </si>
  <si>
    <t>UH. Hi, this is Cleveland 31. Hey, do you have the GSW? Yeah, 15 year old male, GSW 15. Okay. Vital 140 over 82, heart rate 90, shot in the neck, no exit wound. He was walking. They walked him to the police station. Um, he, as of this time, he, he, all, um, MSPs are intact. Uh, no, no shortness of breath, GCS 15. No airway compromise at all. No airway compromise. Uh, we're like, I don't know, six, seven minutes away. All right. We'll see when you're here.</t>
  </si>
  <si>
    <t>15 year old male, GSW 15. Okay. Vital 140 over 82, heart rate 90, shot in the neck, no exit wound. No airway compromise and 5 to 6 minutes away.</t>
  </si>
  <si>
    <t>The transcript mentions a 15-year-old male with a gunshot wound (GSW) to the neck.</t>
  </si>
  <si>
    <t>['15 year old male']</t>
  </si>
  <si>
    <t>['heart rate 90']</t>
  </si>
  <si>
    <t>['Vital 140 over 82']</t>
  </si>
  <si>
    <t>['MSPs are intact']</t>
  </si>
  <si>
    <t>['GSW', 'shot in the neck']</t>
  </si>
  <si>
    <t>UH. Hi, this is Cleveland 31. Hey, do you have the GSW? Yeah, [REDACTED], GSW 15. Okay. Vital 140 over 82, heart rate 90, shot in the neck, no exit wound. He was walking. They walked him to the police station. Um, he, as of this time, he, he, all, um, MSPs are intact. Uh, no, no shortness of breath, GCS 15. No airway compromise at all. No airway compromise. Uh, we're like, I don't know, six, seven minutes away. All right. We'll see when you're here.</t>
  </si>
  <si>
    <t>UH. Hi, this is Cleveland 31. Hey, do you have the GSW? Yeah, 15 year old male, GSW 15. Okay. Vital 140 over 82, [REDACTED], shot in the neck, no exit wound. He was walking. They walked him to the police station. Um, he, as of this time, he, he, all, um, MSPs are intact. Uh, no, no shortness of breath, GCS 15. No airway compromise at all. No airway compromise. Uh, we're like, I don't know, six, seven minutes away. All right. We'll see when you're here.</t>
  </si>
  <si>
    <t>UH. Hi, this is Cleveland 31. Hey, do you have the GSW? Yeah, 15 year old male, GSW 15. Okay. [REDACTED], heart rate 90, shot in the neck, no exit wound. He was walking. They walked him to the police station. Um, he, as of this time, he, he, all, um, MSPs are intact. Uh, no, no shortness of breath, GCS 15. No airway compromise at all. No airway compromise. Uh, we're like, I don't know, six, seven minutes away. All right. We'll see when you're here.</t>
  </si>
  <si>
    <t>UH. Hi, this is Cleveland 31. Hey, do you have the GSW? Yeah, 15 year old male, GSW 15. Okay. Vital 140 over 82, heart rate 90, shot in the neck, no exit wound. He was walking. They walked him to the police station. Um, he, as of this time, he, he, all, um, [REDACTED]. Uh, no, no shortness of breath, GCS 15. No airway compromise at all. No airway compromise. Uh, we're like, I don't know, six, seven minutes away. All right. We'll see when you're here.</t>
  </si>
  <si>
    <t>UH. Hi, this is Cleveland 31. Hey, do you have the [REDACTED]? Yeah, 15 year old male, [REDACTED] 15. Okay. Vital 140 over 82, heart rate 90, [REDACTED], no exit wound. He was walking. They walked him to the police station. Um, he, as of this time, he, he, all, um, MSPs are intact. Uh, no, no shortness of breath, GCS 15. No airway compromise at all. No airway compromise. Uh, we're like, I don't know, six, seven minutes away. All right. We'll see when you're here.</t>
  </si>
  <si>
    <t>Hey, this is Medic 10. I got a doozy for you. Sorry, say that again. You got a what? I have a doozy for you. So we have four pediatric patients coming in from an MBS. Oh, geez. They're all stable. We have one here who's two, almost two. He's got kind of a fat lip. He maybe busted his head on the front seat. We have a real pediatric. Was he in a car seat? Oh, yes. Yes, he was in a car seat that was not strapped in. Okay. We have a three-year-old here who looks like he busted his lip as well. Maybe on the front seat of the car. Logan's five years old, busted his lip on the front car. A six-year-old with a little bit of mouth pain. And then the other one is... Are they all males? Yes. Sorry, I'm trying to write all this down. No, you're good. Okay, so it's a two-year-old male. Was the five-year-old... Five-year-old... Was just complaining of fat lip, too? No, leg pain. Oh, leg pain. Yeah. Okay, and then what about the six-year-old? Oh, sorry. Six-year-old with mouth. Five-year-old is nothing. He's good. Oh, but he's still coming in to be seen? Yes. Yeah, we're bringing them all in just because of the nature of the accident. Okay. What is the fourth one? Six-year-old, five-year-old. And a three-year-old, he's pretty good, too. Oh, wait. So the fourth one is a three-year-old? Yes. Okay, sorry. And then no complaint on that one, either? No. And then how fast was the car going? It was highway speeds. Okay. And they made contact with the other car. I think you might have the other patient there already with Medic 31. Okay. Sarah, can you answer this? Sorry. I just, Pete's trauma criteria is a lot different than ours. No, you're okay. I'm pretty sure they're all going to be traumas. They, were any of, so, I know the two-year-old was in a car seat, but it wasn't strapped in. Were all of them wearing seatbelts? Not that we know of. Okay. And all acting age-appropriate? Yes. Okay. How was damage to the car, or where was the damage? To the car? Moderate. Yeah, it's pretty moderate. All airbags were deployed. Okay. All right. What's your ETA? About 10, 15. We're going to go slow. Okay. I'm going to walk down to Pete's and give them all this information. Do you want to be seen as well? All right. And how old are you? A 25-year-old female was driving. Okay. Where are you hurting at? Hurting in her face. No. No obvious injuries. Okay. All right. We'll see you guys when you get here. All right. Thank you.</t>
  </si>
  <si>
    <t>MBS (Motor Vehicle Collision)</t>
  </si>
  <si>
    <t>The transcript mentions an MBS with highway speed impact and moderate car damage.</t>
  </si>
  <si>
    <t>['two, almost two', 'three-year-old', "Logan's five years old", 'six-year-old', 'two-year-old male', 'five-year-old', 'six-year-old', 'three-year-old', '25-year-old female']</t>
  </si>
  <si>
    <t>['all acting age-appropriate']</t>
  </si>
  <si>
    <t>Hey, this is Medic 10. I got a doozy for you. Sorry, say that again. You got a what? I have a doozy for you. So we have four pediatric patients coming in from an MBS. Oh, geez. They're all stable. We have one here who's two, almost two. He's got kind of a fat lip. He maybe busted his head on the front seat. We have a real pediatric. Was he in a car seat? Oh, yes. Yes, he was in a car seat that was not strapped in. Okay. We have a three-year-old here who looks like he busted his lip as well. Maybe on the front seat of the car. Logan's five years old, busted his lip on the front car. A six-year-old with a little bit of mouth pain. And then the other one is... Are they all males? Yes. Sorry, I'm trying to write all this down. No, you're good. Okay, so it's a two-year-old male. Was the five-year-old... Five-year-old... Was just complaining of fat lip, too? No, leg pain. Oh, leg pain. Yeah. Okay, and then what about the six-year-old? Oh, sorry. Six-year-old with mouth. Five-year-old is nothing. He's good. Oh, but he's still coming in to be seen? Yes. Yeah, we're bringing them all in just because of the nature of the accident. Okay. What is the fourth one? Six-year-old, five-year-old. And a three-year-old, he's pretty good, too. Oh, wait. So the fourth one is a three-year-old? Yes. Okay, sorry. And then no complaint on that one, either? No. And then how fast was the car going? It was highway speeds. Okay. And they made contact with the other car. I think you might have the other patient there already with Medic 31. Okay. Sarah, can you answer this? Sorry. I just, Pete's trauma criteria is a lot different than ours. No, you're okay. I'm pretty sure they're all going to be traumas. They, were any of, so, I know the two-year-old was in a car seat, but it wasn't strapped in. Were all of them wearing seatbelts? Not that we know of. Okay. And [REDACTED]? Yes. Okay. How was damage to the car, or where was the damage? To the car? Moderate. Yeah, it's pretty moderate. All airbags were deployed. Okay. All right. What's your ETA? About 10, 15. We're going to go slow. Okay. I'm going to walk down to Pete's and give them all this information. Do you want to be seen as well? All right. And how old are you? A 25-year-old female was driving. Okay. Where are you hurting at? Hurting in her face. No. No obvious injuries. Okay. All right. We'll see you guys when you get here. All right. Thank you.</t>
  </si>
  <si>
    <t>Hello, it's Q8. Hey, it's 17. We're going to have three people from this NBA. Stay mild. Both tires did pop off of the vehicle. They got side plates hitting the guardrail there. No starting the windshield. Airbags did deploy. Everyone was wearing their seatbelt. We're going to have a 34 female. Everyone's stable. Her 34 female has left arm pain and she does have a decent goose egg on the top of her forehead. She did hit her head on the steering wheel. A three-year-old female. She just has a little cut on her right below her lip. Stable as well. An 18 female probably just got costly glass in her eye. I haven't seen any, but left eye pain and left-sided body pain. Everyone was self-executive prior to our arrival. No blood thinners. I'm going to say no LLC. She said she was out for a minute, but I'm going to say no. The kid was in the car seat? Yeah, everyone was restrained. How fast do you think this car was going? I said 60. They may end up making the Peds look trauma. She was in the car seat. They got side swiped and they ended up hitting the guardrails. That's what I said. Yeah, there's minor car damage, but both tires did actually come off. I'll see what they say. And one of these mom, I assume? Yes. So an 18-year-old or a 34-year-old? What's that? Which one's the mom? The 34? Mom of the baby, correct? The 34-year-old. You think she's going to be able to follow the baby? Yeah. Okay. All right. How far? Five out? The 34-year-old's the one with the goose egg, but I think she should be more concerned about the baby. Right. Five out? Ten out? Somewhere. We're on, yeah, we're on like 60th and Chester, so probably five. Okay. Thank you. All righty. Thank you.</t>
  </si>
  <si>
    <t>Motor vehicle accident (NBA) with side swipe and guardrail impact</t>
  </si>
  <si>
    <t>The transcript describes a motor vehicle accident where the vehicle was side swiped and hit a guardrail, causing both tires to pop off.</t>
  </si>
  <si>
    <t>['34 female', 'three-year-old female', '18 female', '18-year-old', '34-year-old']</t>
  </si>
  <si>
    <t>['Everyone was self-executive prior to our arrival', "I'm going to say no LLC", "She said she was out for a minute, but I'm going to say no"]</t>
  </si>
  <si>
    <t>Hello, it's Q8. Hey, it's 17. We're going to have three people from this NBA. Stay mild. Both tires did pop off of the vehicle. They got side plates hitting the guardrail there. No starting the windshield. Airbags did deploy. Everyone was wearing their seatbelt. We're going to have a [REDACTED]. Everyone's stable. Her [REDACTED] has left arm pain and she does have a decent goose egg on the top of her forehead. She did hit her head on the steering wheel. A [REDACTED]. She just has a little cut on her right below her lip. Stable as well. An [REDACTED] probably just got costly glass in her eye. I haven't seen any, but left eye pain and left-sided body pain. Everyone was self-executive prior to our arrival. No blood thinners. I'm going to say no LLC. She said she was out for a minute, but I'm going to say no. The kid was in the car seat? Yeah, everyone was restrained. How fast do you think this car was going? I said 60. They may end up making the Peds look trauma. She was in the car seat. They got side swiped and they ended up hitting the guardrails. That's what I said. Yeah, there's minor car damage, but both tires did actually come off. I'll see what they say. And one of these mom, I assume? Yes. So an [REDACTED] or a [REDACTED]? What's that? Which one's the mom? The 34? Mom of the baby, correct? The [REDACTED]. You think she's going to be able to follow the baby? Yeah. Okay. All right. How far? Five out? The [REDACTED]'s the one with the goose egg, but I think she should be more concerned about the baby. Right. Five out? Ten out? Somewhere. We're on, yeah, we're on like 60th and Chester, so probably five. Okay. Thank you. All righty. Thank you.</t>
  </si>
  <si>
    <t>Hello, it's Q8. Hey, it's 17. We're going to have three people from this NBA. Stay mild. Both tires did pop off of the vehicle. They got side plates hitting the guardrail there. No starting the windshield. Airbags did deploy. Everyone was wearing their seatbelt. We're going to have a 34 female. Everyone's stable. Her 34 female has left arm pain and she does have a decent goose egg on the top of her forehead. She did hit her head on the steering wheel. A three-year-old female. She just has a little cut on her right below her lip. Stable as well. An 18 female probably just got costly glass in her eye. I haven't seen any, but left eye pain and left-sided body pain. [REDACTED]. No blood thinners. [REDACTED]. [REDACTED]. The kid was in the car seat? Yeah, everyone was restrained. How fast do you think this car was going? I said 60. They may end up making the Peds look trauma. She was in the car seat. They got side swiped and they ended up hitting the guardrails. That's what I said. Yeah, there's minor car damage, but both tires did actually come off. I'll see what they say. And one of these mom, I assume? Yes. So an 18-year-old or a 34-year-old? What's that? Which one's the mom? The 34? Mom of the baby, correct? The 34-year-old. You think she's going to be able to follow the baby? Yeah. Okay. All right. How far? Five out? The 34-year-old's the one with the goose egg, but I think she should be more concerned about the baby. Right. Five out? Ten out? Somewhere. We're on, yeah, we're on like 60th and Chester, so probably five. Okay. Thank you. All righty. Thank you.</t>
  </si>
  <si>
    <t>UH. Hi UH, we're calling for Rainbows bringing up pediatric trauma. Alright, who is this? Willoughby 1452. Okay. Ready for report? Yep, go ahead. We're bringing you a 12 year old, ANO times 4, 12 year old male. Rode his bike down a fairly steep incline, went over a small ledge and landed on a beach on a bicycle. Friends on scene state that he never lost consciousness. He says that he never lost consciousness. We do have heavy bruising on the left or right side. We have two splints. Right side of what? Right side thigh. Okay, okay. Yeah, right side. Right side of the body. Okay. Correct. Two splints on each forearm. There is no instability but there is heavy bruising. Patient states that there is a significant amount of pain. Again, no deformity. We do have a C-collar. We've tried for two IVs unsuccessfully. Current vitals, we have four lead on with normal sinus. Pulse of 86. SpO2 is 100% room air. First blood pressure was 160 over the first. Okay. And we tried for two IVs unsuccessfully. We're going to give him fentanyl by weight. ETA is approximately 10 minutes. Okay. Family said he's not on blood thinners. Okay. How far from over the ledge to the beach? It was about 10 feet and he said that he landed on the bicycle and the bike sort of tilted forward. There is kind of a steering wheel in like a brutal way. Okay. And he's not on the bike. He's on the bike. Okay. So, he's not on the bike. Okay. So, he's not on the bike. Okay. So, he's not on the bike. Okay. So, he's not on the bike. Okay. So, he's not on the bike. Okay. So, he's not on the bike. There is kind of a steering wheel in like bruising on his chest. Okay. There was no instability and he did lose one tooth. He's got slight bruising and cuts around his mouth. Okay. But again, no blood thinners as the parents said. Okay. I'll let him know. See you in about 10 minutes. Sounds good. Thank you. Thank you. Bye. Yep. Bye.</t>
  </si>
  <si>
    <t>12 year old male. AAOx4. Rode his bike down a fairly steep incline, went over a small ledge and landed on a beach on a bicycle. No LOC. Pulse of 86. SpO2 is 100% room air. First blood pressure was 160 over. ETA 10 minutes.</t>
  </si>
  <si>
    <t>Bicycle accident down a steep incline</t>
  </si>
  <si>
    <t>The report describes the patient riding a bike down a steep incline, going over a ledge, and landing on a beach, which indicates a bicycle accident.</t>
  </si>
  <si>
    <t>['12 year old', '12 year old male']</t>
  </si>
  <si>
    <t>['Pulse of 86']</t>
  </si>
  <si>
    <t>['First blood pressure was 160 over the first']</t>
  </si>
  <si>
    <t>['ANO times 4', 'never lost consciousness', 'he never lost consciousness']</t>
  </si>
  <si>
    <t>UH. Hi UH, we're calling for Rainbows bringing up pediatric trauma. Alright, who is this? Willoughby 1452. Okay. Ready for report? Yep, go ahead. We're bringing you a 12 year old, ANO times 4, 12 year old male. Rode his bike down a fairly steep incline, went over a small ledge and landed on a beach on a bicycle. Friends on scene state that he never lost consciousness. He says that he never lost consciousness. We do have heavy bruising on the left or right side. We have two splints. Right side of what? Right side thigh. Okay, okay. Yeah, right side. Right side of the body. Okay. Correct. Two splints on each forearm. There is no instability but there is heavy bruising. Patient states that there is a significant amount of pain. Again, no deformity. We do have a C-collar. We've tried for two IVs unsuccessfully. Current vitals, we have four lead on with normal sinus. [REDACTED]. SpO2 is 100% room air. First blood pressure was 160 over the first. Okay. And we tried for two IVs unsuccessfully. We're going to give him fentanyl by weight. ETA is approximately 10 minutes. Okay. Family said he's not on blood thinners. Okay. How far from over the ledge to the beach? It was about 10 feet and he said that he landed on the bicycle and the bike sort of tilted forward. There is kind of a steering wheel in like a brutal way. Okay. And he's not on the bike. He's on the bike. Okay. So, he's not on the bike. Okay. So, he's not on the bike. Okay. So, he's not on the bike. Okay. So, he's not on the bike. Okay. So, he's not on the bike. Okay. So, he's not on the bike. There is kind of a steering wheel in like bruising on his chest. Okay. There was no instability and he did lose one tooth. He's got slight bruising and cuts around his mouth. Okay. But again, no blood thinners as the parents said. Okay. I'll let him know. See you in about 10 minutes. Sounds good. Thank you. Thank you. Bye. Yep. Bye.</t>
  </si>
  <si>
    <t>UH. Hi UH, we're calling for Rainbows bringing up pediatric trauma. Alright, who is this? Willoughby 1452. Okay. Ready for report? Yep, go ahead. We're bringing you a 12 year old, ANO times 4, 12 year old male. Rode his bike down a fairly steep incline, went over a small ledge and landed on a beach on a bicycle. Friends on scene state that he never lost consciousness. He says that he never lost consciousness. We do have heavy bruising on the left or right side. We have two splints. Right side of what? Right side thigh. Okay, okay. Yeah, right side. Right side of the body. Okay. Correct. Two splints on each forearm. There is no instability but there is heavy bruising. Patient states that there is a significant amount of pain. Again, no deformity. We do have a C-collar. We've tried for two IVs unsuccessfully. Current vitals, we have four lead on with normal sinus. Pulse of 86. SpO2 is 100% room air. [REDACTED]. Okay. And we tried for two IVs unsuccessfully. We're going to give him fentanyl by weight. ETA is approximately 10 minutes. Okay. Family said he's not on blood thinners. Okay. How far from over the ledge to the beach? It was about 10 feet and he said that he landed on the bicycle and the bike sort of tilted forward. There is kind of a steering wheel in like a brutal way. Okay. And he's not on the bike. He's on the bike. Okay. So, he's not on the bike. Okay. So, he's not on the bike. Okay. So, he's not on the bike. Okay. So, he's not on the bike. Okay. So, he's not on the bike. Okay. So, he's not on the bike. There is kind of a steering wheel in like bruising on his chest. Okay. There was no instability and he did lose one tooth. He's got slight bruising and cuts around his mouth. Okay. But again, no blood thinners as the parents said. Okay. I'll let him know. See you in about 10 minutes. Sounds good. Thank you. Thank you. Bye. Yep. Bye.</t>
  </si>
  <si>
    <t>UH. Hi UH, we're calling for Rainbows bringing up pediatric trauma. Alright, who is this? Willoughby 1452. Okay. Ready for report? Yep, go ahead. We're bringing you a 12 year old, [REDACTED], 12 year old male. Rode his bike down a fairly steep incline, went over a small ledge and landed on a beach on a bicycle. Friends on scene state that he [REDACTED]. He says that he [REDACTED]. We do have heavy bruising on the left or right side. We have two splints. Right side of what? Right side thigh. Okay, okay. Yeah, right side. Right side of the body. Okay. Correct. Two splints on each forearm. There is no instability but there is heavy bruising. Patient states that there is a significant amount of pain. Again, no deformity. We do have a C-collar. We've tried for two IVs unsuccessfully. Current vitals, we have four lead on with normal sinus. Pulse of 86. SpO2 is 100% room air. First blood pressure was 160 over the first. Okay. And we tried for two IVs unsuccessfully. We're going to give him fentanyl by weight. ETA is approximately 10 minutes. Okay. Family said he's not on blood thinners. Okay. How far from over the ledge to the beach? It was about 10 feet and he said that he landed on the bicycle and the bike sort of tilted forward. There is kind of a steering wheel in like a brutal way. Okay. And he's not on the bike. He's on the bike. Okay. So, he's not on the bike. Okay. So, he's not on the bike. Okay. So, he's not on the bike. Okay. So, he's not on the bike. Okay. So, he's not on the bike. Okay. So, he's not on the bike. There is kind of a steering wheel in like bruising on his chest. Okay. There was no instability and he did lose one tooth. He's got slight bruising and cuts around his mouth. Okay. But again, no blood thinners as the parents said. Okay. I'll let him know. See you in about 10 minutes. Sounds good. Thank you. Thank you. Bye. Yep. Bye.</t>
  </si>
  <si>
    <t>Hello, it's UH. Hey UH, this is Peter on Euclid Medic 42 calling in a patient report. Go ahead. We're going to be en route with a 10 year old male. The male was a passenger in a car that struck a tree. We have his mom on the way too, as well as the third patient. There's three patients coming. We have the 10 year old male. He's just complaining of some pain in his finger and in his right elbow. No other deformities that we can see of now. There's no other consciousness. The patient did say he was asleep when the accident happened. He does not remember anything else. Current heart rate is 120. He's 100 on room air. My blood pressure is still cycling. We'll be at your facility in about seven minutes. Questions or orders for us? How fast do they believe they were going? Mom said that they were driving about 40. 45 miles an hour. There was pretty extensive damage to the front end of the vehicle. He was restrained in the back seat? He was unrestrained in the back seat. Unrestrained back seat. They're going to probably make him a limited. All right. We'll see you in a few. Thank you, sir.</t>
  </si>
  <si>
    <t>10 year old male. Car struck a tree at 45 mph and no LOC. HR is 120 and 100% Room air. ETA 7 minutes.</t>
  </si>
  <si>
    <t>Car struck a tree</t>
  </si>
  <si>
    <t>The transcript mentions the male was a passenger in a car that struck a tree.</t>
  </si>
  <si>
    <t>['Current heart rate is 120']</t>
  </si>
  <si>
    <t>Hello, it's UH. Hey UH, this is Peter on Euclid Medic 42 calling in a patient report. Go ahead. We're going to be en route with a [REDACTED]. The male was a passenger in a car that struck a tree. We have his mom on the way too, as well as the third patient. There's three patients coming. We have the [REDACTED]. He's just complaining of some pain in his finger and in his right elbow. No other deformities that we can see of now. There's no other consciousness. The patient did say he was asleep when the accident happened. He does not remember anything else. Current heart rate is 120. He's 100 on room air. My blood pressure is still cycling. We'll be at your facility in about seven minutes. Questions or orders for us? How fast do they believe they were going? Mom said that they were driving about 40. 45 miles an hour. There was pretty extensive damage to the front end of the vehicle. He was restrained in the back seat? He was unrestrained in the back seat. Unrestrained back seat. They're going to probably make him a limited. All right. We'll see you in a few. Thank you, sir.</t>
  </si>
  <si>
    <t>Hello, it's UH. Hey UH, this is Peter on Euclid Medic 42 calling in a patient report. Go ahead. We're going to be en route with a 10 year old male. The male was a passenger in a car that struck a tree. We have his mom on the way too, as well as the third patient. There's three patients coming. We have the 10 year old male. He's just complaining of some pain in his finger and in his right elbow. No other deformities that we can see of now. There's no other consciousness. The patient did say he was asleep when the accident happened. He does not remember anything else. [REDACTED]. He's 100 on room air. My blood pressure is still cycling. We'll be at your facility in about seven minutes. Questions or orders for us? How fast do they believe they were going? Mom said that they were driving about 40. 45 miles an hour. There was pretty extensive damage to the front end of the vehicle. He was restrained in the back seat? He was unrestrained in the back seat. Unrestrained back seat. They're going to probably make him a limited. All right. We'll see you in a few. Thank you, sir.</t>
  </si>
  <si>
    <t>Hello, it's UH. Hey UH, this is Peter on Euclid Medic 42 calling in a patient report. Go ahead. We're going to be en route with a 10 year old male. The male was a passenger in a car that struck a tree. We have his mom on the way too, as well as the third patient. There's three patients coming. We have the 10 year old male. He's just complaining of some pain in his finger and in his right elbow. No other deformities that we can see of now. There's no other consciousness. [REDACTED]. [REDACTED]. Current heart rate is 120. He's 100 on room air. My blood pressure is still cycling. We'll be at your facility in about seven minutes. Questions or orders for us? How fast do they believe they were going? Mom said that they were driving about 40. 45 miles an hour. There was pretty extensive damage to the front end of the vehicle. He was restrained in the back seat? He was unrestrained in the back seat. Unrestrained back seat. They're going to probably make him a limited. All right. We'll see you in a few. Thank you, sir.</t>
  </si>
  <si>
    <t>U.H. This is Euclid 43. What you got? It is. Bringing in another one from that accident. Okay. 17-year-old male. Uh-huh. Sitting in the front passenger seat. Complaining of right wrist pain. No obvious deformity. And left lower calf pain. No obvious deformity down there. All MSPs intact. Says he did not lose consciousness. Doesn't remember if he hit his head or not. Airbag deployment. BP 128 over 64. SpO2 99% on room air. 87 heart rate. Sinus rhythm. 18 left AC. All right. Five. What's that? Five minutes out. We're looking at about eight minutes. All right. Well, since we made the female a limited, we're going to probably have to make him an unlimited. Okay. So he'll stay on the adult side. Okay? Okay. Sounds good. Thanks. Hey, uh...</t>
  </si>
  <si>
    <t>17 year old male. MVA.  BP 128 over 64. SpO2 99% on room air. 87 heart rate. Sinus rhythm. 5 minutes out.</t>
  </si>
  <si>
    <t>Motor vehicle collision (MVC)</t>
  </si>
  <si>
    <t>The transcript mentions an "accident" and the patient was "sitting in the front passenger seat" with "airbag deployment," indicating a motor vehicle collision.</t>
  </si>
  <si>
    <t>['17-year-old male']</t>
  </si>
  <si>
    <t>['87 heart rate']</t>
  </si>
  <si>
    <t>['BP 128 over 64']</t>
  </si>
  <si>
    <t>['Says he did not lose consciousness', "Doesn't remember if he hit his head or not"]</t>
  </si>
  <si>
    <t>['accident', 'Sitting in the front passenger seat', 'Airbag deployment']</t>
  </si>
  <si>
    <t>U.H. This is Euclid 43. What you got? It is. Bringing in another one from that accident. Okay. [REDACTED]. Uh-huh. Sitting in the front passenger seat. Complaining of right wrist pain. No obvious deformity. And left lower calf pain. No obvious deformity down there. All MSPs intact. Says he did not lose consciousness. Doesn't remember if he hit his head or not. Airbag deployment. BP 128 over 64. SpO2 99% on room air. 87 heart rate. Sinus rhythm. 18 left AC. All right. Five. What's that? Five minutes out. We're looking at about eight minutes. All right. Well, since we made the female a limited, we're going to probably have to make him an unlimited. Okay. So he'll stay on the adult side. Okay? Okay. Sounds good. Thanks. Hey, uh...</t>
  </si>
  <si>
    <t>U.H. This is Euclid 43. What you got? It is. Bringing in another one from that accident. Okay. 17-year-old male. Uh-huh. Sitting in the front passenger seat. Complaining of right wrist pain. No obvious deformity. And left lower calf pain. No obvious deformity down there. All MSPs intact. Says he did not lose consciousness. Doesn't remember if he hit his head or not. Airbag deployment. BP 128 over 64. SpO2 99% on room air. [REDACTED]. Sinus rhythm. 18 left AC. All right. Five. What's that? Five minutes out. We're looking at about eight minutes. All right. Well, since we made the female a limited, we're going to probably have to make him an unlimited. Okay. So he'll stay on the adult side. Okay? Okay. Sounds good. Thanks. Hey, uh...</t>
  </si>
  <si>
    <t>U.H. This is Euclid 43. What you got? It is. Bringing in another one from that accident. Okay. 17-year-old male. Uh-huh. Sitting in the front passenger seat. Complaining of right wrist pain. No obvious deformity. And left lower calf pain. No obvious deformity down there. All MSPs intact. Says he did not lose consciousness. Doesn't remember if he hit his head or not. Airbag deployment. [REDACTED]. SpO2 99% on room air. 87 heart rate. Sinus rhythm. 18 left AC. All right. Five. What's that? Five minutes out. We're looking at about eight minutes. All right. Well, since we made the female a limited, we're going to probably have to make him an unlimited. Okay. So he'll stay on the adult side. Okay? Okay. Sounds good. Thanks. Hey, uh...</t>
  </si>
  <si>
    <t>U.H. This is Euclid 43. What you got? It is. Bringing in another one from that accident. Okay. 17-year-old male. Uh-huh. Sitting in the front passenger seat. Complaining of right wrist pain. No obvious deformity. And left lower calf pain. No obvious deformity down there. All MSPs intact. [REDACTED]. [REDACTED]. Airbag deployment. BP 128 over 64. SpO2 99% on room air. 87 heart rate. Sinus rhythm. 18 left AC. All right. Five. What's that? Five minutes out. We're looking at about eight minutes. All right. Well, since we made the female a limited, we're going to probably have to make him an unlimited. Okay. So he'll stay on the adult side. Okay? Okay. Sounds good. Thanks. Hey, uh...</t>
  </si>
  <si>
    <t>U.H. This is Euclid 43. What you got? It is. Bringing in another one from that [REDACTED]. Okay. 17-year-old male. Uh-huh. [REDACTED]. Complaining of right wrist pain. No obvious deformity. And left lower calf pain. No obvious deformity down there. All MSPs intact. Says he did not lose consciousness. Doesn't remember if he hit his head or not. [REDACTED]. BP 128 over 64. SpO2 99% on room air. 87 heart rate. Sinus rhythm. 18 left AC. All right. Five. What's that? Five minutes out. We're looking at about eight minutes. All right. Well, since we made the female a limited, we're going to probably have to make him an unlimited. Okay. So he'll stay on the adult side. Okay? Okay. Sounds good. Thanks. Hey, uh...</t>
  </si>
  <si>
    <t>UH. Hey, this is Medic 26. We got a seven-year-old gunshot wound to the head. Heart rate 145, BP 103.92, restoration 24, SVO 92. And we should be about maybe five minutes away. Five? When did this happen? Like just now? Maybe about six or seven minutes ago. Okay. All right. All right. Bye.</t>
  </si>
  <si>
    <t>seven-year-old gunshot wound to the head. Heart rate 145, BP 103.92, restoration 24, SVO 92. 5 minutes ETA.</t>
  </si>
  <si>
    <t>GSW to head</t>
  </si>
  <si>
    <t>The transcript mentions a seven-year-old with a gunshot wound to the head.</t>
  </si>
  <si>
    <t>['seven-year-old']</t>
  </si>
  <si>
    <t>['Heart rate 145']</t>
  </si>
  <si>
    <t>['BP 103.92']</t>
  </si>
  <si>
    <t>['gunshot wound to the head']</t>
  </si>
  <si>
    <t>UH. Hey, this is Medic 26. We got a [REDACTED] gunshot wound to the head. Heart rate 145, BP 103.92, restoration 24, SVO 92. And we should be about maybe five minutes away. Five? When did this happen? Like just now? Maybe about six or seven minutes ago. Okay. All right. All right. Bye.</t>
  </si>
  <si>
    <t>UH. Hey, this is Medic 26. We got a seven-year-old gunshot wound to the head. [REDACTED], BP 103.92, restoration 24, SVO 92. And we should be about maybe five minutes away. Five? When did this happen? Like just now? Maybe about six or seven minutes ago. Okay. All right. All right. Bye.</t>
  </si>
  <si>
    <t>UH. Hey, this is Medic 26. We got a seven-year-old gunshot wound to the head. Heart rate 145, [REDACTED], restoration 24, SVO 92. And we should be about maybe five minutes away. Five? When did this happen? Like just now? Maybe about six or seven minutes ago. Okay. All right. All right. Bye.</t>
  </si>
  <si>
    <t>UH. Hey, this is Medic 26. We got a seven-year-old [REDACTED]. Heart rate 145, BP 103.92, restoration 24, SVO 92. And we should be about maybe five minutes away. Five? When did this happen? Like just now? Maybe about six or seven minutes ago. Okay. All right. All right. Bye.</t>
  </si>
  <si>
    <t>Hello, SUH. Yeah, this is Whitworth Squad of 1532. I'm looking for Rainbows. Okay, what you got, Whitworth? We're going to come to your facility with a 12-year-old male. He's riding his bike across the street. He got hit on the right side of a car. He was thrown from his bike. He lost consciousness. The car is doing about 35 miles an hour. He is 8.04 right now. We do have him in a C-collar. He's on a reef stretcher. He's got about a two-inch laceration to the back of his head. Bleeding is controlled. He looks like a broken nose and just a few creasing on the left leg. I have vitals, blood pressure 135 over 86. Heart rate is 107. Rest area is 18. 99% are remaining. We tried two IV attempts. We were unsuccessful. We do have mom with us in the squad. We're going to have an ETA of about probably 10 to 12 years. Okay. Just the left leg you said was just bruised? Yeah, just bruised on the left side. Okay. We'll see you at 12. I'll let Rainbows know. It'll probably be a limited trauma there. Okay. All right. Thank you. Bye.</t>
  </si>
  <si>
    <t>12-year-old male. He's riding his bike across the street. He got hit on the right side of a car. He was thrown from his bike. He lost consciousness. The car is doing about 35 miles an hour. Bleeding is controlled. blood pressure 135 over 86. Heart rate is 107. Rest area is 18. 99% are remaining.  ETA 10-12 min.</t>
  </si>
  <si>
    <t>Bicycle collision with car</t>
  </si>
  <si>
    <t>The transcript describes a 12-year-old male who was hit by a car while riding his bike.</t>
  </si>
  <si>
    <t>['12-year-old male']</t>
  </si>
  <si>
    <t>['Heart rate is 107']</t>
  </si>
  <si>
    <t>['blood pressure 135 over 86']</t>
  </si>
  <si>
    <t>['Rest area is 18']</t>
  </si>
  <si>
    <t>['He lost consciousness']</t>
  </si>
  <si>
    <t>Hello, SUH. Yeah, this is Whitworth Squad of 1532. I'm looking for Rainbows. Okay, what you got, Whitworth? We're going to come to your facility with a [REDACTED]. He's riding his bike across the street. He got hit on the right side of a car. He was thrown from his bike. He lost consciousness. The car is doing about 35 miles an hour. He is 8.04 right now. We do have him in a C-collar. He's on a reef stretcher. He's got about a two-inch laceration to the back of his head. Bleeding is controlled. He looks like a broken nose and just a few creasing on the left leg. I have vitals, blood pressure 135 over 86. Heart rate is 107. Rest area is 18. 99% are remaining. We tried two IV attempts. We were unsuccessful. We do have mom with us in the squad. We're going to have an ETA of about probably 10 to 12 years. Okay. Just the left leg you said was just bruised? Yeah, just bruised on the left side. Okay. We'll see you at 12. I'll let Rainbows know. It'll probably be a limited trauma there. Okay. All right. Thank you. Bye.</t>
  </si>
  <si>
    <t>Hello, SUH. Yeah, this is Whitworth Squad of 1532. I'm looking for Rainbows. Okay, what you got, Whitworth? We're going to come to your facility with a 12-year-old male. He's riding his bike across the street. He got hit on the right side of a car. He was thrown from his bike. He lost consciousness. The car is doing about 35 miles an hour. He is 8.04 right now. We do have him in a C-collar. He's on a reef stretcher. He's got about a two-inch laceration to the back of his head. Bleeding is controlled. He looks like a broken nose and just a few creasing on the left leg. I have vitals, blood pressure 135 over 86. [REDACTED]. Rest area is 18. 99% are remaining. We tried two IV attempts. We were unsuccessful. We do have mom with us in the squad. We're going to have an ETA of about probably 10 to 12 years. Okay. Just the left leg you said was just bruised? Yeah, just bruised on the left side. Okay. We'll see you at 12. I'll let Rainbows know. It'll probably be a limited trauma there. Okay. All right. Thank you. Bye.</t>
  </si>
  <si>
    <t>Hello, SUH. Yeah, this is Whitworth Squad of 1532. I'm looking for Rainbows. Okay, what you got, Whitworth? We're going to come to your facility with a 12-year-old male. He's riding his bike across the street. He got hit on the right side of a car. He was thrown from his bike. He lost consciousness. The car is doing about 35 miles an hour. He is 8.04 right now. We do have him in a C-collar. He's on a reef stretcher. He's got about a two-inch laceration to the back of his head. Bleeding is controlled. He looks like a broken nose and just a few creasing on the left leg. I have vitals, [REDACTED]. Heart rate is 107. Rest area is 18. 99% are remaining. We tried two IV attempts. We were unsuccessful. We do have mom with us in the squad. We're going to have an ETA of about probably 10 to 12 years. Okay. Just the left leg you said was just bruised? Yeah, just bruised on the left side. Okay. We'll see you at 12. I'll let Rainbows know. It'll probably be a limited trauma there. Okay. All right. Thank you. Bye.</t>
  </si>
  <si>
    <t>Hello, SUH. Yeah, this is Whitworth Squad of 1532. I'm looking for Rainbows. Okay, what you got, Whitworth? We're going to come to your facility with a 12-year-old male. He's riding his bike across the street. He got hit on the right side of a car. He was thrown from his bike. He lost consciousness. The car is doing about 35 miles an hour. He is 8.04 right now. We do have him in a C-collar. He's on a reef stretcher. He's got about a two-inch laceration to the back of his head. Bleeding is controlled. He looks like a broken nose and just a few creasing on the left leg. I have vitals, blood pressure 135 over 86. Heart rate is 107. [REDACTED]. 99% are remaining. We tried two IV attempts. We were unsuccessful. We do have mom with us in the squad. We're going to have an ETA of about probably 10 to 12 years. Okay. Just the left leg you said was just bruised? Yeah, just bruised on the left side. Okay. We'll see you at 12. I'll let Rainbows know. It'll probably be a limited trauma there. Okay. All right. Thank you. Bye.</t>
  </si>
  <si>
    <t>Hello, SUH. Yeah, this is Whitworth Squad of 1532. I'm looking for Rainbows. Okay, what you got, Whitworth? We're going to come to your facility with a 12-year-old male. He's riding his bike across the street. He got hit on the right side of a car. He was thrown from his bike. [REDACTED]. The car is doing about 35 miles an hour. He is 8.04 right now. We do have him in a C-collar. He's on a reef stretcher. He's got about a two-inch laceration to the back of his head. Bleeding is controlled. He looks like a broken nose and just a few creasing on the left leg. I have vitals, blood pressure 135 over 86. Heart rate is 107. Rest area is 18. 99% are remaining. We tried two IV attempts. We were unsuccessful. We do have mom with us in the squad. We're going to have an ETA of about probably 10 to 12 years. Okay. Just the left leg you said was just bruised? Yeah, just bruised on the left side. Okay. We'll see you at 12. I'll let Rainbows know. It'll probably be a limited trauma there. Okay. All right. Thank you. Bye.</t>
  </si>
  <si>
    <t>New ATR. New ATR, how we doing? Cleveland 21 here. Go ahead, 21. Alright, we're coming at you with a three-bagger. We have an MVA car versus telephone pole, major damage to the front. Three patients, 53-year-old female driver and two minor 10-year-old male and a 4-year-old male. 10-year-old male is complaining of right knee pain. The 53-year-old female has got head and also knee pain. A couple of abrasions. The 4-year-old is the one we're concerned the most about. He's got kind of lethargic, distended abdomen a little bit. Everybody's got stable vitals all the way around. Trying for an IV on the 4-year-old right now. Everybody was self-executed on scene. No LLC or blood thinners or anything. So, were they going really fast when they hit this pole? Was there any intrusion or any other reason to activate a trauma? Because I'm not hearing one from you. Okay, man. It's got some pretty bad intrusion to the front. Very major damage. Okay, I wasn't picking that up. So, I guess I'll page out a limited trauma on the 53-year-old with the head injury? Yeah. The 4-year-old is the one I'm concerned the most about. I'll call pediatrics and talk to them. Okay. Alright, thanks.</t>
  </si>
  <si>
    <t>MVA car versus telephone pole</t>
  </si>
  <si>
    <t>The transcript mentions a motor vehicle accident involving a car hitting a telephone pole with major damage to the front.</t>
  </si>
  <si>
    <t>['53-year-old female', '10-year-old male', '4-year-old male']</t>
  </si>
  <si>
    <t>['kind of lethargic']</t>
  </si>
  <si>
    <t>New ATR. New ATR, how we doing? Cleveland 21 here. Go ahead, 21. Alright, we're coming at you with a three-bagger. We have an MVA car versus telephone pole, major damage to the front. Three patients, [REDACTED] driver and two minor [REDACTED] and a [REDACTED]. [REDACTED] is complaining of right knee pain. The [REDACTED] has got head and also knee pain. A couple of abrasions. The 4-year-old is the one we're concerned the most about. He's got kind of lethargic, distended abdomen a little bit. Everybody's got stable vitals all the way around. Trying for an IV on the 4-year-old right now. Everybody was self-executed on scene. No LLC or blood thinners or anything. So, were they going really fast when they hit this pole? Was there any intrusion or any other reason to activate a trauma? Because I'm not hearing one from you. Okay, man. It's got some pretty bad intrusion to the front. Very major damage. Okay, I wasn't picking that up. So, I guess I'll page out a limited trauma on the 53-year-old with the head injury? Yeah. The 4-year-old is the one I'm concerned the most about. I'll call pediatrics and talk to them. Okay. Alright, thanks.</t>
  </si>
  <si>
    <t>New ATR. New ATR, how we doing? Cleveland 21 here. Go ahead, 21. Alright, we're coming at you with a three-bagger. We have an MVA car versus telephone pole, major damage to the front. Three patients, 53-year-old female driver and two minor 10-year-old male and a 4-year-old male. 10-year-old male is complaining of right knee pain. The 53-year-old female has got head and also knee pain. A couple of abrasions. The 4-year-old is the one we're concerned the most about. He's got [REDACTED], distended abdomen a little bit. Everybody's got stable vitals all the way around. Trying for an IV on the 4-year-old right now. Everybody was self-executed on scene. No LLC or blood thinners or anything. So, were they going really fast when they hit this pole? Was there any intrusion or any other reason to activate a trauma? Because I'm not hearing one from you. Okay, man. It's got some pretty bad intrusion to the front. Very major damage. Okay, I wasn't picking that up. So, I guess I'll page out a limited trauma on the 53-year-old with the head injury? Yeah. The 4-year-old is the one I'm concerned the most about. I'll call pediatrics and talk to them. Okay. Alright, thanks.</t>
  </si>
  <si>
    <t>UAPS, this is Zach. Hey Zach, what information you got on this trauma? What is what? The pediatric trauma. Oh, what was the question? What information you got on it? I don't know nothing. Okay, 13 male, ATV rollover, or UTV, one of those. Okay. The scene plate coming from Geauga County. He was unrestrained and landed on his head. No loss of consciousness, no noted deformities or other injuries. Reports bilateral head pain, no other complaints. GCF's at 15. I got vitals if you want. No, I don't need all that, but you know over here they don't tell us anything. Yeah, they're fine. How y'all do? Be like, oh it's a trauma, we don't be knowing, we just be saying, huh? They be in there working on the trauma, we didn't even know it was here. I mean, he's chilling. Oh, he's chilling? He's really only a trauma because he's flying in. Oh, okay. So he, it's a transfer. No, it's not. It happened over there in Geauga. So I mean, it's a transfer. Yeah, he, like he himself being an alert 13 year old should be able to tell you his information. I don't know if there's like a guardian coming with him or not. Uh huh. Because, you know. Alrighty. I don't know if they can like wedge him in the helicopter or not. Alright. So they might be driving up later. Driving up later. Okay. As far as consent, I'm not sure where you're stuck there. Alright. Well, I appreciate it. Thank you. If anyone else has questions, just don't call me. Alrighty. Bye. Bye. Bye.</t>
  </si>
  <si>
    <t>13 male. ATV rollover. GCS of 15.</t>
  </si>
  <si>
    <t>ATV rollover</t>
  </si>
  <si>
    <t>The transcript mentions a 13-year-old male involved in an ATV rollover.</t>
  </si>
  <si>
    <t>['13 male', '13 year old']</t>
  </si>
  <si>
    <t>['ATV rollover', 'UTV', 'unrestrained and landed on his head']</t>
  </si>
  <si>
    <t>UAPS, this is Zach. Hey Zach, what information you got on this trauma? What is what? The pediatric trauma. Oh, what was the question? What information you got on it? I don't know nothing. Okay, [REDACTED], ATV rollover, or UTV, one of those. Okay. The scene plate coming from Geauga County. He was unrestrained and landed on his head. No loss of consciousness, no noted deformities or other injuries. Reports bilateral head pain, no other complaints. GCF's at 15. I got vitals if you want. No, I don't need all that, but you know over here they don't tell us anything. Yeah, they're fine. How y'all do? Be like, oh it's a trauma, we don't be knowing, we just be saying, huh? They be in there working on the trauma, we didn't even know it was here. I mean, he's chilling. Oh, he's chilling? He's really only a trauma because he's flying in. Oh, okay. So he, it's a transfer. No, it's not. It happened over there in Geauga. So I mean, it's a transfer. Yeah, he, like he himself being an alert [REDACTED] should be able to tell you his information. I don't know if there's like a guardian coming with him or not. Uh huh. Because, you know. Alrighty. I don't know if they can like wedge him in the helicopter or not. Alright. So they might be driving up later. Driving up later. Okay. As far as consent, I'm not sure where you're stuck there. Alright. Well, I appreciate it. Thank you. If anyone else has questions, just don't call me. Alrighty. Bye. Bye. Bye.</t>
  </si>
  <si>
    <t>UAPS, this is Zach. Hey Zach, what information you got on this trauma? What is what? The pediatric trauma. Oh, what was the question? What information you got on it? I don't know nothing. Okay, 13 male, [REDACTED], or [REDACTED], one of those. Okay. The scene plate coming from Geauga County. He was [REDACTED]. No loss of consciousness, no noted deformities or other injuries. Reports bilateral head pain, no other complaints. GCF's at 15. I got vitals if you want. No, I don't need all that, but you know over here they don't tell us anything. Yeah, they're fine. How y'all do? Be like, oh it's a trauma, we don't be knowing, we just be saying, huh? They be in there working on the trauma, we didn't even know it was here. I mean, he's chilling. Oh, he's chilling? He's really only a trauma because he's flying in. Oh, okay. So he, it's a transfer. No, it's not. It happened over there in Geauga. So I mean, it's a transfer. Yeah, he, like he himself being an alert 13 year old should be able to tell you his information. I don't know if there's like a guardian coming with him or not. Uh huh. Because, you know. Alrighty. I don't know if they can like wedge him in the helicopter or not. Alright. So they might be driving up later. Driving up later. Okay. As far as consent, I'm not sure where you're stuck there. Alright. Well, I appreciate it. Thank you. If anyone else has questions, just don't call me. Alrighty. Bye. Bye. Bye.</t>
  </si>
  <si>
    <t>You guys hold on a second. You hold on a second. Hello. Why is that still on there? Hello. Hi. Hey, Physicians Medicaid bringing you a patient from City View. Okay, can you hold on just a minute? Yeah, no problem. Cool. Hello. Hello. Your answer is Zach. Hey, Zach. I'm from P.E.T.D. Just ahead, the Bedford Dispatch and Police called us, said they had a pretty bad accident out there. Three adults and two kids. So I just wanted to let you know. They don't know anything else yet. All right. Thank you for that. Thanks. Bye. Bye. All right. Sorry about that. What's going on? We got a 68-year-old male. He's coming to you guys. He was seen at Maine on the 27th for an MVA. He was in a wheelchair and got hit by a car. Okay. They did x-rays but no CT. And the last couple days he's been complaining of a headache. So they just want him to come back for a CT. He had no injuries from the accident that they know of. He's not on any thinners. He's alert and oriented. Vitals are all stable. All right. Where is he coming from? City View. Okay. What's your ETA? Eight minutes. All right. We'll see you soon. All right. Thanks. Bye.</t>
  </si>
  <si>
    <t>MVA (Motor Vehicle Accident) - hit by a car while in a wheelchair</t>
  </si>
  <si>
    <t>The transcript mentions a 68-year-old male who was in a wheelchair and got hit by a car.</t>
  </si>
  <si>
    <t>['68-year-old male']</t>
  </si>
  <si>
    <t>["He's alert and oriented"]</t>
  </si>
  <si>
    <t>['MVA', 'in a wheelchair and got hit by a car']</t>
  </si>
  <si>
    <t>You guys hold on a second. You hold on a second. Hello. Why is that still on there? Hello. Hi. Hey, Physicians Medicaid bringing you a patient from City View. Okay, can you hold on just a minute? Yeah, no problem. Cool. Hello. Hello. Your answer is Zach. Hey, Zach. I'm from P.E.T.D. Just ahead, the Bedford Dispatch and Police called us, said they had a pretty bad accident out there. Three adults and two kids. So I just wanted to let you know. They don't know anything else yet. All right. Thank you for that. Thanks. Bye. Bye. All right. Sorry about that. What's going on? We got a [REDACTED]. He's coming to you guys. He was seen at Maine on the 27th for an MVA. He was in a wheelchair and got hit by a car. Okay. They did x-rays but no CT. And the last couple days he's been complaining of a headache. So they just want him to come back for a CT. He had no injuries from the accident that they know of. He's not on any thinners. He's alert and oriented. Vitals are all stable. All right. Where is he coming from? City View. Okay. What's your ETA? Eight minutes. All right. We'll see you soon. All right. Thanks. Bye.</t>
  </si>
  <si>
    <t>You guys hold on a second. You hold on a second. Hello. Why is that still on there? Hello. Hi. Hey, Physicians Medicaid bringing you a patient from City View. Okay, can you hold on just a minute? Yeah, no problem. Cool. Hello. Hello. Your answer is Zach. Hey, Zach. I'm from P.E.T.D. Just ahead, the Bedford Dispatch and Police called us, said they had a pretty bad accident out there. Three adults and two kids. So I just wanted to let you know. They don't know anything else yet. All right. Thank you for that. Thanks. Bye. Bye. All right. Sorry about that. What's going on? We got a 68-year-old male. He's coming to you guys. He was seen at Maine on the 27th for an MVA. He was in a wheelchair and got hit by a car. Okay. They did x-rays but no CT. And the last couple days he's been complaining of a headache. So they just want him to come back for a CT. He had no injuries from the accident that they know of. He's not on any thinners. [REDACTED]. Vitals are all stable. All right. Where is he coming from? City View. Okay. What's your ETA? Eight minutes. All right. We'll see you soon. All right. Thanks. Bye.</t>
  </si>
  <si>
    <t>You guys hold on a second. You hold on a second. Hello. Why is that still on there? Hello. Hi. Hey, Physicians Medicaid bringing you a patient from City View. Okay, can you hold on just a minute? Yeah, no problem. Cool. Hello. Hello. Your answer is Zach. Hey, Zach. I'm from P.E.T.D. Just ahead, the Bedford Dispatch and Police called us, said they had a pretty bad accident out there. Three adults and two kids. So I just wanted to let you know. They don't know anything else yet. All right. Thank you for that. Thanks. Bye. Bye. All right. Sorry about that. What's going on? We got a 68-year-old male. He's coming to you guys. He was seen at Maine on the 27th for an [REDACTED]. He was [REDACTED]. Okay. They did x-rays but no CT. And the last couple days he's been complaining of a headache. So they just want him to come back for a CT. He had no injuries from the accident that they know of. He's not on any thinners. He's alert and oriented. Vitals are all stable. All right. Where is he coming from? City View. Okay. What's your ETA? Eight minutes. All right. We'll see you soon. All right. Thanks. Bye.</t>
  </si>
  <si>
    <t>UH, this is Zach. Hi, this is Becker Squad bringing you a trauma. Is this Rainbow CR or same number? Yeah. Hold on a second. Yeah, yeah. Yeah, we're bringing you an 8-year-old who was unseat belted in the back seat. He has obvious deformity to his left femur and high tibia area with a severe laceration to the high tibia right below the knee area. We have it all just padded in place because he has it bent, and we have a position of comfort for him right now in that position. We have an IV established, a 20-gauge. Multiple traumas on this. This is four patients. But we're just bringing you one. I think the other ones are going downtown metro. Okay. Blood pressure, 121 over 82. Pulse of 125 on the monoclonal. We have a monitor showing normal sinus rhythm for him, sinus attack. Like I said, we have an IV established. We're just giving him fluids slowly. No medical history, no meds, no loss of consciousness. It was airbag deployment. Two cars, very heavy damage head-on. That's his only complaint right now. Like I said, no loss of consciousness, nothing like that. And our EPA is about 15 minutes. Okay. Rear passenger, I'm assuming? Correct. All right. Sounds good. We'll see you in 15. All right. Thanks. Bye. Bye.</t>
  </si>
  <si>
    <t>8 year old MVC.  Blood pressure, 121 over 82. Pulse of 125 sinus rhythym. No LOC. ETA 10 to 15 min.</t>
  </si>
  <si>
    <t>MVC head-on collision</t>
  </si>
  <si>
    <t>The transcript describes a head-on collision involving two cars with heavy damage, and the patient was an unseat belted rear passenger.</t>
  </si>
  <si>
    <t>['8-year-old']</t>
  </si>
  <si>
    <t>['Pulse of 125']</t>
  </si>
  <si>
    <t>['Blood pressure, 121 over 82']</t>
  </si>
  <si>
    <t>UH, this is Zach. Hi, this is Becker Squad bringing you a trauma. Is this Rainbow CR or same number? Yeah. Hold on a second. Yeah, yeah. Yeah, we're bringing you an [REDACTED] who was unseat belted in the back seat. He has obvious deformity to his left femur and high tibia area with a severe laceration to the high tibia right below the knee area. We have it all just padded in place because he has it bent, and we have a position of comfort for him right now in that position. We have an IV established, a 20-gauge. Multiple traumas on this. This is four patients. But we're just bringing you one. I think the other ones are going downtown metro. Okay. Blood pressure, 121 over 82. Pulse of 125 on the monoclonal. We have a monitor showing normal sinus rhythm for him, sinus attack. Like I said, we have an IV established. We're just giving him fluids slowly. No medical history, no meds, no loss of consciousness. It was airbag deployment. Two cars, very heavy damage head-on. That's his only complaint right now. Like I said, no loss of consciousness, nothing like that. And our EPA is about 15 minutes. Okay. Rear passenger, I'm assuming? Correct. All right. Sounds good. We'll see you in 15. All right. Thanks. Bye. Bye.</t>
  </si>
  <si>
    <t>UH, this is Zach. Hi, this is Becker Squad bringing you a trauma. Is this Rainbow CR or same number? Yeah. Hold on a second. Yeah, yeah. Yeah, we're bringing you an 8-year-old who was unseat belted in the back seat. He has obvious deformity to his left femur and high tibia area with a severe laceration to the high tibia right below the knee area. We have it all just padded in place because he has it bent, and we have a position of comfort for him right now in that position. We have an IV established, a 20-gauge. Multiple traumas on this. This is four patients. But we're just bringing you one. I think the other ones are going downtown metro. Okay. Blood pressure, 121 over 82. [REDACTED] on the monoclonal. We have a monitor showing normal sinus rhythm for him, sinus attack. Like I said, we have an IV established. We're just giving him fluids slowly. No medical history, no meds, no loss of consciousness. It was airbag deployment. Two cars, very heavy damage head-on. That's his only complaint right now. Like I said, no loss of consciousness, nothing like that. And our EPA is about 15 minutes. Okay. Rear passenger, I'm assuming? Correct. All right. Sounds good. We'll see you in 15. All right. Thanks. Bye. Bye.</t>
  </si>
  <si>
    <t>UH, this is Zach. Hi, this is Becker Squad bringing you a trauma. Is this Rainbow CR or same number? Yeah. Hold on a second. Yeah, yeah. Yeah, we're bringing you an 8-year-old who was unseat belted in the back seat. He has obvious deformity to his left femur and high tibia area with a severe laceration to the high tibia right below the knee area. We have it all just padded in place because he has it bent, and we have a position of comfort for him right now in that position. We have an IV established, a 20-gauge. Multiple traumas on this. This is four patients. But we're just bringing you one. I think the other ones are going downtown metro. Okay. [REDACTED]. Pulse of 125 on the monoclonal. We have a monitor showing normal sinus rhythm for him, sinus attack. Like I said, we have an IV established. We're just giving him fluids slowly. No medical history, no meds, no loss of consciousness. It was airbag deployment. Two cars, very heavy damage head-on. That's his only complaint right now. Like I said, no loss of consciousness, nothing like that. And our EPA is about 15 minutes. Okay. Rear passenger, I'm assuming? Correct. All right. Sounds good. We'll see you in 15. All right. Thanks. Bye. Bye.</t>
  </si>
  <si>
    <t>Okay. UH. UH Cleveland Heights 241 with patient report. We're bringing you a six-year-old male, six-year-old male who is presenting as bradycardic right now. He was reported initially to have been pulseless and apneic. He is breathing on his own. We are supporting his respirations with a bag valve mask, and we are currently performing CPR and giving 2.5 of epi to bring up his heart rate. He has good perfusion, 100% SpO2, and will be in route to your facility. He has a 20-gauge in his right arm. What's his circumstances? I don't know. He vomited. Mother found him after he vomited after a shower. He does have a hematoma to his right forehead and around his right orbital socket. We don't really have details. Mother was hysterical. What are you seeing now? We'll be there in five to seven. All right.</t>
  </si>
  <si>
    <t>six-year-old male who is presenting as bradycardic right now. He was reported initially to have been pulseless and apneic. He is breathing on his own. We are supporting his respirations with a bag valve mask, and we are currently performing CPR and giving 2.5 of epi to bring up his heart rate. He has good perfusion, 100% SpO2,</t>
  </si>
  <si>
    <t>Unclear</t>
  </si>
  <si>
    <t>The transcript does not provide specific details about the cause of the injury or condition.</t>
  </si>
  <si>
    <t>['six-year-old male', 'six-year-old male']</t>
  </si>
  <si>
    <t>['bradycardic', 'giving 2.5 of epi to bring up his heart rate']</t>
  </si>
  <si>
    <t>Okay. UH. UH Cleveland Heights 241 with patient report. We're bringing you a [REDACTED], [REDACTED] who is presenting as bradycardic right now. He was reported initially to have been pulseless and apneic. He is breathing on his own. We are supporting his respirations with a bag valve mask, and we are currently performing CPR and giving 2.5 of epi to bring up his heart rate. He has good perfusion, 100% SpO2, and will be in route to your facility. He has a 20-gauge in his right arm. What's his circumstances? I don't know. He vomited. Mother found him after he vomited after a shower. He does have a hematoma to his right forehead and around his right orbital socket. We don't really have details. Mother was hysterical. What are you seeing now? We'll be there in five to seven. All right.</t>
  </si>
  <si>
    <t>Okay. UH. UH Cleveland Heights 241 with patient report. We're bringing you a six-year-old male, six-year-old male who is presenting as [REDACTED] right now. He was reported initially to have been pulseless and apneic. He is breathing on his own. We are supporting his respirations with a bag valve mask, and we are currently performing CPR and [REDACTED]. He has good perfusion, 100% SpO2, and will be in route to your facility. He has a 20-gauge in his right arm. What's his circumstances? I don't know. He vomited. Mother found him after he vomited after a shower. He does have a hematoma to his right forehead and around his right orbital socket. We don't really have details. Mother was hysterical. What are you seeing now? We'll be there in five to seven. All right.</t>
  </si>
  <si>
    <t>UATD. Hey, this is East Cleveland Fire. All right, what's going on, guys? Hey, I got a 17-year-old male shot in his left calf leg. No exit wound. There's no other bullet holes anywhere else. It's in the calf? Yeah, it's in his left calf. PD put on a tourniquet at 11.03 before EMS arrival. Vitals are 151 over 93. And he still has the tourniquet on? Yeah, he still has the tourniquet on. 99% on room air. Pulse rate is 117. Okay. So vitals are all stable? Yeah, vitals are all stable. All right. 17-year-old male, what's the ETA? Six minutes. All right. All right.</t>
  </si>
  <si>
    <t>17-year-old male shot in his left calf leg. Vitals are 151 over 93. Bleeding controlled. 99% on room air. Pulse rate is 117. ETA 6 minutes.</t>
  </si>
  <si>
    <t>GSW to left calf</t>
  </si>
  <si>
    <t>The transcript mentions a 17-year-old male shot in his left calf.</t>
  </si>
  <si>
    <t>['17-year-old male', '17-year-old male']</t>
  </si>
  <si>
    <t>['Pulse rate is 117']</t>
  </si>
  <si>
    <t>['Vitals are 151 over 93']</t>
  </si>
  <si>
    <t>UATD. Hey, this is East Cleveland Fire. All right, what's going on, guys? Hey, I got a [REDACTED] shot in his left calf leg. No exit wound. There's no other bullet holes anywhere else. It's in the calf? Yeah, it's in his left calf. PD put on a tourniquet at 11.03 before EMS arrival. Vitals are 151 over 93. And he still has the tourniquet on? Yeah, he still has the tourniquet on. 99% on room air. Pulse rate is 117. Okay. So vitals are all stable? Yeah, vitals are all stable. All right. [REDACTED], what's the ETA? Six minutes. All right. All right.</t>
  </si>
  <si>
    <t>UATD. Hey, this is East Cleveland Fire. All right, what's going on, guys? Hey, I got a 17-year-old male shot in his left calf leg. No exit wound. There's no other bullet holes anywhere else. It's in the calf? Yeah, it's in his left calf. PD put on a tourniquet at 11.03 before EMS arrival. Vitals are 151 over 93. And he still has the tourniquet on? Yeah, he still has the tourniquet on. 99% on room air. [REDACTED]. Okay. So vitals are all stable? Yeah, vitals are all stable. All right. 17-year-old male, what's the ETA? Six minutes. All right. All right.</t>
  </si>
  <si>
    <t>UATD. Hey, this is East Cleveland Fire. All right, what's going on, guys? Hey, I got a 17-year-old male shot in his left calf leg. No exit wound. There's no other bullet holes anywhere else. It's in the calf? Yeah, it's in his left calf. PD put on a tourniquet at 11.03 before EMS arrival. [REDACTED]. And he still has the tourniquet on? Yeah, he still has the tourniquet on. 99% on room air. Pulse rate is 117. Okay. So vitals are all stable? Yeah, vitals are all stable. All right. 17-year-old male, what's the ETA? Six minutes. All right. All right.</t>
  </si>
  <si>
    <t>UHD? Hey, it's East Cleveland Squad 145. What's up? We're inbound with a minor. He's autistic and nonverbal. He jumped off the third floor of a house. He's A-04. You know, ABCs are intact and everything like that, no bleeding. There's a possibility he has a broken leg. He's not sitting still for us to do anything with him. No vitals, no, yeah. How old is he? 13. He's 13. Okay. He's autistic and nonverbal. 13-year-old male, so basically a fall from three stories? Yeah. That's got to be a full trauma. Yeah, but he's A-04. Like, what? When we put him on the cot, he, like, threw himself off. All right. So no vitals or anything like that? No, he won't sit still for anything. He's fighting us. All righty. All right. Yeah, we'll be there in five. Five minutes, okay. Yep. Bye. Bye.</t>
  </si>
  <si>
    <t>13 year old male fell from three stories. ETA 5 minutes.</t>
  </si>
  <si>
    <t>Fall from three stories</t>
  </si>
  <si>
    <t>The transcript mentions the patient jumped off the third floor of a house.</t>
  </si>
  <si>
    <t>['13', '13-year-old male']</t>
  </si>
  <si>
    <t>['He jumped off the third floor of a house', 'a fall from three stories']</t>
  </si>
  <si>
    <t>UHD? Hey, it's East Cleveland Squad 145. What's up? We're inbound with a minor. He's autistic and nonverbal. [REDACTED]. He's A-04. You know, ABCs are intact and everything like that, no bleeding. There's a possibility he has a broken leg. He's not sitting still for us to do anything with him. No vitals, no, yeah. How old is he? 13. He's 13. Okay. He's autistic and nonverbal. 13-year-old male, so basically [REDACTED]? Yeah. That's got to be a full trauma. Yeah, but he's A-04. Like, what? When we put him on the cot, he, like, threw himself off. All right. So no vitals or anything like that? No, he won't sit still for anything. He's fighting us. All righty. All right. Yeah, we'll be there in five. Five minutes, okay. Yep. Bye. Bye.</t>
  </si>
  <si>
    <t>UHED. Hey, UH, Cleveland Medic 1. I got one for Rainbows. Okay, just give me a quick thing. I got to page out a trauma. Okay. What you got? I have a 17 female front seat passenger in a low speed rollover. Okay. She was restrained, ambulatory on scene, no loss of consciousness. Actually doesn't meet any announce criteria, believe it or not. She's complaining of pain in the both lower legs, pain in both forearms. There's no deformities, no abnormalities to gait or ambulation or anything like that. Mom has been advised she's actually probably going to beat us there. But otherwise, we're coming in with traffic. It's going to be a low priority non-trauma activation. All right. So a 17 female MVA stable, right? You got it. Great. Thank you. Yep.</t>
  </si>
  <si>
    <t>17 year old female stable MVA.</t>
  </si>
  <si>
    <t>Low speed rollover</t>
  </si>
  <si>
    <t>The transcript describes a 17-year-old female involved in a low speed rollover as a front seat passenger.</t>
  </si>
  <si>
    <t>['17 female', '17 female']</t>
  </si>
  <si>
    <t>['front seat passenger in a low speed rollover', 'MVA']</t>
  </si>
  <si>
    <t>UHED. Hey, UH, Cleveland Medic 1. I got one for Rainbows. Okay, just give me a quick thing. I got to page out a trauma. Okay. What you got? I have a [REDACTED] front seat passenger in a low speed rollover. Okay. She was restrained, ambulatory on scene, no loss of consciousness. Actually doesn't meet any announce criteria, believe it or not. She's complaining of pain in the both lower legs, pain in both forearms. There's no deformities, no abnormalities to gait or ambulation or anything like that. Mom has been advised she's actually probably going to beat us there. But otherwise, we're coming in with traffic. It's going to be a low priority non-trauma activation. All right. So a [REDACTED] MVA stable, right? You got it. Great. Thank you. Yep.</t>
  </si>
  <si>
    <t>UHED. Hey, UH, Cleveland Medic 1. I got one for Rainbows. Okay, just give me a quick thing. I got to page out a trauma. Okay. What you got? I have a 17 female [REDACTED]. Okay. She was restrained, ambulatory on scene, no loss of consciousness. Actually doesn't meet any announce criteria, believe it or not. She's complaining of pain in the both lower legs, pain in both forearms. There's no deformities, no abnormalities to gait or ambulation or anything like that. Mom has been advised she's actually probably going to beat us there. But otherwise, we're coming in with traffic. It's going to be a low priority non-trauma activation. All right. So a 17 female [REDACTED] stable, right? You got it. Great. Thank you. Yep.</t>
  </si>
  <si>
    <t>Hello, UH. UH Maple Heights Squad 2. We're going to be bringing you a pediatric trauma, five-year-old male involved in a motor vehicle accident with multiple ejections. He was unrestrained and ejected. We see obvious head injuries right now. He's got some swelling to the back of his head. He's alert and oriented about one, very lethargic. We got a pulse ox 97%. Heart rate's 114. BP was 86 over 40. We do have an IV, 20 gauge in his right AC. We do not have any parents coming with us because they were all ejected and being transported by multiple agencies. All right. How far away? We're going to be about 10 minutes out here. Thank you. See you. All right. Thank you. Bye.</t>
  </si>
  <si>
    <t>five-year-old male involved in a motor vehicle accident with multiple ejections. He was unrestrained and ejected.pulse ox 97%. Heart rate's 114. BP was 86 over 40. ETA of 10 minutes.</t>
  </si>
  <si>
    <t>Motor vehicle accident with multiple ejections</t>
  </si>
  <si>
    <t>The transcript mentions a five-year-old male involved in a motor vehicle accident with multiple ejections.</t>
  </si>
  <si>
    <t>['five-year-old male']</t>
  </si>
  <si>
    <t>["Heart rate's 114"]</t>
  </si>
  <si>
    <t>['BP was 86 over 40']</t>
  </si>
  <si>
    <t>["He's alert and oriented about one, very lethargic"]</t>
  </si>
  <si>
    <t>Hello, UH. UH Maple Heights Squad 2. We're going to be bringing you a pediatric trauma, [REDACTED] involved in a motor vehicle accident with multiple ejections. He was unrestrained and ejected. We see obvious head injuries right now. He's got some swelling to the back of his head. He's alert and oriented about one, very lethargic. We got a pulse ox 97%. Heart rate's 114. BP was 86 over 40. We do have an IV, 20 gauge in his right AC. We do not have any parents coming with us because they were all ejected and being transported by multiple agencies. All right. How far away? We're going to be about 10 minutes out here. Thank you. See you. All right. Thank you. Bye.</t>
  </si>
  <si>
    <t>Hello, UH. UH Maple Heights Squad 2. We're going to be bringing you a pediatric trauma, five-year-old male involved in a motor vehicle accident with multiple ejections. He was unrestrained and ejected. We see obvious head injuries right now. He's got some swelling to the back of his head. He's alert and oriented about one, very lethargic. We got a pulse ox 97%. [REDACTED]. BP was 86 over 40. We do have an IV, 20 gauge in his right AC. We do not have any parents coming with us because they were all ejected and being transported by multiple agencies. All right. How far away? We're going to be about 10 minutes out here. Thank you. See you. All right. Thank you. Bye.</t>
  </si>
  <si>
    <t>Hello, UH. UH Maple Heights Squad 2. We're going to be bringing you a pediatric trauma, five-year-old male involved in a motor vehicle accident with multiple ejections. He was unrestrained and ejected. We see obvious head injuries right now. He's got some swelling to the back of his head. He's alert and oriented about one, very lethargic. We got a pulse ox 97%. Heart rate's 114. [REDACTED]. We do have an IV, 20 gauge in his right AC. We do not have any parents coming with us because they were all ejected and being transported by multiple agencies. All right. How far away? We're going to be about 10 minutes out here. Thank you. See you. All right. Thank you. Bye.</t>
  </si>
  <si>
    <t>Hello, UH. UH Maple Heights Squad 2. We're going to be bringing you a pediatric trauma, five-year-old male involved in a motor vehicle accident with multiple ejections. He was unrestrained and ejected. We see obvious head injuries right now. He's got some swelling to the back of his head. [REDACTED]. We got a pulse ox 97%. Heart rate's 114. BP was 86 over 40. We do have an IV, 20 gauge in his right AC. We do not have any parents coming with us because they were all ejected and being transported by multiple agencies. All right. How far away? We're going to be about 10 minutes out here. Thank you. See you. All right. Thank you. Bye.</t>
  </si>
  <si>
    <t>UH. Hi, this is Lake West Emergency Department calling ahead for Willoughby. Hi, Michelle. Hi, who is this? Morgan. Hi, hey, Morgan. Hey, I need to call ahead to Rainbows. You can give it to me. I can give it to you? Yeah. All right, Willoughby gave us a heads up on a pediatric trauma alert. Okay, what is that? A 15-minute ETA for a 5-year-old, 5-foot unwitnessed fall, top bunk of a bed, positive loss of consciousness, patient is tired, they're having difficulty keeping them aroused, there's notable blood coming from the left ear, they're stating no CNS fluid noted, he has C-collar, equal and reactive pupils, dad is with them. Okay. He has no medical history. Okay. No allergies, no meds. Okay. All right, vitals are as followed, 125 over 65, heart rate 110, 98% on room air. Okay. Sinus attack. Okay. All right, I love it. Anything else? No. All right, thanks, Morris. Bye-bye. Oh.</t>
  </si>
  <si>
    <t>5-year-old, 5-foot unwitnessed fall, top bunk of a bed, positive loss of consciousness, patient is tired, they're having difficulty keeping them aroused, there's notable blood coming from the left ear, they're stating no CNS fluid noted, he has C-collar, equal and reactive pupils. 125 over 65, heart rate 110, 98% on room air.</t>
  </si>
  <si>
    <t>Fall from top bunk of a bed</t>
  </si>
  <si>
    <t>The transcript describes a 5-year-old who experienced an unwitnessed fall from the top bunk of a bed.</t>
  </si>
  <si>
    <t>['5-year-old']</t>
  </si>
  <si>
    <t>['heart rate 110']</t>
  </si>
  <si>
    <t>['125 over 65']</t>
  </si>
  <si>
    <t>['positive loss of consciousness', 'patient is tired', 'difficulty keeping them aroused']</t>
  </si>
  <si>
    <t>UH. Hi, this is Lake West Emergency Department calling ahead for Willoughby. Hi, Michelle. Hi, who is this? Morgan. Hi, hey, Morgan. Hey, I need to call ahead to Rainbows. You can give it to me. I can give it to you? Yeah. All right, Willoughby gave us a heads up on a pediatric trauma alert. Okay, what is that? A 15-minute ETA for a [REDACTED], 5-foot unwitnessed fall, top bunk of a bed, positive loss of consciousness, patient is tired, they're having difficulty keeping them aroused, there's notable blood coming from the left ear, they're stating no CNS fluid noted, he has C-collar, equal and reactive pupils, dad is with them. Okay. He has no medical history. Okay. No allergies, no meds. Okay. All right, vitals are as followed, 125 over 65, heart rate 110, 98% on room air. Okay. Sinus attack. Okay. All right, I love it. Anything else? No. All right, thanks, Morris. Bye-bye. Oh.</t>
  </si>
  <si>
    <t>UH. Hi, this is Lake West Emergency Department calling ahead for Willoughby. Hi, Michelle. Hi, who is this? Morgan. Hi, hey, Morgan. Hey, I need to call ahead to Rainbows. You can give it to me. I can give it to you? Yeah. All right, Willoughby gave us a heads up on a pediatric trauma alert. Okay, what is that? A 15-minute ETA for a 5-year-old, 5-foot unwitnessed fall, top bunk of a bed, positive loss of consciousness, patient is tired, they're having difficulty keeping them aroused, there's notable blood coming from the left ear, they're stating no CNS fluid noted, he has C-collar, equal and reactive pupils, dad is with them. Okay. He has no medical history. Okay. No allergies, no meds. Okay. All right, vitals are as followed, 125 over 65, [REDACTED], 98% on room air. Okay. Sinus attack. Okay. All right, I love it. Anything else? No. All right, thanks, Morris. Bye-bye. Oh.</t>
  </si>
  <si>
    <t>UH. Hi, this is Lake West Emergency Department calling ahead for Willoughby. Hi, Michelle. Hi, who is this? Morgan. Hi, hey, Morgan. Hey, I need to call ahead to Rainbows. You can give it to me. I can give it to you? Yeah. All right, Willoughby gave us a heads up on a pediatric trauma alert. Okay, what is that? A 15-minute ETA for a 5-year-old, 5-foot unwitnessed fall, top bunk of a bed, positive loss of consciousness, patient is tired, they're having difficulty keeping them aroused, there's notable blood coming from the left ear, they're stating no CNS fluid noted, he has C-collar, equal and reactive pupils, dad is with them. Okay. He has no medical history. Okay. No allergies, no meds. Okay. All right, vitals are as followed, [REDACTED], heart rate 110, 98% on room air. Okay. Sinus attack. Okay. All right, I love it. Anything else? No. All right, thanks, Morris. Bye-bye. Oh.</t>
  </si>
  <si>
    <t>UH. Hi, this is Lake West Emergency Department calling ahead for Willoughby. Hi, Michelle. Hi, who is this? Morgan. Hi, hey, Morgan. Hey, I need to call ahead to Rainbows. You can give it to me. I can give it to you? Yeah. All right, Willoughby gave us a heads up on a pediatric trauma alert. Okay, what is that? A 15-minute ETA for a 5-year-old, 5-foot unwitnessed fall, top bunk of a bed, [REDACTED], [REDACTED], they're having [REDACTED], there's notable blood coming from the left ear, they're stating no CNS fluid noted, he has C-collar, equal and reactive pupils, dad is with them. Okay. He has no medical history. Okay. No allergies, no meds. Okay. All right, vitals are as followed, 125 over 65, heart rate 110, 98% on room air. Okay. Sinus attack. Okay. All right, I love it. Anything else? No. All right, thanks, Morris. Bye-bye. Oh.</t>
  </si>
  <si>
    <t>UH, Kaylee. UH, this is medic 41. We're coming to you with a 15 year old male gunshot to the neck. Vitals are stable. He's got 94 on the pulse. He's around 93, 94 without air. Now he's at 95, 96. Last BP was 148, over 68, and we'll see you in about maybe two and a half, three minutes. Is he stable? He is. He is. He's pushing good air. I mean, he's doing good so far. OK, perfect. All right. Thank you. Thank you. Bye.</t>
  </si>
  <si>
    <t>15 year old male gunshot to the neck. Vitals are stable. 94 pulse and 95% RA. BP was 148, over 68. ETA 2-3 minutes.</t>
  </si>
  <si>
    <t>Gunshot to the neck</t>
  </si>
  <si>
    <t>The transcript explicitly mentions a "15 year old male gunshot to the neck."</t>
  </si>
  <si>
    <t>['94 on the pulse']</t>
  </si>
  <si>
    <t>['BP was 148, over 68']</t>
  </si>
  <si>
    <t>['gunshot to the neck']</t>
  </si>
  <si>
    <t>UH, Kaylee. UH, this is medic 41. We're coming to you with a [REDACTED] gunshot to the neck. Vitals are stable. He's got 94 on the pulse. He's around 93, 94 without air. Now he's at 95, 96. Last BP was 148, over 68, and we'll see you in about maybe two and a half, three minutes. Is he stable? He is. He is. He's pushing good air. I mean, he's doing good so far. OK, perfect. All right. Thank you. Thank you. Bye.</t>
  </si>
  <si>
    <t>UH, Kaylee. UH, this is medic 41. We're coming to you with a 15 year old male gunshot to the neck. Vitals are stable. He's got [REDACTED]. He's around 93, 94 without air. Now he's at 95, 96. Last BP was 148, over 68, and we'll see you in about maybe two and a half, three minutes. Is he stable? He is. He is. He's pushing good air. I mean, he's doing good so far. OK, perfect. All right. Thank you. Thank you. Bye.</t>
  </si>
  <si>
    <t>UH, Kaylee. UH, this is medic 41. We're coming to you with a 15 year old male gunshot to the neck. Vitals are stable. He's got 94 on the pulse. He's around 93, 94 without air. Now he's at 95, 96. Last [REDACTED], and we'll see you in about maybe two and a half, three minutes. Is he stable? He is. He is. He's pushing good air. I mean, he's doing good so far. OK, perfect. All right. Thank you. Thank you. Bye.</t>
  </si>
  <si>
    <t>UH, Kaylee. UH, this is medic 41. We're coming to you with a 15 year old male [REDACTED]. Vitals are stable. He's got 94 on the pulse. He's around 93, 94 without air. Now he's at 95, 96. Last BP was 148, over 68, and we'll see you in about maybe two and a half, three minutes. Is he stable? He is. He is. He's pushing good air. I mean, he's doing good so far. OK, perfect. All right. Thank you. Thank you. Bye.</t>
  </si>
  <si>
    <t>Hello, it's Cleveland 41. What do you got? Hey, we got a rainbow patient, 13 female coming to you. She's going to be a trauma. She was pushed accidentally out of a second story window. She landed on her back. She has some back pain. She does have movement over extremities. She's fully immobilized, A and O4, no loss of consciousness, 148 over 94, 110 sinus tech. 100%, 20 respirations, no meds or allergies or anything, and we're like 15 out. Fifteen? Yep. All right, thank you. All right, bye. Bye. Bye.</t>
  </si>
  <si>
    <t>13 year old female. AAOx4, BP 148 over 94, HR of 110. 20 RR rate. ETA 10-15 minutes.</t>
  </si>
  <si>
    <t>Pushed accidentally out of a second story window</t>
  </si>
  <si>
    <t>The transcript clearly states the patient was pushed out of a second story window.</t>
  </si>
  <si>
    <t>['13 female']</t>
  </si>
  <si>
    <t>['110 sinus tech']</t>
  </si>
  <si>
    <t>['148 over 94']</t>
  </si>
  <si>
    <t>['20 respirations']</t>
  </si>
  <si>
    <t>['A and O4', 'no loss of consciousness']</t>
  </si>
  <si>
    <t>Hello, it's Cleveland 41. What do you got? Hey, we got a rainbow patient, [REDACTED] coming to you. She's going to be a trauma. She was pushed accidentally out of a second story window. She landed on her back. She has some back pain. She does have movement over extremities. She's fully immobilized, A and O4, no loss of consciousness, 148 over 94, 110 sinus tech. 100%, 20 respirations, no meds or allergies or anything, and we're like 15 out. Fifteen? Yep. All right, thank you. All right, bye. Bye. Bye.</t>
  </si>
  <si>
    <t>Hello, it's Cleveland 41. What do you got? Hey, we got a rainbow patient, 13 female coming to you. She's going to be a trauma. She was pushed accidentally out of a second story window. She landed on her back. She has some back pain. She does have movement over extremities. She's fully immobilized, A and O4, no loss of consciousness, 148 over 94, [REDACTED]. 100%, 20 respirations, no meds or allergies or anything, and we're like 15 out. Fifteen? Yep. All right, thank you. All right, bye. Bye. Bye.</t>
  </si>
  <si>
    <t>Hello, it's Cleveland 41. What do you got? Hey, we got a rainbow patient, 13 female coming to you. She's going to be a trauma. She was pushed accidentally out of a second story window. She landed on her back. She has some back pain. She does have movement over extremities. She's fully immobilized, A and O4, no loss of consciousness, [REDACTED], 110 sinus tech. 100%, 20 respirations, no meds or allergies or anything, and we're like 15 out. Fifteen? Yep. All right, thank you. All right, bye. Bye. Bye.</t>
  </si>
  <si>
    <t>Hello, it's Cleveland 41. What do you got? Hey, we got a rainbow patient, 13 female coming to you. She's going to be a trauma. She was pushed accidentally out of a second story window. She landed on her back. She has some back pain. She does have movement over extremities. She's fully immobilized, A and O4, no loss of consciousness, 148 over 94, 110 sinus tech. 100%, [REDACTED], no meds or allergies or anything, and we're like 15 out. Fifteen? Yep. All right, thank you. All right, bye. Bye. Bye.</t>
  </si>
  <si>
    <t>Hello, it's Cleveland 41. What do you got? Hey, we got a rainbow patient, 13 female coming to you. She's going to be a trauma. She was pushed accidentally out of a second story window. She landed on her back. She has some back pain. She does have movement over extremities. She's fully immobilized, [REDACTED], [REDACTED], 148 over 94, 110 sinus tech. 100%, 20 respirations, no meds or allergies or anything, and we're like 15 out. Fifteen? Yep. All right, thank you. All right, bye. Bye. Bye.</t>
  </si>
  <si>
    <t>UH. UH, this is Willoughby Hills 1212 with a pediatric trauma. Go ahead. I got a 7 month old coming in, fall from approximately 4 feet high off the countertop. Head first onto a tile floor. Has a fairly decent hematoma to the left side of the forehead. Is arousable by some minor irritation like tickling the feet and stuff like that. But appears to want to be sleeping other than when aroused. Heart rate 130, pulse ox 98, cap refills good, mom's riding back with us, nice to meet you in like 10. Alright, we'll see you guys when you get here. Okay, thanks. Bye. Bye.</t>
  </si>
  <si>
    <t>7 month old coming in, fall from approximately 4 feet high off the countertop.Heart rate 130, pulse ox 98. ETA 10.</t>
  </si>
  <si>
    <t>Fall from approximately 4 feet high off the countertop</t>
  </si>
  <si>
    <t>The transcript describes the child falling from a countertop, which is the primary mechanism of injury.</t>
  </si>
  <si>
    <t>['7 month old']</t>
  </si>
  <si>
    <t>['Heart rate 130']</t>
  </si>
  <si>
    <t>['Is arousable by some minor irritation like tickling the feet', 'appears to want to be sleeping other than when aroused']</t>
  </si>
  <si>
    <t>['fall from approximately 4 feet high off the countertop', 'Head first onto a tile floor']</t>
  </si>
  <si>
    <t>UH. UH, this is Willoughby Hills 1212 with a pediatric trauma. Go ahead. I got a [REDACTED] coming in, fall from approximately 4 feet high off the countertop. Head first onto a tile floor. Has a fairly decent hematoma to the left side of the forehead. Is arousable by some minor irritation like tickling the feet and stuff like that. But appears to want to be sleeping other than when aroused. Heart rate 130, pulse ox 98, cap refills good, mom's riding back with us, nice to meet you in like 10. Alright, we'll see you guys when you get here. Okay, thanks. Bye. Bye.</t>
  </si>
  <si>
    <t>UH. UH, this is Willoughby Hills 1212 with a pediatric trauma. Go ahead. I got a 7 month old coming in, fall from approximately 4 feet high off the countertop. Head first onto a tile floor. Has a fairly decent hematoma to the left side of the forehead. Is arousable by some minor irritation like tickling the feet and stuff like that. But appears to want to be sleeping other than when aroused. [REDACTED], pulse ox 98, cap refills good, mom's riding back with us, nice to meet you in like 10. Alright, we'll see you guys when you get here. Okay, thanks. Bye. Bye.</t>
  </si>
  <si>
    <t>UH. UH, this is Willoughby Hills 1212 with a pediatric trauma. Go ahead. I got a 7 month old coming in, fall from approximately 4 feet high off the countertop. Head first onto a tile floor. Has a fairly decent hematoma to the left side of the forehead. [REDACTED] and stuff like that. But [REDACTED]. Heart rate 130, pulse ox 98, cap refills good, mom's riding back with us, nice to meet you in like 10. Alright, we'll see you guys when you get here. Okay, thanks. Bye. Bye.</t>
  </si>
  <si>
    <t>UH. UH, this is Willoughby Hills 1212 with a pediatric trauma. Go ahead. I got a 7 month old coming in, [REDACTED]. [REDACTED]. Has a fairly decent hematoma to the left side of the forehead. Is arousable by some minor irritation like tickling the feet and stuff like that. But appears to want to be sleeping other than when aroused. Heart rate 130, pulse ox 98, cap refills good, mom's riding back with us, nice to meet you in like 10. Alright, we'll see you guys when you get here. Okay, thanks. Bye. Bye.</t>
  </si>
  <si>
    <t>UH, Danny. Hey, UH, for the Medic 40. 14-year-old male, stab wounds to the right forearm. That's the only one that really looks significant. She has another one to her left upper shoulder. That looks pretty superficial in her right leg. A and O3, GCS of 15, 114, 72, 118, sinus attack on the monitor, clear lungs, 18, 100%. Is there any tourniquets or anything like that? No, no, there's no active bleeding. They're pretty superficial. And what about the leg one? Is it like upper leg? That's not even, it's right upper leg. It's the upper leg? Right upper leg, it almost looks, that one's really superficial. That one looks like a scratch. The right forearm's more significant, and then the left upper shoulder looks pretty superficial, but there is a puncture. Okay, and you said he's 14, correct? Correct. All right, how far are you out? About seven, eight minutes. All right, see you soon, bye. Yep, bye.</t>
  </si>
  <si>
    <t>L2, 14 y/o, Vitals(114, 72, 118), GCS: 15, MOI (stab wounds to right forearm, left upper shoulder, right leg), ETA: 7-8 minutes</t>
  </si>
  <si>
    <t>14-year-old male, stab wounds to the right forearm. A and O3, GCS of 15, 114, 72, 118, sinus attack on the monitor, clear lungs, 18, 100%. there's no active bleeding. ETA About seven, eight minutes</t>
  </si>
  <si>
    <t>Stab wounds to the right forearm</t>
  </si>
  <si>
    <t>The transcript mentions stab wounds to the right forearm and other areas, indicating a stabbing incident.</t>
  </si>
  <si>
    <t>['14-year-old male', "he's 14"]</t>
  </si>
  <si>
    <t>['118', 'sinus attack on the monitor']</t>
  </si>
  <si>
    <t>['114, 72']</t>
  </si>
  <si>
    <t>['18']</t>
  </si>
  <si>
    <t>['A and O3']</t>
  </si>
  <si>
    <t>UH, Danny. Hey, UH, for the Medic 40. [REDACTED], stab wounds to the right forearm. That's the only one that really looks significant. She has another one to her left upper shoulder. That looks pretty superficial in her right leg. A and O3, GCS of 15, 114, 72, 118, sinus attack on the monitor, clear lungs, 18, 100%. Is there any tourniquets or anything like that? No, no, there's no active bleeding. They're pretty superficial. And what about the leg one? Is it like upper leg? That's not even, it's right upper leg. It's the upper leg? Right upper leg, it almost looks, that one's really superficial. That one looks like a scratch. The right forearm's more significant, and then the left upper shoulder looks pretty superficial, but there is a puncture. Okay, and you said [REDACTED], correct? Correct. All right, how far are you out? About seven, eight minutes. All right, see you soon, bye. Yep, bye.</t>
  </si>
  <si>
    <t>UH, Danny. Hey, UH, for the Medic 40. 14-year-old male, stab wounds to the right forearm. That's the only one that really looks significant. She has another one to her left upper shoulder. That looks pretty superficial in her right leg. A and O3, GCS of 15, 114, 72, [REDACTED], [REDACTED], clear lungs, 18, 100%. Is there any tourniquets or anything like that? No, no, there's no active bleeding. They're pretty superficial. And what about the leg one? Is it like upper leg? That's not even, it's right upper leg. It's the upper leg? Right upper leg, it almost looks, that one's really superficial. That one looks like a scratch. The right forearm's more significant, and then the left upper shoulder looks pretty superficial, but there is a puncture. Okay, and you said he's 14, correct? Correct. All right, how far are you out? About seven, eight minutes. All right, see you soon, bye. Yep, bye.</t>
  </si>
  <si>
    <t>UH, Danny. Hey, UH, for the Medic 40. 14-year-old male, stab wounds to the right forearm. That's the only one that really looks significant. She has another one to her left upper shoulder. That looks pretty superficial in her right leg. A and O3, GCS of 15, [REDACTED], 118, sinus attack on the monitor, clear lungs, 18, 100%. Is there any tourniquets or anything like that? No, no, there's no active bleeding. They're pretty superficial. And what about the leg one? Is it like upper leg? That's not even, it's right upper leg. It's the upper leg? Right upper leg, it almost looks, that one's really superficial. That one looks like a scratch. The right forearm's more significant, and then the left upper shoulder looks pretty superficial, but there is a puncture. Okay, and you said he's 14, correct? Correct. All right, how far are you out? About seven, eight minutes. All right, see you soon, bye. Yep, bye.</t>
  </si>
  <si>
    <t>UH, Danny. Hey, UH, for the Medic 40. 14-year-old male, stab wounds to the right forearm. That's the only one that really looks significant. She has another one to her left upper shoulder. That looks pretty superficial in her right leg. [REDACTED], GCS of 15, 114, 72, 118, sinus attack on the monitor, clear lungs, 18, 100%. Is there any tourniquets or anything like that? No, no, there's no active bleeding. They're pretty superficial. And what about the leg one? Is it like upper leg? That's not even, it's right upper leg. It's the upper leg? Right upper leg, it almost looks, that one's really superficial. That one looks like a scratch. The right forearm's more significant, and then the left upper shoulder looks pretty superficial, but there is a puncture. Okay, and you said he's 14, correct? Correct. All right, how far are you out? About seven, eight minutes. All right, see you soon, bye. Yep, bye.</t>
  </si>
  <si>
    <t>UH. Hi UH, this is Eastlake squad 1712 on a pediatric co-trauma. Go ahead. We are training around two guys with a two-year-old female. She's come from home. Parents are with us. Parents state that she kind of ran out into the street and a car was driving by, driving about 25 miles an hour, struck the infant. She did come to a stop, so we would say it was probably about 25 miles an hour when she got hit. She is currently fully immobilized on a pediatric backboard. She is crying, acting normal for her father. Upon assessment, we did find a cut over her right eye, causing some right eye swelling. She is able to open her eyes when kind of being assessed. Everything else in the primary showed no remarkable findings, neck is stable, equal chest, right eye, and left eye. Her eyes are full, lung sounds are clear and equal bilaterally, nothing on her back, and has an extension to her extremities. Initial set of vitals, blood pressure was 117 over 76, pulse was 120, respires was 22, and she was 100 cent room air. Second set of vitals, blood pressure was 99 over 56, pulse was 119, respires 32, and again 100 cent room air. Any comments? No. Any LOC upon contact with the car? Not that Dad said. I think as soon as she got hit, she just immediately started crying. Okay, so no LOC. And she's not altered or appearing? No, Dad's saying everything's all normal for her. Pupils are equal. Okay. How far out are you? I'd say we're probably close to 15 to 20. Okay. And I'll call you back if there's any changes. All right, we'll see. You said two-year-old, right? Zero two? Two-year-old, right. Okay. Zero two. Thank you. Email. Bye. Yep. Peace, like, copies. Bye.</t>
  </si>
  <si>
    <t>2 year old female struck by a car driving about 25 miles an hour. Initial set of vitals, blood pressure was 117 over 76, pulse was 120, respires was 22, and she was 100 cent room air. Second set of vitals, blood pressure was 99 over 56, pulse was 119, respires 32, and again 100 percent room air. Any comments? No LOC. ETA 15 to 20 minutes.</t>
  </si>
  <si>
    <t>The transcript describes a two-year-old female who ran into the street and was struck by a car traveling at approximately 25 miles per hour.</t>
  </si>
  <si>
    <t>['two-year-old female', 'two-year-old', 'Zero two']</t>
  </si>
  <si>
    <t>['pulse was 120', 'pulse was 119']</t>
  </si>
  <si>
    <t>['blood pressure was 117 over 76', 'blood pressure was 99 over 56']</t>
  </si>
  <si>
    <t>['respires was 22', 'respires 32']</t>
  </si>
  <si>
    <t>['ran out into the street and a car was driving by', 'struck the infant', 'about 25 miles an hour when she got hit']</t>
  </si>
  <si>
    <t>UH. Hi UH, this is Eastlake squad 1712 on a pediatric co-trauma. Go ahead. We are training around two guys with a two-year-old female. She's come from home. Parents are with us. Parents state that she kind of ran out into the street and a car was driving by, driving about 25 miles an hour, struck the infant. She did come to a stop, so we would say it was probably about 25 miles an hour when she got hit. She is currently fully immobilized on a pediatric backboard. She is crying, acting normal for her father. Upon assessment, we did find a cut over her right eye, causing some right eye swelling. She is able to open her eyes when kind of being assessed. Everything else in the primary showed no remarkable findings, neck is stable, equal chest, right eye, and left eye. Her eyes are full, lung sounds are clear and equal bilaterally, nothing on her back, and has an extension to her extremities. Initial set of vitals, blood pressure was 117 over 76, [REDACTED], respires was 22, and she was 100 cent room air. Second set of vitals, blood pressure was 99 over 56, [REDACTED], respires 32, and again 100 cent room air. Any comments? No. Any LOC upon contact with the car? Not that Dad said. I think as soon as she got hit, she just immediately started crying. Okay, so no LOC. And she's not altered or appearing? No, Dad's saying everything's all normal for her. Pupils are equal. Okay. How far out are you? I'd say we're probably close to 15 to 20. Okay. And I'll call you back if there's any changes. All right, we'll see. You said two-year-old, right? Zero two? Two-year-old, right. Okay. Zero two. Thank you. Email. Bye. Yep. Peace, like, copies. Bye.</t>
  </si>
  <si>
    <t>UH. Hi UH, this is Eastlake squad 1712 on a pediatric co-trauma. Go ahead. We are training around two guys with a two-year-old female. She's come from home. Parents are with us. Parents state that she kind of ran out into the street and a car was driving by, driving about 25 miles an hour, struck the infant. She did come to a stop, so we would say it was probably about 25 miles an hour when she got hit. She is currently fully immobilized on a pediatric backboard. She is crying, acting normal for her father. Upon assessment, we did find a cut over her right eye, causing some right eye swelling. She is able to open her eyes when kind of being assessed. Everything else in the primary showed no remarkable findings, neck is stable, equal chest, right eye, and left eye. Her eyes are full, lung sounds are clear and equal bilaterally, nothing on her back, and has an extension to her extremities. Initial set of vitals, [REDACTED], pulse was 120, respires was 22, and she was 100 cent room air. Second set of vitals, [REDACTED], pulse was 119, respires 32, and again 100 cent room air. Any comments? No. Any LOC upon contact with the car? Not that Dad said. I think as soon as she got hit, she just immediately started crying. Okay, so no LOC. And she's not altered or appearing? No, Dad's saying everything's all normal for her. Pupils are equal. Okay. How far out are you? I'd say we're probably close to 15 to 20. Okay. And I'll call you back if there's any changes. All right, we'll see. You said two-year-old, right? Zero two? Two-year-old, right. Okay. Zero two. Thank you. Email. Bye. Yep. Peace, like, copies. Bye.</t>
  </si>
  <si>
    <t>UH. Hi UH, this is Eastlake squad 1712 on a pediatric co-trauma. Go ahead. We are training around two guys with a two-year-old female. She's come from home. Parents are with us. Parents state that she kind of ran out into the street and a car was driving by, driving about 25 miles an hour, struck the infant. She did come to a stop, so we would say it was probably about 25 miles an hour when she got hit. She is currently fully immobilized on a pediatric backboard. She is crying, acting normal for her father. Upon assessment, we did find a cut over her right eye, causing some right eye swelling. She is able to open her eyes when kind of being assessed. Everything else in the primary showed no remarkable findings, neck is stable, equal chest, right eye, and left eye. Her eyes are full, lung sounds are clear and equal bilaterally, nothing on her back, and has an extension to her extremities. Initial set of vitals, blood pressure was 117 over 76, pulse was 120, [REDACTED], and she was 100 cent room air. Second set of vitals, blood pressure was 99 over 56, pulse was 119, [REDACTED], and again 100 cent room air. Any comments? No. Any LOC upon contact with the car? Not that Dad said. I think as soon as she got hit, she just immediately started crying. Okay, so no LOC. And she's not altered or appearing? No, Dad's saying everything's all normal for her. Pupils are equal. Okay. How far out are you? I'd say we're probably close to 15 to 20. Okay. And I'll call you back if there's any changes. All right, we'll see. You said two-year-old, right? Zero two? Two-year-old, right. Okay. Zero two. Thank you. Email. Bye. Yep. Peace, like, copies. Bye.</t>
  </si>
  <si>
    <t>UH. Hi UH, this is Eastlake squad 1712 on a pediatric co-trauma. Go ahead. We are training around two guys with a two-year-old female. She's come from home. Parents are with us. Parents state that she kind of ran out into the street and a car was driving by, driving about 25 miles an hour, struck the infant. She did come to a stop, so we would say it was probably about 25 miles an hour when she got hit. She is currently fully immobilized on a pediatric backboard. She is [REDACTED]. Upon assessment, we did find a cut over her right eye, causing some right eye swelling. She is able to open her eyes when kind of being assessed. Everything else in the primary showed no remarkable findings, neck is stable, equal chest, right eye, and left eye. Her eyes are full, lung sounds are clear and equal bilaterally, nothing on her back, and has an extension to her extremities. Initial set of vitals, blood pressure was 117 over 76, pulse was 120, respires was 22, and she was 100 cent room air. Second set of vitals, blood pressure was 99 over 56, pulse was 119, respires 32, and again 100 cent room air. Any comments? No. Any LOC upon contact with the car? Not that Dad said. I think as soon as she got hit, [REDACTED]. Okay, so no LOC. And she's not altered or appearing? No, [REDACTED]. Pupils are equal. Okay. How far out are you? I'd say we're probably close to 15 to 20. Okay. And I'll call you back if there's any changes. All right, we'll see. You said two-year-old, right? Zero two? Two-year-old, right. Okay. Zero two. Thank you. Email. Bye. Yep. Peace, like, copies. Bye.</t>
  </si>
  <si>
    <t>UH. Hi UH, this is Eastlake squad 1712 on a pediatric co-trauma. Go ahead. We are training around two guys with a two-year-old female. She's come from home. Parents are with us. Parents state that she kind of [REDACTED], driving about 25 miles an hour, [REDACTED]. She did come to a stop, so we would say it was probably [REDACTED]. She is currently fully immobilized on a pediatric backboard. She is crying, acting normal for her father. Upon assessment, we did find a cut over her right eye, causing some right eye swelling. She is able to open her eyes when kind of being assessed. Everything else in the primary showed no remarkable findings, neck is stable, equal chest, right eye, and left eye. Her eyes are full, lung sounds are clear and equal bilaterally, nothing on her back, and has an extension to her extremities. Initial set of vitals, blood pressure was 117 over 76, pulse was 120, respires was 22, and she was 100 cent room air. Second set of vitals, blood pressure was 99 over 56, pulse was 119, respires 32, and again 100 cent room air. Any comments? No. Any LOC upon contact with the car? Not that Dad said. I think as soon as she got hit, she just immediately started crying. Okay, so no LOC. And she's not altered or appearing? No, Dad's saying everything's all normal for her. Pupils are equal. Okay. How far out are you? I'd say we're probably close to 15 to 20. Okay. And I'll call you back if there's any changes. All right, we'll see. You said two-year-old, right? Zero two? Two-year-old, right. Okay. Zero two. Thank you. Email. Bye. Yep. Peace, like, copies. Bye.</t>
  </si>
  <si>
    <t>Okay. She's Cleveland Medical. Hey, what's going on? We're going to be coming to you with a pediatric patient. She is nine years old and she was electrocuted by a high tension power line. She is awake and alert at this time, has no visible burns or injuries that we can see, no points of injury. We're ready to take. Mom is with us right now. Heart rate is 118. It does appear sinus on the monitor. Pressure is 133 over 79. Respirator is over 29. And she's 100% on room air right now. What was she electrocuted by? A high tension tri-power line from a telephone pole. Oh, Jesus. And you said there's no marks or? Not that we saw, no. We looked at her hands and feet. She's been complaining of pain in her hands, legs, and feet. Mom described her as she was completely lost. So it appears that she got fully electrocuted. Okay. How far are you out? We're probably about five minutes out. All right. See you. Bye. Thanks. Bye.</t>
  </si>
  <si>
    <t>nine years old and she was electrocuted by a high tension power line. She is awake and alert at this time, has no visible burns or injuries that we can see, no points of injury. Heart rate is 118. It does appear sinus on the monitor. Pressure is 133 over 79. Respirator is over 29. And she's 100% on room air right now. ETA about five minutes out</t>
  </si>
  <si>
    <t>Electrocution by high tension power line</t>
  </si>
  <si>
    <t>The transcript clearly states the patient was electrocuted by a high tension power line.</t>
  </si>
  <si>
    <t>['nine years old']</t>
  </si>
  <si>
    <t>['Heart rate is 118']</t>
  </si>
  <si>
    <t>['Pressure is 133 over 79']</t>
  </si>
  <si>
    <t>['Respirator is over 29']</t>
  </si>
  <si>
    <t>['She is awake and alert at this time', 'Mom described her as she was completely lost']</t>
  </si>
  <si>
    <t>Okay. She's Cleveland Medical. Hey, what's going on? We're going to be coming to you with a pediatric patient. She is [REDACTED] and she was electrocuted by a high tension power line. She is awake and alert at this time, has no visible burns or injuries that we can see, no points of injury. We're ready to take. Mom is with us right now. Heart rate is 118. It does appear sinus on the monitor. Pressure is 133 over 79. Respirator is over 29. And she's 100% on room air right now. What was she electrocuted by? A high tension tri-power line from a telephone pole. Oh, Jesus. And you said there's no marks or? Not that we saw, no. We looked at her hands and feet. She's been complaining of pain in her hands, legs, and feet. Mom described her as she was completely lost. So it appears that she got fully electrocuted. Okay. How far are you out? We're probably about five minutes out. All right. See you. Bye. Thanks. Bye.</t>
  </si>
  <si>
    <t>Okay. She's Cleveland Medical. Hey, what's going on? We're going to be coming to you with a pediatric patient. She is nine years old and she was electrocuted by a high tension power line. She is awake and alert at this time, has no visible burns or injuries that we can see, no points of injury. We're ready to take. Mom is with us right now. [REDACTED]. It does appear sinus on the monitor. Pressure is 133 over 79. Respirator is over 29. And she's 100% on room air right now. What was she electrocuted by? A high tension tri-power line from a telephone pole. Oh, Jesus. And you said there's no marks or? Not that we saw, no. We looked at her hands and feet. She's been complaining of pain in her hands, legs, and feet. Mom described her as she was completely lost. So it appears that she got fully electrocuted. Okay. How far are you out? We're probably about five minutes out. All right. See you. Bye. Thanks. Bye.</t>
  </si>
  <si>
    <t>Okay. She's Cleveland Medical. Hey, what's going on? We're going to be coming to you with a pediatric patient. She is nine years old and she was electrocuted by a high tension power line. She is awake and alert at this time, has no visible burns or injuries that we can see, no points of injury. We're ready to take. Mom is with us right now. Heart rate is 118. It does appear sinus on the monitor. [REDACTED]. Respirator is over 29. And she's 100% on room air right now. What was she electrocuted by? A high tension tri-power line from a telephone pole. Oh, Jesus. And you said there's no marks or? Not that we saw, no. We looked at her hands and feet. She's been complaining of pain in her hands, legs, and feet. Mom described her as she was completely lost. So it appears that she got fully electrocuted. Okay. How far are you out? We're probably about five minutes out. All right. See you. Bye. Thanks. Bye.</t>
  </si>
  <si>
    <t>Okay. She's Cleveland Medical. Hey, what's going on? We're going to be coming to you with a pediatric patient. She is nine years old and she was electrocuted by a high tension power line. She is awake and alert at this time, has no visible burns or injuries that we can see, no points of injury. We're ready to take. Mom is with us right now. Heart rate is 118. It does appear sinus on the monitor. Pressure is 133 over 79. [REDACTED]. And she's 100% on room air right now. What was she electrocuted by? A high tension tri-power line from a telephone pole. Oh, Jesus. And you said there's no marks or? Not that we saw, no. We looked at her hands and feet. She's been complaining of pain in her hands, legs, and feet. Mom described her as she was completely lost. So it appears that she got fully electrocuted. Okay. How far are you out? We're probably about five minutes out. All right. See you. Bye. Thanks. Bye.</t>
  </si>
  <si>
    <t>Okay. She's Cleveland Medical. Hey, what's going on? We're going to be coming to you with a pediatric patient. She is nine years old and she was electrocuted by a high tension power line. [REDACTED], has no visible burns or injuries that we can see, no points of injury. We're ready to take. Mom is with us right now. Heart rate is 118. It does appear sinus on the monitor. Pressure is 133 over 79. Respirator is over 29. And she's 100% on room air right now. What was she electrocuted by? A high tension tri-power line from a telephone pole. Oh, Jesus. And you said there's no marks or? Not that we saw, no. We looked at her hands and feet. She's been complaining of pain in her hands, legs, and feet. [REDACTED]. So it appears that she got fully electrocuted. Okay. How far are you out? We're probably about five minutes out. All right. See you. Bye. Thanks. Bye.</t>
  </si>
  <si>
    <t>I was told you age. We've been in medic 36 or not with a 16 year old male. Unknown. If he was restrained, uh, and a high velocity NBA, the other occupant was an arrest. Complaining of shortness of breath and back pain. His last pressure is one Oh four over 68. Sorry. It's 85 sinus, uh, 99% of an average breather. Uh, he's alert and oriented right now. Just not really answering too many questions for us. And, uh, it's about five minutes. So, all right, we'll see you guys when you get here.</t>
  </si>
  <si>
    <t>16 year old male high speed MVA .BP 104/68.  It's 85 sinus, uh, 99% rooom air. he's alert and oriented right now.ETA 5 minutes.</t>
  </si>
  <si>
    <t>High velocity NBA</t>
  </si>
  <si>
    <t>The transcript mentions a "high velocity NBA" which indicates a motor vehicle accident.</t>
  </si>
  <si>
    <t>['16 year old male']</t>
  </si>
  <si>
    <t>['85 sinus']</t>
  </si>
  <si>
    <t>['last pressure is one Oh four over 68']</t>
  </si>
  <si>
    <t>['alert and oriented right now', 'not really answering too many questions']</t>
  </si>
  <si>
    <t>['high velocity NBA']</t>
  </si>
  <si>
    <t>I was told you age. We've been in medic 36 or not with a [REDACTED]. Unknown. If he was restrained, uh, and a high velocity NBA, the other occupant was an arrest. Complaining of shortness of breath and back pain. His last pressure is one Oh four over 68. Sorry. It's 85 sinus, uh, 99% of an average breather. Uh, he's alert and oriented right now. Just not really answering too many questions for us. And, uh, it's about five minutes. So, all right, we'll see you guys when you get here.</t>
  </si>
  <si>
    <t>I was told you age. We've been in medic 36 or not with a 16 year old male. Unknown. If he was restrained, uh, and a high velocity NBA, the other occupant was an arrest. Complaining of shortness of breath and back pain. His last pressure is one Oh four over 68. Sorry. It's [REDACTED], uh, 99% of an average breather. Uh, he's alert and oriented right now. Just not really answering too many questions for us. And, uh, it's about five minutes. So, all right, we'll see you guys when you get here.</t>
  </si>
  <si>
    <t>I was told you age. We've been in medic 36 or not with a 16 year old male. Unknown. If he was restrained, uh, and a high velocity NBA, the other occupant was an arrest. Complaining of shortness of breath and back pain. His [REDACTED]. Sorry. It's 85 sinus, uh, 99% of an average breather. Uh, he's alert and oriented right now. Just not really answering too many questions for us. And, uh, it's about five minutes. So, all right, we'll see you guys when you get here.</t>
  </si>
  <si>
    <t>I was told you age. We've been in medic 36 or not with a 16 year old male. Unknown. If he was restrained, uh, and a high velocity NBA, the other occupant was an arrest. Complaining of shortness of breath and back pain. His last pressure is one Oh four over 68. Sorry. It's 85 sinus, uh, 99% of an average breather. Uh, he's [REDACTED]. Just [REDACTED] for us. And, uh, it's about five minutes. So, all right, we'll see you guys when you get here.</t>
  </si>
  <si>
    <t>I was told you age. We've been in medic 36 or not with a 16 year old male. Unknown. If he was restrained, uh, and a [REDACTED], the other occupant was an arrest. Complaining of shortness of breath and back pain. His last pressure is one Oh four over 68. Sorry. It's 85 sinus, uh, 99% of an average breather. Uh, he's alert and oriented right now. Just not really answering too many questions for us. And, uh, it's about five minutes. So, all right, we'll see you guys when you get here.</t>
  </si>
  <si>
    <t>This is UH. Hey UH, it's Garfield Light Squad 1. What do you got? We got a four year old male, we're going to activate a trauma team. He was hit by a car. He's currently responsive to us. We got a pulse rate of 180 sinus tach on the monitor. Last pressure was 70 over 46. We got an IO established in his right tibial tuberosity. Flowing a fluid balance. Last SBO was 98. We got a non-rebreather on him at 15 liters. Okay, what kind of injuries? Looks like nothing trauma wise, nothing looks broke. Just looks like abrasions to his face and shoulder. Abrasions to his face and shoulder. Any LOC? Not that we know, he kind of just loaded and went. Okay. So we now fast approximately? I don't even know that man. Okay, that's fine. How far? We'll be there in approximately, I don't know, 12. Okay, I'll let him know. Thank you. Alright, thanks. Bye.</t>
  </si>
  <si>
    <t>four year old male. He was hit by a car. He's currently responsive to us. We got a pulse rate of 180 sinus tach on the monitor. Last pressure was 70 over 46. Last SBO was 98. We got a non-rebreather on him at 15 liters. Okay, what kind of injuries? Looks like nothing trauma wise, nothing looks broke. Just looks like abrasions to his face and shoulder. Abrasions to his face and shoulder. NO LOC. ETA 12 min.</t>
  </si>
  <si>
    <t>Hit by a car</t>
  </si>
  <si>
    <t>The transcript states that the four-year-old male was "hit by a car."</t>
  </si>
  <si>
    <t>['four year old male']</t>
  </si>
  <si>
    <t>['pulse rate of 180 sinus tach on the monitor']</t>
  </si>
  <si>
    <t>['Last pressure was 70 over 46']</t>
  </si>
  <si>
    <t>['currently responsive to us']</t>
  </si>
  <si>
    <t>['hit by a car']</t>
  </si>
  <si>
    <t>This is UH. Hey UH, it's Garfield Light Squad 1. What do you got? We got a [REDACTED], we're going to activate a trauma team. He was hit by a car. He's currently responsive to us. We got a pulse rate of 180 sinus tach on the monitor. Last pressure was 70 over 46. We got an IO established in his right tibial tuberosity. Flowing a fluid balance. Last SBO was 98. We got a non-rebreather on him at 15 liters. Okay, what kind of injuries? Looks like nothing trauma wise, nothing looks broke. Just looks like abrasions to his face and shoulder. Abrasions to his face and shoulder. Any LOC? Not that we know, he kind of just loaded and went. Okay. So we now fast approximately? I don't even know that man. Okay, that's fine. How far? We'll be there in approximately, I don't know, 12. Okay, I'll let him know. Thank you. Alright, thanks. Bye.</t>
  </si>
  <si>
    <t>This is UH. Hey UH, it's Garfield Light Squad 1. What do you got? We got a four year old male, we're going to activate a trauma team. He was hit by a car. He's currently responsive to us. We got a [REDACTED]. Last pressure was 70 over 46. We got an IO established in his right tibial tuberosity. Flowing a fluid balance. Last SBO was 98. We got a non-rebreather on him at 15 liters. Okay, what kind of injuries? Looks like nothing trauma wise, nothing looks broke. Just looks like abrasions to his face and shoulder. Abrasions to his face and shoulder. Any LOC? Not that we know, he kind of just loaded and went. Okay. So we now fast approximately? I don't even know that man. Okay, that's fine. How far? We'll be there in approximately, I don't know, 12. Okay, I'll let him know. Thank you. Alright, thanks. Bye.</t>
  </si>
  <si>
    <t>This is UH. Hey UH, it's Garfield Light Squad 1. What do you got? We got a four year old male, we're going to activate a trauma team. He was hit by a car. He's currently responsive to us. We got a pulse rate of 180 sinus tach on the monitor. [REDACTED]. We got an IO established in his right tibial tuberosity. Flowing a fluid balance. Last SBO was 98. We got a non-rebreather on him at 15 liters. Okay, what kind of injuries? Looks like nothing trauma wise, nothing looks broke. Just looks like abrasions to his face and shoulder. Abrasions to his face and shoulder. Any LOC? Not that we know, he kind of just loaded and went. Okay. So we now fast approximately? I don't even know that man. Okay, that's fine. How far? We'll be there in approximately, I don't know, 12. Okay, I'll let him know. Thank you. Alright, thanks. Bye.</t>
  </si>
  <si>
    <t>This is UH. Hey UH, it's Garfield Light Squad 1. What do you got? We got a four year old male, we're going to activate a trauma team. He was hit by a car. He's [REDACTED]. We got a pulse rate of 180 sinus tach on the monitor. Last pressure was 70 over 46. We got an IO established in his right tibial tuberosity. Flowing a fluid balance. Last SBO was 98. We got a non-rebreather on him at 15 liters. Okay, what kind of injuries? Looks like nothing trauma wise, nothing looks broke. Just looks like abrasions to his face and shoulder. Abrasions to his face and shoulder. Any LOC? Not that we know, he kind of just loaded and went. Okay. So we now fast approximately? I don't even know that man. Okay, that's fine. How far? We'll be there in approximately, I don't know, 12. Okay, I'll let him know. Thank you. Alright, thanks. Bye.</t>
  </si>
  <si>
    <t>This is UH. Hey UH, it's Garfield Light Squad 1. What do you got? We got a four year old male, we're going to activate a trauma team. He was [REDACTED]. He's currently responsive to us. We got a pulse rate of 180 sinus tach on the monitor. Last pressure was 70 over 46. We got an IO established in his right tibial tuberosity. Flowing a fluid balance. Last SBO was 98. We got a non-rebreather on him at 15 liters. Okay, what kind of injuries? Looks like nothing trauma wise, nothing looks broke. Just looks like abrasions to his face and shoulder. Abrasions to his face and shoulder. Any LOC? Not that we know, he kind of just loaded and went. Okay. So we now fast approximately? I don't even know that man. Okay, that's fine. How far? We'll be there in approximately, I don't know, 12. Okay, I'll let him know. Thank you. Alright, thanks. Bye.</t>
  </si>
  <si>
    <t>Hello, UH. Hey, Cleveland 30. What do you got? Bringing you a 10-year-old female who was struck by an auto. She is conscious-oriented with a GCS of 15. Only injury we can see is a possible right knee dislocation. Vitals are 140 over 80, heart rate 92, respires 22, 98%. Mom is with us. She has 50 likes of fentanyl or is O-fran on board. And we are five minutes out. All right. Any LOC? No. What's that? Not to you. Sorry. No LOC, you said? Nope. Okay. And will you know how fast this car was going? Probably 30, 35. 30, 35. Okay. How far? Five? Yep. Thank you. Bye. Bye.</t>
  </si>
  <si>
    <t>10-year-old female who was struck by an auto. She is conscious-oriented with a GCS of 15. Only injury we can see is a possible right knee dislocation. Vitals are 140 over 80, heart rate 92, respires 22, 98%. No LOC. ETA 5 minutes.</t>
  </si>
  <si>
    <t>Struck by an auto</t>
  </si>
  <si>
    <t>The transcript mentions a 10-year-old female who was struck by an auto.</t>
  </si>
  <si>
    <t>['heart rate 92']</t>
  </si>
  <si>
    <t>['140 over 80']</t>
  </si>
  <si>
    <t>['respires 22']</t>
  </si>
  <si>
    <t>['conscious-oriented']</t>
  </si>
  <si>
    <t>Hello, UH. Hey, Cleveland 30. What do you got? Bringing you a [REDACTED] who was struck by an auto. She is conscious-oriented with a GCS of 15. Only injury we can see is a possible right knee dislocation. Vitals are 140 over 80, heart rate 92, respires 22, 98%. Mom is with us. She has 50 likes of fentanyl or is O-fran on board. And we are five minutes out. All right. Any LOC? No. What's that? Not to you. Sorry. No LOC, you said? Nope. Okay. And will you know how fast this car was going? Probably 30, 35. 30, 35. Okay. How far? Five? Yep. Thank you. Bye. Bye.</t>
  </si>
  <si>
    <t>Hello, UH. Hey, Cleveland 30. What do you got? Bringing you a 10-year-old female who was struck by an auto. She is conscious-oriented with a GCS of 15. Only injury we can see is a possible right knee dislocation. Vitals are 140 over 80, [REDACTED], respires 22, 98%. Mom is with us. She has 50 likes of fentanyl or is O-fran on board. And we are five minutes out. All right. Any LOC? No. What's that? Not to you. Sorry. No LOC, you said? Nope. Okay. And will you know how fast this car was going? Probably 30, 35. 30, 35. Okay. How far? Five? Yep. Thank you. Bye. Bye.</t>
  </si>
  <si>
    <t>Hello, UH. Hey, Cleveland 30. What do you got? Bringing you a 10-year-old female who was struck by an auto. She is conscious-oriented with a GCS of 15. Only injury we can see is a possible right knee dislocation. Vitals are [REDACTED], heart rate 92, respires 22, 98%. Mom is with us. She has 50 likes of fentanyl or is O-fran on board. And we are five minutes out. All right. Any LOC? No. What's that? Not to you. Sorry. No LOC, you said? Nope. Okay. And will you know how fast this car was going? Probably 30, 35. 30, 35. Okay. How far? Five? Yep. Thank you. Bye. Bye.</t>
  </si>
  <si>
    <t>Hello, UH. Hey, Cleveland 30. What do you got? Bringing you a 10-year-old female who was struck by an auto. She is conscious-oriented with a GCS of 15. Only injury we can see is a possible right knee dislocation. Vitals are 140 over 80, heart rate 92, [REDACTED], 98%. Mom is with us. She has 50 likes of fentanyl or is O-fran on board. And we are five minutes out. All right. Any LOC? No. What's that? Not to you. Sorry. No LOC, you said? Nope. Okay. And will you know how fast this car was going? Probably 30, 35. 30, 35. Okay. How far? Five? Yep. Thank you. Bye. Bye.</t>
  </si>
  <si>
    <t>Hello, UH. Hey, Cleveland 30. What do you got? Bringing you a 10-year-old female who was struck by an auto. She is [REDACTED] with a GCS of 15. Only injury we can see is a possible right knee dislocation. Vitals are 140 over 80, heart rate 92, respires 22, 98%. Mom is with us. She has 50 likes of fentanyl or is O-fran on board. And we are five minutes out. All right. Any LOC? No. What's that? Not to you. Sorry. No LOC, you said? Nope. Okay. And will you know how fast this car was going? Probably 30, 35. 30, 35. Okay. How far? Five? Yep. Thank you. Bye. Bye.</t>
  </si>
  <si>
    <t> Quarterback. Hey, this is Emily on the PZD. Can you page out a full trauma? What we got? It's a high-speed car accident from Medevac. It's the seven-year-old? Yep. Did they arrive already? No, nothing. Dr. Hardad said the pagers didn't go off. Okay, yeah, it's getting sent out right now. The first one actually you should hear is that limited one for the ATV and then I'll pull out the full. Okay. Thank you.</t>
  </si>
  <si>
    <t>high speed car accident. It's the seven-year-old.</t>
  </si>
  <si>
    <t>High-speed car accident</t>
  </si>
  <si>
    <t>The transcript mentions a high-speed car accident as the primary mechanism of injury.</t>
  </si>
  <si>
    <t>['high-speed car accident']</t>
  </si>
  <si>
    <t> Quarterback. Hey, this is Emily on the PZD. Can you page out a full trauma? What we got? It's a high-speed car accident from Medevac. It's the [REDACTED]? Yep. Did they arrive already? No, nothing. Dr. Hardad said the pagers didn't go off. Okay, yeah, it's getting sent out right now. The first one actually you should hear is that limited one for the ATV and then I'll pull out the full. Okay. Thank you.</t>
  </si>
  <si>
    <t> Quarterback. Hey, this is Emily on the PZD. Can you page out a full trauma? What we got? It's a [REDACTED] from Medevac. It's the seven-year-old? Yep. Did they arrive already? No, nothing. Dr. Hardad said the pagers didn't go off. Okay, yeah, it's getting sent out right now. The first one actually you should hear is that limited one for the ATV and then I'll pull out the full. Okay. Thank you.</t>
  </si>
  <si>
    <t>Hey, is this the quarterback? Yes. Hey, it's Dr. McDowell. We're on the PED side. I just got a call from Transfer Center. They got a call from Medivac that they're flying in a one-year-old with a foot amputation. Can you page it out as a full activation? Their ETA is like 10 to 15 minutes. Okay. Thank you.</t>
  </si>
  <si>
    <t>The transcript does not provide specific details about how the foot amputation occurred.</t>
  </si>
  <si>
    <t>['one-year-old']</t>
  </si>
  <si>
    <t>['foot amputation']</t>
  </si>
  <si>
    <t>Hey, is this the quarterback? Yes. Hey, it's Dr. McDowell. We're on the PED side. I just got a call from Transfer Center. They got a call from Medivac that they're flying in a [REDACTED] with a foot amputation. Can you page it out as a full activation? Their ETA is like 10 to 15 minutes. Okay. Thank you.</t>
  </si>
  <si>
    <t>Hey, is this the quarterback? Yes. Hey, it's Dr. McDowell. We're on the PED side. I just got a call from Transfer Center. They got a call from Medivac that they're flying in a one-year-old with a [REDACTED]. Can you page it out as a full activation? Their ETA is like 10 to 15 minutes. Okay. Thank you.</t>
  </si>
  <si>
    <t>Hey, this is C-Signature Report. All right. We're on the 14-year-old female, GSW, to the right thigh. I do have a tourniquet. It's not currently bleeding. Vitals 126, 82. Pulse 85, 100% of room there. We've got a line start, a quick lot, and tourniquet place. DK is less than five. Okay. Thank you.</t>
  </si>
  <si>
    <t>14-year-old female, GSW, to the right thigh. I do have a tourniquet. It's not currently bleeding. Vitals 126, 82. Pulse 85, 100% of room there. ETA is less than five.</t>
  </si>
  <si>
    <t>GSW to the right thigh</t>
  </si>
  <si>
    <t>The transcript mentions a gunshot wound (GSW) to the right thigh of a 14-year-old female.</t>
  </si>
  <si>
    <t>['14-year-old female']</t>
  </si>
  <si>
    <t>['Pulse 85']</t>
  </si>
  <si>
    <t>['Vitals 126, 82']</t>
  </si>
  <si>
    <t>['GSW, to the right thigh']</t>
  </si>
  <si>
    <t>Hey, this is C-Signature Report. All right. We're on the [REDACTED], GSW, to the right thigh. I do have a tourniquet. It's not currently bleeding. Vitals 126, 82. Pulse 85, 100% of room there. We've got a line start, a quick lot, and tourniquet place. DK is less than five. Okay. Thank you.</t>
  </si>
  <si>
    <t>Hey, this is C-Signature Report. All right. We're on the 14-year-old female, GSW, to the right thigh. I do have a tourniquet. It's not currently bleeding. Vitals 126, 82. [REDACTED], 100% of room there. We've got a line start, a quick lot, and tourniquet place. DK is less than five. Okay. Thank you.</t>
  </si>
  <si>
    <t>Hey, this is C-Signature Report. All right. We're on the 14-year-old female, GSW, to the right thigh. I do have a tourniquet. It's not currently bleeding. [REDACTED]. Pulse 85, 100% of room there. We've got a line start, a quick lot, and tourniquet place. DK is less than five. Okay. Thank you.</t>
  </si>
  <si>
    <t>Hey, this is C-Signature Report. All right. We're on the 14-year-old female, [REDACTED]. I do have a tourniquet. It's not currently bleeding. Vitals 126, 82. Pulse 85, 100% of room there. We've got a line start, a quick lot, and tourniquet place. DK is less than five. Okay. Thank you.</t>
  </si>
  <si>
    <t>Good afternoon, University. Hey, it's Cleveland 41 with the trauma arrest for Rainbows. Oh, great. What you got there for one? Hey, we got an approximately 12-year-old male who was shot. Looks like probably in the neck and out the back right shoulder. Okay. He is the full arrest. Okay. Working him right now, just decompressed. We should be there in about six or seven. Okay. Any airway? Do you have an airway? Not yet, but we're working on it. All right, I got you. Come on in, brother. Okay, see you soon. Bye. Bye.</t>
  </si>
  <si>
    <t>12-year-old male who was shot. Looks like probably in the neck and out the back right shoulder. Okay. He is in full arrest. ETA 6-7 minutes and no airway.</t>
  </si>
  <si>
    <t>The transcript mentions a 12-year-old male who was shot in the neck and out the back right shoulder.</t>
  </si>
  <si>
    <t>['approximately 12-year-old male']</t>
  </si>
  <si>
    <t>['was shot', 'shot. Looks like probably in the neck and out the back right shoulder']</t>
  </si>
  <si>
    <t>Good afternoon, University. Hey, it's Cleveland 41 with the trauma arrest for Rainbows. Oh, great. What you got there for one? Hey, we got an [REDACTED] who was shot. Looks like probably in the neck and out the back right shoulder. Okay. He is the full arrest. Okay. Working him right now, just decompressed. We should be there in about six or seven. Okay. Any airway? Do you have an airway? Not yet, but we're working on it. All right, I got you. Come on in, brother. Okay, see you soon. Bye. Bye.</t>
  </si>
  <si>
    <t>UH. Hey, it's Cleveland Medical 11. We got a 15-year-old male dirt bike accident. He was the driver of the dirt bike and was involved in an accident. Possible LOC. He's alert and oriented right now. We got vital signs 132 over 74, heart rate 100, sinus attack monitor 97%. He has a few superficial injuries. He was up walking around when we got on scene, denying any head, neck, or back pain at this time. No crepus or deformity anywhere that we could see on assessment. Peter Vasili, about five, six minutes. Okay. And you said no helmet, possible LOC. Was he on the road? He was on a side street, but he crashed. It's possibly like he might have swerved to avoid a car and hit a telephone pole and flew off the bike. He says he doesn't remember. He doesn't remember much of anything that happened, but was not wearing a helmet. Don't see any kind of, again, no visible injuries. We got him in a collar right now just for precaution. Gotcha. Yeah, no visible injuries. And when we got there, he was already up and walking around. Okay. And totally 804 right now for you. Yeah, he answered all questions just kind of, I guess you could say like retrograde amnesia where he's not remembering the incident. Yeah. Okay. All right. About how long, Chris? About five or six. Got an opportunity quarter from 79th. Okay. All right. Sounds good. We'll see you shortly. All right. Bye-bye. Bye-bye. Bye-bye. Bye-bye. Bye-bye.</t>
  </si>
  <si>
    <t>15-year-old male dirt bike accident. He was the driver of the dirt bike and was involved in an accident. Possible LOC. He's alert and oriented right now. We got vital signs 132 over 74, heart rate 100, sinus attack monitor 97%.ETA 5 to 6 minutes.</t>
  </si>
  <si>
    <t>Dirt bike accident</t>
  </si>
  <si>
    <t>The transcript describes a 15-year-old male involved in a dirt bike accident, mentioning he swerved to avoid a car and hit a telephone pole.</t>
  </si>
  <si>
    <t>['132 over 74']</t>
  </si>
  <si>
    <t>['alert and oriented', 'denying any head, neck, or back pain', 'answered all questions', "retrograde amnesia where he's not remembering the incident"]</t>
  </si>
  <si>
    <t>UH. Hey, it's Cleveland Medical 11. We got a [REDACTED] dirt bike accident. He was the driver of the dirt bike and was involved in an accident. Possible LOC. He's alert and oriented right now. We got vital signs 132 over 74, heart rate 100, sinus attack monitor 97%. He has a few superficial injuries. He was up walking around when we got on scene, denying any head, neck, or back pain at this time. No crepus or deformity anywhere that we could see on assessment. Peter Vasili, about five, six minutes. Okay. And you said no helmet, possible LOC. Was he on the road? He was on a side street, but he crashed. It's possibly like he might have swerved to avoid a car and hit a telephone pole and flew off the bike. He says he doesn't remember. He doesn't remember much of anything that happened, but was not wearing a helmet. Don't see any kind of, again, no visible injuries. We got him in a collar right now just for precaution. Gotcha. Yeah, no visible injuries. And when we got there, he was already up and walking around. Okay. And totally 804 right now for you. Yeah, he answered all questions just kind of, I guess you could say like retrograde amnesia where he's not remembering the incident. Yeah. Okay. All right. About how long, Chris? About five or six. Got an opportunity quarter from 79th. Okay. All right. Sounds good. We'll see you shortly. All right. Bye-bye. Bye-bye. Bye-bye. Bye-bye. Bye-bye.</t>
  </si>
  <si>
    <t>UH. Hey, it's Cleveland Medical 11. We got a 15-year-old male dirt bike accident. He was the driver of the dirt bike and was involved in an accident. Possible LOC. He's alert and oriented right now. We got vital signs 132 over 74, [REDACTED], sinus attack monitor 97%. He has a few superficial injuries. He was up walking around when we got on scene, denying any head, neck, or back pain at this time. No crepus or deformity anywhere that we could see on assessment. Peter Vasili, about five, six minutes. Okay. And you said no helmet, possible LOC. Was he on the road? He was on a side street, but he crashed. It's possibly like he might have swerved to avoid a car and hit a telephone pole and flew off the bike. He says he doesn't remember. He doesn't remember much of anything that happened, but was not wearing a helmet. Don't see any kind of, again, no visible injuries. We got him in a collar right now just for precaution. Gotcha. Yeah, no visible injuries. And when we got there, he was already up and walking around. Okay. And totally 804 right now for you. Yeah, he answered all questions just kind of, I guess you could say like retrograde amnesia where he's not remembering the incident. Yeah. Okay. All right. About how long, Chris? About five or six. Got an opportunity quarter from 79th. Okay. All right. Sounds good. We'll see you shortly. All right. Bye-bye. Bye-bye. Bye-bye. Bye-bye. Bye-bye.</t>
  </si>
  <si>
    <t>UH. Hey, it's Cleveland Medical 11. We got a 15-year-old male dirt bike accident. He was the driver of the dirt bike and was involved in an accident. Possible LOC. He's alert and oriented right now. We got vital signs [REDACTED], heart rate 100, sinus attack monitor 97%. He has a few superficial injuries. He was up walking around when we got on scene, denying any head, neck, or back pain at this time. No crepus or deformity anywhere that we could see on assessment. Peter Vasili, about five, six minutes. Okay. And you said no helmet, possible LOC. Was he on the road? He was on a side street, but he crashed. It's possibly like he might have swerved to avoid a car and hit a telephone pole and flew off the bike. He says he doesn't remember. He doesn't remember much of anything that happened, but was not wearing a helmet. Don't see any kind of, again, no visible injuries. We got him in a collar right now just for precaution. Gotcha. Yeah, no visible injuries. And when we got there, he was already up and walking around. Okay. And totally 804 right now for you. Yeah, he answered all questions just kind of, I guess you could say like retrograde amnesia where he's not remembering the incident. Yeah. Okay. All right. About how long, Chris? About five or six. Got an opportunity quarter from 79th. Okay. All right. Sounds good. We'll see you shortly. All right. Bye-bye. Bye-bye. Bye-bye. Bye-bye. Bye-bye.</t>
  </si>
  <si>
    <t>UH. Hey, it's Cleveland Medical 11. We got a 15-year-old male dirt bike accident. He was the driver of the dirt bike and was involved in an accident. Possible LOC. He's [REDACTED] right now. We got vital signs 132 over 74, heart rate 100, sinus attack monitor 97%. He has a few superficial injuries. He was up walking around when we got on scene, [REDACTED] at this time. No crepus or deformity anywhere that we could see on assessment. Peter Vasili, about five, six minutes. Okay. And you said no helmet, possible LOC. Was he on the road? He was on a side street, but he crashed. It's possibly like he might have swerved to avoid a car and hit a telephone pole and flew off the bike. He says he doesn't remember. He doesn't remember much of anything that happened, but was not wearing a helmet. Don't see any kind of, again, no visible injuries. We got him in a collar right now just for precaution. Gotcha. Yeah, no visible injuries. And when we got there, he was already up and walking around. Okay. And totally 804 right now for you. Yeah, he [REDACTED] just kind of, I guess you could say like [REDACTED]. Yeah. Okay. All right. About how long, Chris? About five or six. Got an opportunity quarter from 79th. Okay. All right. Sounds good. We'll see you shortly. All right. Bye-bye. Bye-bye. Bye-bye. Bye-bye. Bye-bye.</t>
  </si>
  <si>
    <t>UITD. Oh yes, this is University Heights Squad 1141 ready to give report. Go ahead. And we're out to your facility with an 18-year-old male, alert and orient time is 4. He was involved in a rollover accident. He's unsure if he wore a seatbelt. He's also unsure what position in the seat, he knows that he wasn't driving, but he's not sure where in the car he was sitting. Not too much recollection of the incident actually occurring. Car was found on its side. Only complaint pain-wise is right shoulder pain. He's currently in handcuffs as of right now. We threw a seat collar on him just because of mechanism of injury. Vitals are stable, heart rate 120, SVO 2, 98 room, BP 120 over 72. We tried for an 18 gauge, but with him having the handcuffs kind of behind him, it was kind of hard. Who's Cleveland Heights 2? You said Cleveland Heights? University Heights. University Heights. University Heights. Which ETA? I believe that ETA about 6. I believe that car contained 4 people total. Yeah. Okay. Okay. All right, thanks. Yes. All right, thanks. Bye. Bye.</t>
  </si>
  <si>
    <t>18-year-old male, alert and orient time is 4. He was involved in a rollover accident. He's unsure if he wore a seatbelt. Vitals are stable, heart rate 120, SVO 2, 98 room, BP 120 over 72. ETA about 6.</t>
  </si>
  <si>
    <t>Rollover accident</t>
  </si>
  <si>
    <t>The transcript mentions the patient was involved in a rollover accident and the car was found on its side.</t>
  </si>
  <si>
    <t>['18-year-old male']</t>
  </si>
  <si>
    <t>['heart rate 120']</t>
  </si>
  <si>
    <t>['BP 120 over 72']</t>
  </si>
  <si>
    <t>['alert and orient time is 4', 'Not too much recollection of the incident actually occurring']</t>
  </si>
  <si>
    <t>['rollover accident', 'Car was found on its side', 'mechanism of injury']</t>
  </si>
  <si>
    <t>UITD. Oh yes, this is University Heights Squad 1141 ready to give report. Go ahead. And we're out to your facility with an [REDACTED], alert and orient time is 4. He was involved in a rollover accident. He's unsure if he wore a seatbelt. He's also unsure what position in the seat, he knows that he wasn't driving, but he's not sure where in the car he was sitting. Not too much recollection of the incident actually occurring. Car was found on its side. Only complaint pain-wise is right shoulder pain. He's currently in handcuffs as of right now. We threw a seat collar on him just because of mechanism of injury. Vitals are stable, heart rate 120, SVO 2, 98 room, BP 120 over 72. We tried for an 18 gauge, but with him having the handcuffs kind of behind him, it was kind of hard. Who's Cleveland Heights 2? You said Cleveland Heights? University Heights. University Heights. University Heights. Which ETA? I believe that ETA about 6. I believe that car contained 4 people total. Yeah. Okay. Okay. All right, thanks. Yes. All right, thanks. Bye. Bye.</t>
  </si>
  <si>
    <t>UITD. Oh yes, this is University Heights Squad 1141 ready to give report. Go ahead. And we're out to your facility with an 18-year-old male, alert and orient time is 4. He was involved in a rollover accident. He's unsure if he wore a seatbelt. He's also unsure what position in the seat, he knows that he wasn't driving, but he's not sure where in the car he was sitting. Not too much recollection of the incident actually occurring. Car was found on its side. Only complaint pain-wise is right shoulder pain. He's currently in handcuffs as of right now. We threw a seat collar on him just because of mechanism of injury. Vitals are stable, [REDACTED], SVO 2, 98 room, BP 120 over 72. We tried for an 18 gauge, but with him having the handcuffs kind of behind him, it was kind of hard. Who's Cleveland Heights 2? You said Cleveland Heights? University Heights. University Heights. University Heights. Which ETA? I believe that ETA about 6. I believe that car contained 4 people total. Yeah. Okay. Okay. All right, thanks. Yes. All right, thanks. Bye. Bye.</t>
  </si>
  <si>
    <t>UITD. Oh yes, this is University Heights Squad 1141 ready to give report. Go ahead. And we're out to your facility with an 18-year-old male, alert and orient time is 4. He was involved in a rollover accident. He's unsure if he wore a seatbelt. He's also unsure what position in the seat, he knows that he wasn't driving, but he's not sure where in the car he was sitting. Not too much recollection of the incident actually occurring. Car was found on its side. Only complaint pain-wise is right shoulder pain. He's currently in handcuffs as of right now. We threw a seat collar on him just because of mechanism of injury. Vitals are stable, heart rate 120, SVO 2, 98 room, [REDACTED]. We tried for an 18 gauge, but with him having the handcuffs kind of behind him, it was kind of hard. Who's Cleveland Heights 2? You said Cleveland Heights? University Heights. University Heights. University Heights. Which ETA? I believe that ETA about 6. I believe that car contained 4 people total. Yeah. Okay. Okay. All right, thanks. Yes. All right, thanks. Bye. Bye.</t>
  </si>
  <si>
    <t>UITD. Oh yes, this is University Heights Squad 1141 ready to give report. Go ahead. And we're out to your facility with an 18-year-old male, [REDACTED]. He was involved in a rollover accident. He's unsure if he wore a seatbelt. He's also unsure what position in the seat, he knows that he wasn't driving, but he's not sure where in the car he was sitting. [REDACTED]. Car was found on its side. Only complaint pain-wise is right shoulder pain. He's currently in handcuffs as of right now. We threw a seat collar on him just because of mechanism of injury. Vitals are stable, heart rate 120, SVO 2, 98 room, BP 120 over 72. We tried for an 18 gauge, but with him having the handcuffs kind of behind him, it was kind of hard. Who's Cleveland Heights 2? You said Cleveland Heights? University Heights. University Heights. University Heights. Which ETA? I believe that ETA about 6. I believe that car contained 4 people total. Yeah. Okay. Okay. All right, thanks. Yes. All right, thanks. Bye. Bye.</t>
  </si>
  <si>
    <t>UITD. Oh yes, this is University Heights Squad 1141 ready to give report. Go ahead. And we're out to your facility with an 18-year-old male, alert and orient time is 4. He was involved in a [REDACTED]. He's unsure if he wore a seatbelt. He's also unsure what position in the seat, he knows that he wasn't driving, but he's not sure where in the car he was sitting. Not too much recollection of the incident actually occurring. [REDACTED]. Only complaint pain-wise is right shoulder pain. He's currently in handcuffs as of right now. We threw a seat collar on him just because of [REDACTED]. Vitals are stable, heart rate 120, SVO 2, 98 room, BP 120 over 72. We tried for an 18 gauge, but with him having the handcuffs kind of behind him, it was kind of hard. Who's Cleveland Heights 2? You said Cleveland Heights? University Heights. University Heights. University Heights. Which ETA? I believe that ETA about 6. I believe that car contained 4 people total. Yeah. Okay. Okay. All right, thanks. Yes. All right, thanks. Bye. Bye.</t>
  </si>
  <si>
    <t>UATD. Hey UH, this is Shaker Heights 245. We're going to you guys with a pediatric patient. Was involved in a high speed MVA rollover accident. He's in and out of consciousness right now. How does this child? Fifteen. Fifteen, male? Yes. Stolen vehicle. They, yes. He was a driver. Negative. He states he's not the driver, but he's vitals are as follows. Hello? Going in and out. I didn't hear nothing you said because the phone went out. So vitals. Heart rate 91. Blood pressure 1 over 42. 99% on repair. Respirators 16. Our lifestyle. This is a horrible connection. I can barely hear anything. Any of it. We'll see when you get there then.</t>
  </si>
  <si>
    <t>15 year old high speed MVA rollover accident. Vitals. Heart rate 91. Blood pressure 1 over 42. 99% on repair. Respirators 16.</t>
  </si>
  <si>
    <t>High speed MVA rollover accident</t>
  </si>
  <si>
    <t>The transcript explicitly mentions the patient was involved in a "high speed MVA rollover accident."</t>
  </si>
  <si>
    <t>['pediatric patient', 'Fifteen', 'Fifteen, male']</t>
  </si>
  <si>
    <t>['Heart rate 91']</t>
  </si>
  <si>
    <t>['Blood pressure 1 over 42']</t>
  </si>
  <si>
    <t>['Respirators 16']</t>
  </si>
  <si>
    <t>['in and out of consciousness', 'Going in and out']</t>
  </si>
  <si>
    <t>UATD. Hey UH, this is Shaker Heights 245. We're going to you guys with a pediatric patient. Was involved in a high speed MVA rollover accident. He's in and out of consciousness right now. How does this child? Fifteen. Fifteen, male? Yes. Stolen vehicle. They, yes. He was a driver. Negative. He states he's not the driver, but he's vitals are as follows. Hello? Going in and out. I didn't hear nothing you said because the phone went out. So vitals. [REDACTED]. Blood pressure 1 over 42. 99% on repair. Respirators 16. Our lifestyle. This is a horrible connection. I can barely hear anything. Any of it. We'll see when you get there then.</t>
  </si>
  <si>
    <t>UATD. Hey UH, this is Shaker Heights 245. We're going to you guys with a pediatric patient. Was involved in a high speed MVA rollover accident. He's in and out of consciousness right now. How does this child? Fifteen. Fifteen, male? Yes. Stolen vehicle. They, yes. He was a driver. Negative. He states he's not the driver, but he's vitals are as follows. Hello? Going in and out. I didn't hear nothing you said because the phone went out. So vitals. Heart rate 91. [REDACTED]. 99% on repair. Respirators 16. Our lifestyle. This is a horrible connection. I can barely hear anything. Any of it. We'll see when you get there then.</t>
  </si>
  <si>
    <t>UATD. Hey UH, this is Shaker Heights 245. We're going to you guys with a pediatric patient. Was involved in a high speed MVA rollover accident. He's in and out of consciousness right now. How does this child? Fifteen. Fifteen, male? Yes. Stolen vehicle. They, yes. He was a driver. Negative. He states he's not the driver, but he's vitals are as follows. Hello? Going in and out. I didn't hear nothing you said because the phone went out. So vitals. Heart rate 91. Blood pressure 1 over 42. 99% on repair. [REDACTED]. Our lifestyle. This is a horrible connection. I can barely hear anything. Any of it. We'll see when you get there then.</t>
  </si>
  <si>
    <t>UATD. Hey UH, this is Shaker Heights 245. We're going to you guys with a pediatric patient. Was involved in a high speed MVA rollover accident. He's [REDACTED] right now. How does this child? Fifteen. Fifteen, male? Yes. Stolen vehicle. They, yes. He was a driver. Negative. He states he's not the driver, but he's vitals are as follows. Hello? [REDACTED]. I didn't hear nothing you said because the phone went out. So vitals. Heart rate 91. Blood pressure 1 over 42. 99% on repair. Respirators 16. Our lifestyle. This is a horrible connection. I can barely hear anything. Any of it. We'll see when you get there then.</t>
  </si>
  <si>
    <t>UH Maine. Hey, this is Hornsville High Fire Department Squad 1. We are going to be bringing in a trauma. A 15-year-old male was riding a motorbike, ran into a pole going about 25-30 miles per hour. When he made contact with the pole, his head basically made contact with the pole, come into a sit still and fell off the bike from there. He's got like two-inch cuts on his forehead with some swelling. Bleeding is controlled. He also has a small cut on his right eye. Hard to see out of it, but you can still see. He's also got a cut on his left calf as well, lower calf there. He's also got some bruising on the right side of his ribs. No loss of consciousness stated by him, but his memory is a little groggy about the incident. No shortness of breath, just the biggest main complaint is dizziness and headaches. Set of vitals here for you. Blood pressure 150. Heart rate 103. Debt at 96%. Respirations 15. He is ANO times 3. We have an ETA of about 10 minutes. We got him pre-collared with IV access as well. Okay, we'll see you then. Okay, thanks. Thanks, bye.</t>
  </si>
  <si>
    <t>A 15-year-old male was riding a motorbike, ran into a pole going about 25-30 miles per hour. No loss of consciousness stated by him, but his memory is a little groggy about the incident. No shortness of breath, just the biggest main complaint is dizziness and headaches.  Blood pressure 150. Heart rate 103. Debt at 96%. Respirations 15. He is ANO times 3. We have an ETA of about 10 minutes.</t>
  </si>
  <si>
    <t>Motorbike collision with a pole</t>
  </si>
  <si>
    <t>The transcript describes a 15-year-old male who was riding a motorbike and ran into a pole.</t>
  </si>
  <si>
    <t>['Heart rate 103']</t>
  </si>
  <si>
    <t>['Blood pressure 150']</t>
  </si>
  <si>
    <t>['Respirations 15']</t>
  </si>
  <si>
    <t>UH Maine. Hey, this is Hornsville High Fire Department Squad 1. We are going to be bringing in a trauma. A [REDACTED] was riding a motorbike, ran into a pole going about 25-30 miles per hour. When he made contact with the pole, his head basically made contact with the pole, come into a sit still and fell off the bike from there. He's got like two-inch cuts on his forehead with some swelling. Bleeding is controlled. He also has a small cut on his right eye. Hard to see out of it, but you can still see. He's also got a cut on his left calf as well, lower calf there. He's also got some bruising on the right side of his ribs. No loss of consciousness stated by him, but his memory is a little groggy about the incident. No shortness of breath, just the biggest main complaint is dizziness and headaches. Set of vitals here for you. Blood pressure 150. Heart rate 103. Debt at 96%. Respirations 15. He is ANO times 3. We have an ETA of about 10 minutes. We got him pre-collared with IV access as well. Okay, we'll see you then. Okay, thanks. Thanks, bye.</t>
  </si>
  <si>
    <t>UH Maine. Hey, this is Hornsville High Fire Department Squad 1. We are going to be bringing in a trauma. A 15-year-old male was riding a motorbike, ran into a pole going about 25-30 miles per hour. When he made contact with the pole, his head basically made contact with the pole, come into a sit still and fell off the bike from there. He's got like two-inch cuts on his forehead with some swelling. Bleeding is controlled. He also has a small cut on his right eye. Hard to see out of it, but you can still see. He's also got a cut on his left calf as well, lower calf there. He's also got some bruising on the right side of his ribs. No loss of consciousness stated by him, but his memory is a little groggy about the incident. No shortness of breath, just the biggest main complaint is dizziness and headaches. Set of vitals here for you. Blood pressure 150. [REDACTED]. Debt at 96%. Respirations 15. He is ANO times 3. We have an ETA of about 10 minutes. We got him pre-collared with IV access as well. Okay, we'll see you then. Okay, thanks. Thanks, bye.</t>
  </si>
  <si>
    <t>UH Maine. Hey, this is Hornsville High Fire Department Squad 1. We are going to be bringing in a trauma. A 15-year-old male was riding a motorbike, ran into a pole going about 25-30 miles per hour. When he made contact with the pole, his head basically made contact with the pole, come into a sit still and fell off the bike from there. He's got like two-inch cuts on his forehead with some swelling. Bleeding is controlled. He also has a small cut on his right eye. Hard to see out of it, but you can still see. He's also got a cut on his left calf as well, lower calf there. He's also got some bruising on the right side of his ribs. No loss of consciousness stated by him, but his memory is a little groggy about the incident. No shortness of breath, just the biggest main complaint is dizziness and headaches. Set of vitals here for you. [REDACTED]. Heart rate 103. Debt at 96%. Respirations 15. He is ANO times 3. We have an ETA of about 10 minutes. We got him pre-collared with IV access as well. Okay, we'll see you then. Okay, thanks. Thanks, bye.</t>
  </si>
  <si>
    <t>UH Maine. Hey, this is Hornsville High Fire Department Squad 1. We are going to be bringing in a trauma. A 15-year-old male was riding a motorbike, ran into a pole going about 25-30 miles per hour. When he made contact with the pole, his head basically made contact with the pole, come into a sit still and fell off the bike from there. He's got like two-inch cuts on his forehead with some swelling. Bleeding is controlled. He also has a small cut on his right eye. Hard to see out of it, but you can still see. He's also got a cut on his left calf as well, lower calf there. He's also got some bruising on the right side of his ribs. No loss of consciousness stated by him, but his memory is a little groggy about the incident. No shortness of breath, just the biggest main complaint is dizziness and headaches. Set of vitals here for you. Blood pressure 150. Heart rate 103. Debt at 96%. [REDACTED]. He is ANO times 3. We have an ETA of about 10 minutes. We got him pre-collared with IV access as well. Okay, we'll see you then. Okay, thanks. Thanks, bye.</t>
  </si>
  <si>
    <t>UH. UH, this is Painesville Township Squad 2722 Paramedic 270. How do you copy? Good, good. 11-year-old female, ANO times 3 on our cot. She was involved in a motor vehicle accident. Trauma to the driver. She was in the rear, she was in the rear middle seat belted. She's complaining of abdominal pain, severe abdominal pain. She does have seat belt marks. She's also complaining of some lower back pain. We have her mobilized with a C-collar sitting on our cot. BP 105 over 57. Pulse ox 96 percent. Heart rate of 103. Okay. Okay. Any LSC? No. She was ambulatory on our arrival. Okay. How fast was the vehicle? Unsure. The vehicle hit a tree. Tree. I know the speed limit on the road is 50 or 55 miles an hour. Okay. All right. And like I said, the driver is severe trauma. Okay. How far out? We're about 25 to 30. Okay. I'll let Rainbows know. I don't know when he pays you after that level of trauma. Thank you. All righty. Bye-bye. All right. Bye-bye. Bye-bye. Bye-bye. Bye-bye. Bye-bye.</t>
  </si>
  <si>
    <t>11-year-old female, ANO times 3 on our cot. She was involved in a motor vehicle accident. Trauma to the driver. BP 105 over 57. Pulse ox 96 percent. Heart rate of 103. no LOC. ETA  25 to 30</t>
  </si>
  <si>
    <t>Motor vehicle accident (vehicle hit a tree)</t>
  </si>
  <si>
    <t>The transcript mentions the patient was involved in a motor vehicle accident where the vehicle hit a tree.</t>
  </si>
  <si>
    <t>['11-year-old female']</t>
  </si>
  <si>
    <t>['Heart rate of 103']</t>
  </si>
  <si>
    <t>['BP 105 over 57']</t>
  </si>
  <si>
    <t>UH. UH, this is Painesville Township Squad 2722 Paramedic 270. How do you copy? Good, good. [REDACTED], ANO times 3 on our cot. She was involved in a motor vehicle accident. Trauma to the driver. She was in the rear, she was in the rear middle seat belted. She's complaining of abdominal pain, severe abdominal pain. She does have seat belt marks. She's also complaining of some lower back pain. We have her mobilized with a C-collar sitting on our cot. BP 105 over 57. Pulse ox 96 percent. Heart rate of 103. Okay. Okay. Any LSC? No. She was ambulatory on our arrival. Okay. How fast was the vehicle? Unsure. The vehicle hit a tree. Tree. I know the speed limit on the road is 50 or 55 miles an hour. Okay. All right. And like I said, the driver is severe trauma. Okay. How far out? We're about 25 to 30. Okay. I'll let Rainbows know. I don't know when he pays you after that level of trauma. Thank you. All righty. Bye-bye. All right. Bye-bye. Bye-bye. Bye-bye. Bye-bye. Bye-bye.</t>
  </si>
  <si>
    <t>UH. UH, this is Painesville Township Squad 2722 Paramedic 270. How do you copy? Good, good. 11-year-old female, ANO times 3 on our cot. She was involved in a motor vehicle accident. Trauma to the driver. She was in the rear, she was in the rear middle seat belted. She's complaining of abdominal pain, severe abdominal pain. She does have seat belt marks. She's also complaining of some lower back pain. We have her mobilized with a C-collar sitting on our cot. BP 105 over 57. Pulse ox 96 percent. [REDACTED]. Okay. Okay. Any LSC? No. She was ambulatory on our arrival. Okay. How fast was the vehicle? Unsure. The vehicle hit a tree. Tree. I know the speed limit on the road is 50 or 55 miles an hour. Okay. All right. And like I said, the driver is severe trauma. Okay. How far out? We're about 25 to 30. Okay. I'll let Rainbows know. I don't know when he pays you after that level of trauma. Thank you. All righty. Bye-bye. All right. Bye-bye. Bye-bye. Bye-bye. Bye-bye. Bye-bye.</t>
  </si>
  <si>
    <t>UH. UH, this is Painesville Township Squad 2722 Paramedic 270. How do you copy? Good, good. 11-year-old female, ANO times 3 on our cot. She was involved in a motor vehicle accident. Trauma to the driver. She was in the rear, she was in the rear middle seat belted. She's complaining of abdominal pain, severe abdominal pain. She does have seat belt marks. She's also complaining of some lower back pain. We have her mobilized with a C-collar sitting on our cot. [REDACTED]. Pulse ox 96 percent. Heart rate of 103. Okay. Okay. Any LSC? No. She was ambulatory on our arrival. Okay. How fast was the vehicle? Unsure. The vehicle hit a tree. Tree. I know the speed limit on the road is 50 or 55 miles an hour. Okay. All right. And like I said, the driver is severe trauma. Okay. How far out? We're about 25 to 30. Okay. I'll let Rainbows know. I don't know when he pays you after that level of trauma. Thank you. All righty. Bye-bye. All right. Bye-bye. Bye-bye. Bye-bye. Bye-bye. Bye-bye.</t>
  </si>
  <si>
    <t>It's medic one. I have a pizza trauma for you. It was going to be an 11 year old female. She was unrestrained front seat passenger and MVC. She flew into the dashboard, hit her face on the dash. Unknown LLC. She is awake and alert currently for us. She was ambulatory on the scene when we arrived. Blood pressure 132 over 82. Heart rate is 136. 97% room air. Lungs down is clear and equal all fields. They have about an eight minute ETA. Mom is also going to sign in to be seen. She's unrestrained front seat driver. She's complaining of right knee pain. Wake alert and ambulatory. Do you know how fast the car was going? Unknown speed. Unknown speed. Okay. Were they like driving and then just rear ended something? Yeah. Did they get hit? Yeah, correct. You got it. Okay. Sorry. I thought I said it. That's okay. What were those vitals again on the kid? 132 over 82. Heart rate of 136. 96% on room air. And 22 respurs. All right. And then? . . . . . Are you okay? Yes, I'm okay. I'm interested. Can you describe what caused this condition? What caused this? I mean, I couldn't speak. . Did it hit her head? . Any kind of trauma?次 jurisdrag sü Monroe-Kid, Now she's got a small lip When ru aquirest aí hixedpisumio su 업 diferente hurtul allergyilled, seen gestat Carmen's Lipprogram was temporarily stopped. We're right next door. Okay. Say we'll see you in eight. Bye bye 3 . . 5 . . . . . . . . . . . . . . . . . . .</t>
  </si>
  <si>
    <t>11 year old female. She was unrestrained front seat passenger and MVC. She flew into the dashboard, hit her face on the dash. Unknown LLC. She is awake and alert currently for us. She was ambulatory on the scene when we arrived. Blood pressure 132 over 82. Heart rate is 136. 97% room air. Lungs down is clear and equal all fields. ETA 8 minutes. ETA 8 minutes.</t>
  </si>
  <si>
    <t>MVC with unrestrained passengers</t>
  </si>
  <si>
    <t>The transcript describes an 11-year-old female and her mother as unrestrained passengers in a motor vehicle collision (MVC).</t>
  </si>
  <si>
    <t>['11 year old female']</t>
  </si>
  <si>
    <t>['Heart rate is 136', 'Heart rate of 136']</t>
  </si>
  <si>
    <t>['Blood pressure 132 over 82', '132 over 82']</t>
  </si>
  <si>
    <t>['22 respurs']</t>
  </si>
  <si>
    <t>['unrestrained front seat passenger and MVC', 'She flew into the dashboard, hit her face on the dash', 'unrestrained front seat driver', 'Did they get hit? Yeah, correct.']</t>
  </si>
  <si>
    <t>It's medic one. I have a pizza trauma for you. It was going to be an [REDACTED]. She was unrestrained front seat passenger and MVC. She flew into the dashboard, hit her face on the dash. Unknown LLC. She is awake and alert currently for us. She was ambulatory on the scene when we arrived. Blood pressure 132 over 82. Heart rate is 136. 97% room air. Lungs down is clear and equal all fields. They have about an eight minute ETA. Mom is also going to sign in to be seen. She's unrestrained front seat driver. She's complaining of right knee pain. Wake alert and ambulatory. Do you know how fast the car was going? Unknown speed. Unknown speed. Okay. Were they like driving and then just rear ended something? Yeah. Did they get hit? Yeah, correct. You got it. Okay. Sorry. I thought I said it. That's okay. What were those vitals again on the kid? 132 over 82. Heart rate of 136. 96% on room air. And 22 respurs. All right. And then? . . . . . Are you okay? Yes, I'm okay. I'm interested. Can you describe what caused this condition? What caused this? I mean, I couldn't speak. . Did it hit her head? . Any kind of trauma?次 jurisdrag sü Monroe-Kid, Now she's got a small lip When ru aquirest aí hixedpisumio su 업 diferente hurtul allergyilled, seen gestat Carmen's Lipprogram was temporarily stopped. We're right next door. Okay. Say we'll see you in eight. Bye bye 3 . . 5 . . . . . . . . . . . . . . . . . . .</t>
  </si>
  <si>
    <t>It's medic one. I have a pizza trauma for you. It was going to be an 11 year old female. She was unrestrained front seat passenger and MVC. She flew into the dashboard, hit her face on the dash. Unknown LLC. She is awake and alert currently for us. She was ambulatory on the scene when we arrived. Blood pressure 132 over 82. [REDACTED]. 97% room air. Lungs down is clear and equal all fields. They have about an eight minute ETA. Mom is also going to sign in to be seen. She's unrestrained front seat driver. She's complaining of right knee pain. Wake alert and ambulatory. Do you know how fast the car was going? Unknown speed. Unknown speed. Okay. Were they like driving and then just rear ended something? Yeah. Did they get hit? Yeah, correct. You got it. Okay. Sorry. I thought I said it. That's okay. What were those vitals again on the kid? 132 over 82. [REDACTED]. 96% on room air. And 22 respurs. All right. And then? . . . . . Are you okay? Yes, I'm okay. I'm interested. Can you describe what caused this condition? What caused this? I mean, I couldn't speak. . Did it hit her head? . Any kind of trauma?次 jurisdrag sü Monroe-Kid, Now she's got a small lip When ru aquirest aí hixedpisumio su 업 diferente hurtul allergyilled, seen gestat Carmen's Lipprogram was temporarily stopped. We're right next door. Okay. Say we'll see you in eight. Bye bye 3 . . 5 . . . . . . . . . . . . . . . . . . .</t>
  </si>
  <si>
    <t>It's medic one. I have a pizza trauma for you. It was going to be an 11 year old female. She was unrestrained front seat passenger and MVC. She flew into the dashboard, hit her face on the dash. Unknown LLC. She is awake and alert currently for us. She was ambulatory on the scene when we arrived. [REDACTED]. Heart rate is 136. 97% room air. Lungs down is clear and equal all fields. They have about an eight minute ETA. Mom is also going to sign in to be seen. She's unrestrained front seat driver. She's complaining of right knee pain. Wake alert and ambulatory. Do you know how fast the car was going? Unknown speed. Unknown speed. Okay. Were they like driving and then just rear ended something? Yeah. Did they get hit? Yeah, correct. You got it. Okay. Sorry. I thought I said it. That's okay. What were those vitals again on the kid? [REDACTED]. Heart rate of 136. 96% on room air. And 22 respurs. All right. And then? . . . . . Are you okay? Yes, I'm okay. I'm interested. Can you describe what caused this condition? What caused this? I mean, I couldn't speak. . Did it hit her head? . Any kind of trauma?次 jurisdrag sü Monroe-Kid, Now she's got a small lip When ru aquirest aí hixedpisumio su 업 diferente hurtul allergyilled, seen gestat Carmen's Lipprogram was temporarily stopped. We're right next door. Okay. Say we'll see you in eight. Bye bye 3 . . 5 . . . . . . . . . . . . . . . . . . .</t>
  </si>
  <si>
    <t>It's medic one. I have a pizza trauma for you. It was going to be an 11 year old female. She was unrestrained front seat passenger and MVC. She flew into the dashboard, hit her face on the dash. Unknown LLC. She is awake and alert currently for us. She was ambulatory on the scene when we arrived. Blood pressure 132 over 82. Heart rate is 136. 97% room air. Lungs down is clear and equal all fields. They have about an eight minute ETA. Mom is also going to sign in to be seen. She's unrestrained front seat driver. She's complaining of right knee pain. Wake alert and ambulatory. Do you know how fast the car was going? Unknown speed. Unknown speed. Okay. Were they like driving and then just rear ended something? Yeah. Did they get hit? Yeah, correct. You got it. Okay. Sorry. I thought I said it. That's okay. What were those vitals again on the kid? 132 over 82. Heart rate of 136. 96% on room air. And [REDACTED]. All right. And then? . . . . . Are you okay? Yes, I'm okay. I'm interested. Can you describe what caused this condition? What caused this? I mean, I couldn't speak. . Did it hit her head? . Any kind of trauma?次 jurisdrag sü Monroe-Kid, Now she's got a small lip When ru aquirest aí hixedpisumio su 업 diferente hurtul allergyilled, seen gestat Carmen's Lipprogram was temporarily stopped. We're right next door. Okay. Say we'll see you in eight. Bye bye 3 . . 5 . . . . . . . . . . . . . . . . . . .</t>
  </si>
  <si>
    <t>It's medic one. I have a pizza trauma for you. It was going to be an 11 year old female. She was [REDACTED]. [REDACTED]. Unknown LLC. She is awake and alert currently for us. She was ambulatory on the scene when we arrived. Blood pressure 132 over 82. Heart rate is 136. 97% room air. Lungs down is clear and equal all fields. They have about an eight minute ETA. Mom is also going to sign in to be seen. She's [REDACTED]. She's complaining of right knee pain. Wake alert and ambulatory. Do you know how fast the car was going? Unknown speed. Unknown speed. Okay. Were they like driving and then just rear ended something? Yeah. [REDACTED] You got it. Okay. Sorry. I thought I said it. That's okay. What were those vitals again on the kid? 132 over 82. Heart rate of 136. 96% on room air. And 22 respurs. All right. And then? . . . . . Are you okay? Yes, I'm okay. I'm interested. Can you describe what caused this condition? What caused this? I mean, I couldn't speak. . Did it hit her head? . Any kind of trauma?次 jurisdrag sü Monroe-Kid, Now she's got a small lip When ru aquirest aí hixedpisumio su 업 diferente hurtul allergyilled, seen gestat Carmen's Lipprogram was temporarily stopped. We're right next door. Okay. Say we'll see you in eight. Bye bye 3 . . 5 . . . . . . . . . . . . . . . . . . .</t>
  </si>
  <si>
    <t>Hey UH, this is Brecksville 3041. Go ahead. We are bringing you a 17-month-old female. She's slightly lethargic. She fell off the couch and hit her head. We're not sure if she hit her head on the carpet or on the hardwood floor. Our squad was there previous to this by about 15, 20 minutes. Then she started vomiting once we got there. Mom said about eight times, and then she became lethargic. Other than that, she's resting comfortably. No meds, no history, no allergies. Pulse ox was 98%. Respirators are 24. Heart rate is 120. Like I said, she's resting comfortably. No obvious signs of anything. You said she was 17, 17 for PEDS? Yes, months, M-O-N-S. Oh, months. I'm sorry, bro. All right, 17-month fall. She's vomiting for you, or did vomit for you. How far did she fall, brother? About a foot, a foot and a half. Okay. And what's your squad again? Brecksville 3041. Brecksville. All right, brother, man. She fell about a foot. She's vomiting for you now. Is she acting age-appropriate for you? Yeah, she's resting right now. She's got her eyes closed. But mom said, she's a little sluggish and lethargic. Okay. More than normal. All right, brother. Let me call our PEDS department and see if they may want to make her a trauma or not because of the vomiting and stuff and lethargic. Yeah. All right, brother, man. What's your ETA? About five minutes. All right, my man. See you in a bit. Thanks. Bye.</t>
  </si>
  <si>
    <t>17-month-old female. She's slightly lethargic. She fell off the couch and hit her head.  Pulse ox was 98%. Respirators are 24. Heart rate is 120. Fell About a foot, a foot and a half. vomiting and stuff and lethargic. ETA 5 minutes.</t>
  </si>
  <si>
    <t>The transcript mentions the child fell off the couch and hit her head.</t>
  </si>
  <si>
    <t>['Heart rate is 120']</t>
  </si>
  <si>
    <t>['Respirators are 24']</t>
  </si>
  <si>
    <t>Hey UH, this is Brecksville 3041. Go ahead. We are bringing you a 17-month-old female. She's slightly lethargic. She fell off the couch and hit her head. We're not sure if she hit her head on the carpet or on the hardwood floor. Our squad was there previous to this by about 15, 20 minutes. Then she started vomiting once we got there. Mom said about eight times, and then she became lethargic. Other than that, she's resting comfortably. No meds, no history, no allergies. Pulse ox was 98%. Respirators are 24. [REDACTED]. Like I said, she's resting comfortably. No obvious signs of anything. You said she was 17, 17 for PEDS? Yes, months, M-O-N-S. Oh, months. I'm sorry, bro. All right, 17-month fall. She's vomiting for you, or did vomit for you. How far did she fall, brother? About a foot, a foot and a half. Okay. And what's your squad again? Brecksville 3041. Brecksville. All right, brother, man. She fell about a foot. She's vomiting for you now. Is she acting age-appropriate for you? Yeah, she's resting right now. She's got her eyes closed. But mom said, she's a little sluggish and lethargic. Okay. More than normal. All right, brother. Let me call our PEDS department and see if they may want to make her a trauma or not because of the vomiting and stuff and lethargic. Yeah. All right, brother, man. What's your ETA? About five minutes. All right, my man. See you in a bit. Thanks. Bye.</t>
  </si>
  <si>
    <t>Hey UH, this is Brecksville 3041. Go ahead. We are bringing you a 17-month-old female. She's slightly lethargic. She fell off the couch and hit her head. We're not sure if she hit her head on the carpet or on the hardwood floor. Our squad was there previous to this by about 15, 20 minutes. Then she started vomiting once we got there. Mom said about eight times, and then she became lethargic. Other than that, she's resting comfortably. No meds, no history, no allergies. Pulse ox was 98%. [REDACTED]. Heart rate is 120. Like I said, she's resting comfortably. No obvious signs of anything. You said she was 17, 17 for PEDS? Yes, months, M-O-N-S. Oh, months. I'm sorry, bro. All right, 17-month fall. She's vomiting for you, or did vomit for you. How far did she fall, brother? About a foot, a foot and a half. Okay. And what's your squad again? Brecksville 3041. Brecksville. All right, brother, man. She fell about a foot. She's vomiting for you now. Is she acting age-appropriate for you? Yeah, she's resting right now. She's got her eyes closed. But mom said, she's a little sluggish and lethargic. Okay. More than normal. All right, brother. Let me call our PEDS department and see if they may want to make her a trauma or not because of the vomiting and stuff and lethargic. Yeah. All right, brother, man. What's your ETA? About five minutes. All right, my man. See you in a bit. Thanks. Bye.</t>
  </si>
  <si>
    <t>Hey, UH. Hey, UH. This is Shaker246. Can you hear me okay? Yeah, I got you now, brother. What you got? Okay, so we're en route to your location with a 17-year-old female, so a pediatric patient. She's involved in a two-car MBA. She was the driver of a car that was T-boned. Moderate speed. It was like a 30-mile-an-hour speed limit area. So her car did roll over. It rolled over. It was laying on its top side when we got there. And she was seat belted, shoulder and lap belt. She had front and side airbag deployment. And she self-extricated prior to EMS arrival. We got there. She was ambulatory, walking around, talking on her cell phone to her mother. A and O times four. No complaints whatsoever. She remembers the entire incident. Full body physical assessment performed. Results were unremarkable. She denies taking any medications. She denies any chance of being pregnant. Talked to mother on the phone. And mother just wanted her to come up and be checked out due to mechanism. She's physician of comfort on the cot. She has no complaints. We have a VP of 148.88. Respirators of 14. She is 98% room air. Heart rate is 90. And we're probably about five to six minutes out. All right. Let me run this by our guy first because I doubt if they want to make this a trauma on our end. If it's a trauma on our end, she'll stay down here. If not, then we'll take her down to Peds. But let me see. You said there's moderate damage. I mean, I technically heard vehicle moderate from the impact, but it rolled over with, I guess, significant damage to her car. No damage to the interior of the car, the driving compartment. Gotcha. Okay. That might be the deciding factor. All right, brother man. I'll see you in a bit. All right. Sounds good. All right. Bye.</t>
  </si>
  <si>
    <t>17-year-old female, so a pediatric patient. She's involved in a two-car MBA. She was the driver of a car that was T-boned. Moderate speed. It was like a 30-mile-an-hour speed limit area. car rolled over. BP 148 over 88. Respirators of 14. She is 98% room air. Heart rate is 90. ETA five to six minutes out.</t>
  </si>
  <si>
    <t>Two-car MBA with rollover</t>
  </si>
  <si>
    <t>The transcript describes a two-car motor vehicle accident (MBA) where the patient's car was T-boned and rolled over.</t>
  </si>
  <si>
    <t>['Heart rate is 90']</t>
  </si>
  <si>
    <t>['Respirators of 14']</t>
  </si>
  <si>
    <t>['A and O times four', 'She remembers the entire incident', 'ambulatory, walking around, talking on her cell phone to her mother']</t>
  </si>
  <si>
    <t>Hey, UH. Hey, UH. This is Shaker246. Can you hear me okay? Yeah, I got you now, brother. What you got? Okay, so we're en route to your location with a 17-year-old female, so a pediatric patient. She's involved in a two-car MBA. She was the driver of a car that was T-boned. Moderate speed. It was like a 30-mile-an-hour speed limit area. So her car did roll over. It rolled over. It was laying on its top side when we got there. And she was seat belted, shoulder and lap belt. She had front and side airbag deployment. And she self-extricated prior to EMS arrival. We got there. She was ambulatory, walking around, talking on her cell phone to her mother. A and O times four. No complaints whatsoever. She remembers the entire incident. Full body physical assessment performed. Results were unremarkable. She denies taking any medications. She denies any chance of being pregnant. Talked to mother on the phone. And mother just wanted her to come up and be checked out due to mechanism. She's physician of comfort on the cot. She has no complaints. We have a VP of 148.88. Respirators of 14. She is 98% room air. [REDACTED]. And we're probably about five to six minutes out. All right. Let me run this by our guy first because I doubt if they want to make this a trauma on our end. If it's a trauma on our end, she'll stay down here. If not, then we'll take her down to Peds. But let me see. You said there's moderate damage. I mean, I technically heard vehicle moderate from the impact, but it rolled over with, I guess, significant damage to her car. No damage to the interior of the car, the driving compartment. Gotcha. Okay. That might be the deciding factor. All right, brother man. I'll see you in a bit. All right. Sounds good. All right. Bye.</t>
  </si>
  <si>
    <t>Hey, UH. Hey, UH. This is Shaker246. Can you hear me okay? Yeah, I got you now, brother. What you got? Okay, so we're en route to your location with a 17-year-old female, so a pediatric patient. She's involved in a two-car MBA. She was the driver of a car that was T-boned. Moderate speed. It was like a 30-mile-an-hour speed limit area. So her car did roll over. It rolled over. It was laying on its top side when we got there. And she was seat belted, shoulder and lap belt. She had front and side airbag deployment. And she self-extricated prior to EMS arrival. We got there. She was ambulatory, walking around, talking on her cell phone to her mother. A and O times four. No complaints whatsoever. She remembers the entire incident. Full body physical assessment performed. Results were unremarkable. She denies taking any medications. She denies any chance of being pregnant. Talked to mother on the phone. And mother just wanted her to come up and be checked out due to mechanism. She's physician of comfort on the cot. She has no complaints. We have a VP of 148.88. [REDACTED]. She is 98% room air. Heart rate is 90. And we're probably about five to six minutes out. All right. Let me run this by our guy first because I doubt if they want to make this a trauma on our end. If it's a trauma on our end, she'll stay down here. If not, then we'll take her down to Peds. But let me see. You said there's moderate damage. I mean, I technically heard vehicle moderate from the impact, but it rolled over with, I guess, significant damage to her car. No damage to the interior of the car, the driving compartment. Gotcha. Okay. That might be the deciding factor. All right, brother man. I'll see you in a bit. All right. Sounds good. All right. Bye.</t>
  </si>
  <si>
    <t>Hey, UH. Hey, UH. This is Shaker246. Can you hear me okay? Yeah, I got you now, brother. What you got? Okay, so we're en route to your location with a 17-year-old female, so a pediatric patient. She's involved in a two-car MBA. She was the driver of a car that was T-boned. Moderate speed. It was like a 30-mile-an-hour speed limit area. So her car did roll over. It rolled over. It was laying on its top side when we got there. And she was seat belted, shoulder and lap belt. She had front and side airbag deployment. And she self-extricated prior to EMS arrival. We got there. She was [REDACTED]. [REDACTED]. No complaints whatsoever. [REDACTED]. Full body physical assessment performed. Results were unremarkable. She denies taking any medications. She denies any chance of being pregnant. Talked to mother on the phone. And mother just wanted her to come up and be checked out due to mechanism. She's physician of comfort on the cot. She has no complaints. We have a VP of 148.88. Respirators of 14. She is 98% room air. Heart rate is 90. And we're probably about five to six minutes out. All right. Let me run this by our guy first because I doubt if they want to make this a trauma on our end. If it's a trauma on our end, she'll stay down here. If not, then we'll take her down to Peds. But let me see. You said there's moderate damage. I mean, I technically heard vehicle moderate from the impact, but it rolled over with, I guess, significant damage to her car. No damage to the interior of the car, the driving compartment. Gotcha. Okay. That might be the deciding factor. All right, brother man. I'll see you in a bit. All right. Sounds good. All right. Bye.</t>
  </si>
  <si>
    <t>Good afternoon, University. Hey, hey, hey, it's Cleveland, 26. Coming in, two GSWs, one 15-mil to the leg, one 19-mil to the chest. Both conscious, working on vitals and interventions. And Rob, we do have a chest seal on the chest GSW. Okay, 15-mil, where in the, you say arm? 15-mil, lower, right calf, 19-mil, left chest. Both are awake and conscious, working on vitals and everything, and Rob. All right, left chest, left chest. All righty. ETA, Anthony. Six minutes, four minutes. All right.</t>
  </si>
  <si>
    <t>two GSWs, one 15-mil to the leg, one 19-mil to the chest. Both conscious, working on vitals and interventions. we do have a chest seal on the chest GSW.</t>
  </si>
  <si>
    <t>GSW to leg and chest</t>
  </si>
  <si>
    <t>The transcript mentions two gunshot wounds (GSWs), one to the leg and one to the chest.</t>
  </si>
  <si>
    <t>['Both conscious', 'Both are awake and conscious']</t>
  </si>
  <si>
    <t>['two GSWs', '15-mil to the leg', '19-mil to the chest', 'chest GSW', '15-mil, lower, right calf', '19-mil, left chest']</t>
  </si>
  <si>
    <t>Good afternoon, University. Hey, hey, hey, it's Cleveland, 26. Coming in, two GSWs, one 15-mil to the leg, one 19-mil to the chest. [REDACTED], working on vitals and interventions. And Rob, we do have a chest seal on the chest GSW. Okay, 15-mil, where in the, you say arm? 15-mil, lower, right calf, 19-mil, left chest. [REDACTED], working on vitals and everything, and Rob. All right, left chest, left chest. All righty. ETA, Anthony. Six minutes, four minutes. All right.</t>
  </si>
  <si>
    <t>Good afternoon, University. Hey, hey, hey, it's Cleveland, 26. Coming in, [REDACTED], one [REDACTED], one [REDACTED]. Both conscious, working on vitals and interventions. And Rob, we do have a chest seal on the [REDACTED]. Okay, 15-mil, where in the, you say arm? [REDACTED], [REDACTED]. Both are awake and conscious, working on vitals and everything, and Rob. All right, left chest, left chest. All righty. ETA, Anthony. Six minutes, four minutes. All right.</t>
  </si>
  <si>
    <t>Hi, this is Clean Medical 11. I'm bringing you a 13-year-old female. Hello? A 13-year-old female? Yes. All right. A 13-year-old female. She was a hit skip. She was struck by an automobile as she was trying to enter the backseat of the vehicle. Mom saw the vehicle. She was going at a very low rate of speed. But the patient is complaining of back pain. She's ambulatory. No loss of consciousness. Did not hurt her head. No obvious injuries or deformities. Patient's vitals are stable. Pressure right now is 126 over 90. Heart rate's 100. Respiratory is 18. 100% room air. And we should be there in about five to seven minutes. Mom will be up in a few minutes. She was talking to police. So what's the speed, you think? Maybe 5, 10. She said. It was slow. But she didn't anticipate. It knocked her down. It didn't knock her down at all. She didn't fall. She didn't hit her head. It jarred her. They felt the car move back and forth. Okay. All right. Thanks. Thanks. Thanks.</t>
  </si>
  <si>
    <t>A 13-year-old female. She was struck by an automobile as she was trying to enter the backseat of the vehicle.  No loss of consciousness. Did not hurt her head. No obvious injuries or deformities. Patient's vitals are stable. Pressure right now is 126 over 90. Heart rate's 100. Respiratory is 18. 100% room air. ETA  five to seven minutes.</t>
  </si>
  <si>
    <t>Hit by automobile</t>
  </si>
  <si>
    <t>The transcript states the patient was struck by an automobile while trying to enter the backseat of a vehicle.</t>
  </si>
  <si>
    <t>['13-year-old female', 'A 13-year-old female', 'A 13-year-old female']</t>
  </si>
  <si>
    <t>["Heart rate's 100"]</t>
  </si>
  <si>
    <t>['Pressure right now is 126 over 90']</t>
  </si>
  <si>
    <t>['Respiratory is 18']</t>
  </si>
  <si>
    <t>Hi, this is Clean Medical 11. I'm bringing you a 13-year-old female. Hello? A 13-year-old female? Yes. All right. A 13-year-old female. She was a hit skip. She was struck by an automobile as she was trying to enter the backseat of the vehicle. Mom saw the vehicle. She was going at a very low rate of speed. But the patient is complaining of back pain. She's ambulatory. No loss of consciousness. Did not hurt her head. No obvious injuries or deformities. Patient's vitals are stable. Pressure right now is 126 over 90. [REDACTED]. Respiratory is 18. 100% room air. And we should be there in about five to seven minutes. Mom will be up in a few minutes. She was talking to police. So what's the speed, you think? Maybe 5, 10. She said. It was slow. But she didn't anticipate. It knocked her down. It didn't knock her down at all. She didn't fall. She didn't hit her head. It jarred her. They felt the car move back and forth. Okay. All right. Thanks. Thanks. Thanks.</t>
  </si>
  <si>
    <t>Hi, this is Clean Medical 11. I'm bringing you a 13-year-old female. Hello? A 13-year-old female? Yes. All right. A 13-year-old female. She was a hit skip. She was struck by an automobile as she was trying to enter the backseat of the vehicle. Mom saw the vehicle. She was going at a very low rate of speed. But the patient is complaining of back pain. She's ambulatory. No loss of consciousness. Did not hurt her head. No obvious injuries or deformities. Patient's vitals are stable. [REDACTED]. Heart rate's 100. Respiratory is 18. 100% room air. And we should be there in about five to seven minutes. Mom will be up in a few minutes. She was talking to police. So what's the speed, you think? Maybe 5, 10. She said. It was slow. But she didn't anticipate. It knocked her down. It didn't knock her down at all. She didn't fall. She didn't hit her head. It jarred her. They felt the car move back and forth. Okay. All right. Thanks. Thanks. Thanks.</t>
  </si>
  <si>
    <t>Hi, this is Clean Medical 11. I'm bringing you a 13-year-old female. Hello? A 13-year-old female? Yes. All right. A 13-year-old female. She was a hit skip. She was struck by an automobile as she was trying to enter the backseat of the vehicle. Mom saw the vehicle. She was going at a very low rate of speed. But the patient is complaining of back pain. She's ambulatory. No loss of consciousness. Did not hurt her head. No obvious injuries or deformities. Patient's vitals are stable. Pressure right now is 126 over 90. Heart rate's 100. [REDACTED]. 100% room air. And we should be there in about five to seven minutes. Mom will be up in a few minutes. She was talking to police. So what's the speed, you think? Maybe 5, 10. She said. It was slow. But she didn't anticipate. It knocked her down. It didn't knock her down at all. She didn't fall. She didn't hit her head. It jarred her. They felt the car move back and forth. Okay. All right. Thanks. Thanks. Thanks.</t>
  </si>
  <si>
    <t>Hello UH. Hey, it's Cleveland 41. What do you got? Hey, we got a six-year-old female coming to you. She was struck by a smaller SUV. She's currently ANO4 right now, vaccination appropriate. She's suffering from some left solar pain, got a couple of abrasions to her face, no neural deficits. Blood pressure we got was 108 over 70. She's 110 heart rate, 100% on room air, no distress. She said car was traveling about 30 miles an hour and no loss of consciousness. And she did. Okay, mom says she did have a brief loss of consciousness. And we're like five out. All right, I'll pass it on, Rainbows. Thank you. All right, thanks, bye.</t>
  </si>
  <si>
    <t>six-year-old female struck by a smaller SUV. She's currently ANO4 right now. Blood pressure we got was 108 over 70. She's 110 heart rate, 100% on room air, no distress. She said car was traveling about 30 miles an hour and no loss of consciousness. ETA 5 minutes.</t>
  </si>
  <si>
    <t>Struck by a smaller SUV</t>
  </si>
  <si>
    <t>The transcript states the patient was struck by a smaller SUV.</t>
  </si>
  <si>
    <t>['six-year-old female']</t>
  </si>
  <si>
    <t>['110 heart rate']</t>
  </si>
  <si>
    <t>['Blood pressure we got was 108 over 70']</t>
  </si>
  <si>
    <t>Hello UH. Hey, it's Cleveland 41. What do you got? Hey, we got a [REDACTED] coming to you. She was struck by a smaller SUV. She's currently ANO4 right now, vaccination appropriate. She's suffering from some left solar pain, got a couple of abrasions to her face, no neural deficits. Blood pressure we got was 108 over 70. She's 110 heart rate, 100% on room air, no distress. She said car was traveling about 30 miles an hour and no loss of consciousness. And she did. Okay, mom says she did have a brief loss of consciousness. And we're like five out. All right, I'll pass it on, Rainbows. Thank you. All right, thanks, bye.</t>
  </si>
  <si>
    <t>Hello UH. Hey, it's Cleveland 41. What do you got? Hey, we got a six-year-old female coming to you. She was struck by a smaller SUV. She's currently ANO4 right now, vaccination appropriate. She's suffering from some left solar pain, got a couple of abrasions to her face, no neural deficits. Blood pressure we got was 108 over 70. She's [REDACTED], 100% on room air, no distress. She said car was traveling about 30 miles an hour and no loss of consciousness. And she did. Okay, mom says she did have a brief loss of consciousness. And we're like five out. All right, I'll pass it on, Rainbows. Thank you. All right, thanks, bye.</t>
  </si>
  <si>
    <t>Hello UH. Hey, it's Cleveland 41. What do you got? Hey, we got a six-year-old female coming to you. She was struck by a smaller SUV. She's currently ANO4 right now, vaccination appropriate. She's suffering from some left solar pain, got a couple of abrasions to her face, no neural deficits. [REDACTED]. She's 110 heart rate, 100% on room air, no distress. She said car was traveling about 30 miles an hour and no loss of consciousness. And she did. Okay, mom says she did have a brief loss of consciousness. And we're like five out. All right, I'll pass it on, Rainbows. Thank you. All right, thanks, bye.</t>
  </si>
  <si>
    <t>Thank you. You age. Hey, it's Cleveland, May 30. Got a 10-year-old male for Rainbow. He got shot in the head with a BB gun. Apparently it's a steel BB. Looks like it probably penetrated his skin. You can see a lump where it might be, but he's alert-oriented. Blood pressure is 110 over 70. Heart rate in the 90s, 99% on room air. Pupil is equal reactive, no neural deficit. So probably not a huge deal, but we'll be there in about five minutes. All right, thanks. Bye.</t>
  </si>
  <si>
    <t>10-year-old male for Rainbow. He got shot in the head with a BB gun.  Blood pressure is 110 over 70. Heart rate in the 90s, 99% on room air. Pupil is equal reactive, no neural deficit.ETA five minutes.</t>
  </si>
  <si>
    <t>Shot in the head with a BB gun</t>
  </si>
  <si>
    <t>The transcript clearly states the patient was shot in the head with a BB gun.</t>
  </si>
  <si>
    <t>['10-year-old male']</t>
  </si>
  <si>
    <t>['Heart rate in the 90s']</t>
  </si>
  <si>
    <t>['Blood pressure is 110 over 70']</t>
  </si>
  <si>
    <t>["he's alert-oriented"]</t>
  </si>
  <si>
    <t>Thank you. You age. Hey, it's Cleveland, May 30. Got a [REDACTED] for Rainbow. He got shot in the head with a BB gun. Apparently it's a steel BB. Looks like it probably penetrated his skin. You can see a lump where it might be, but he's alert-oriented. Blood pressure is 110 over 70. Heart rate in the 90s, 99% on room air. Pupil is equal reactive, no neural deficit. So probably not a huge deal, but we'll be there in about five minutes. All right, thanks. Bye.</t>
  </si>
  <si>
    <t>Thank you. You age. Hey, it's Cleveland, May 30. Got a 10-year-old male for Rainbow. He got shot in the head with a BB gun. Apparently it's a steel BB. Looks like it probably penetrated his skin. You can see a lump where it might be, but he's alert-oriented. Blood pressure is 110 over 70. [REDACTED], 99% on room air. Pupil is equal reactive, no neural deficit. So probably not a huge deal, but we'll be there in about five minutes. All right, thanks. Bye.</t>
  </si>
  <si>
    <t>Thank you. You age. Hey, it's Cleveland, May 30. Got a 10-year-old male for Rainbow. He got shot in the head with a BB gun. Apparently it's a steel BB. Looks like it probably penetrated his skin. You can see a lump where it might be, but he's alert-oriented. [REDACTED]. Heart rate in the 90s, 99% on room air. Pupil is equal reactive, no neural deficit. So probably not a huge deal, but we'll be there in about five minutes. All right, thanks. Bye.</t>
  </si>
  <si>
    <t>Thank you. You age. Hey, it's Cleveland, May 30. Got a 10-year-old male for Rainbow. He got shot in the head with a BB gun. Apparently it's a steel BB. Looks like it probably penetrated his skin. You can see a lump where it might be, but [REDACTED]. Blood pressure is 110 over 70. Heart rate in the 90s, 99% on room air. Pupil is equal reactive, no neural deficit. So probably not a huge deal, but we'll be there in about five minutes. All right, thanks. Bye.</t>
  </si>
  <si>
    <t>U8's Kaylee. This is Kaleigh 128. We're bringing you a 15-year-old male, single GSW to the left mid-abdomen side. Stable rate, I said I got one 1281, heart rate 80, 98%, throwing him on a couple liters. Lung stones are a little diminished on the left side. We'll be there in about five. Okay, but he's ANO times four? Correct. Okay, sounds good. Thanks. Thank you. Bye.</t>
  </si>
  <si>
    <t>15-year-old male, single GSW to the left mid-abdomen side. Stable rate, I said I got one 1281, heart rate 80, 98%, throwing him on a couple liters. Lung stones are a little diminished on the left side.ETA five. Okay, but he's ANO times four.</t>
  </si>
  <si>
    <t>GSW to the left mid-abdomen</t>
  </si>
  <si>
    <t>The transcript mentions a "single GSW to the left mid-abdomen side."</t>
  </si>
  <si>
    <t>['heart rate 80']</t>
  </si>
  <si>
    <t>['ANO times four']</t>
  </si>
  <si>
    <t>['single GSW to the left mid-abdomen side']</t>
  </si>
  <si>
    <t>U8's Kaylee. This is Kaleigh 128. We're bringing you a [REDACTED], single GSW to the left mid-abdomen side. Stable rate, I said I got one 1281, heart rate 80, 98%, throwing him on a couple liters. Lung stones are a little diminished on the left side. We'll be there in about five. Okay, but he's ANO times four? Correct. Okay, sounds good. Thanks. Thank you. Bye.</t>
  </si>
  <si>
    <t>U8's Kaylee. This is Kaleigh 128. We're bringing you a 15-year-old male, single GSW to the left mid-abdomen side. Stable rate, I said I got one 1281, [REDACTED], 98%, throwing him on a couple liters. Lung stones are a little diminished on the left side. We'll be there in about five. Okay, but he's ANO times four? Correct. Okay, sounds good. Thanks. Thank you. Bye.</t>
  </si>
  <si>
    <t>U8's Kaylee. This is Kaleigh 128. We're bringing you a 15-year-old male, single GSW to the left mid-abdomen side. Stable rate, I said I got one 1281, heart rate 80, 98%, throwing him on a couple liters. Lung stones are a little diminished on the left side. We'll be there in about five. Okay, but he's [REDACTED]? Correct. Okay, sounds good. Thanks. Thank you. Bye.</t>
  </si>
  <si>
    <t>U8's Kaylee. This is Kaleigh 128. We're bringing you a 15-year-old male, [REDACTED]. Stable rate, I said I got one 1281, heart rate 80, 98%, throwing him on a couple liters. Lung stones are a little diminished on the left side. We'll be there in about five. Okay, but he's ANO times four? Correct. Okay, sounds good. Thanks. Thank you. Bye.</t>
  </si>
  <si>
    <t>Good afternoon, University. Hi, this is Euclid Medic 43. We are en route with a 10-year-old female who was shot in the arm. It was wrapped up really well, so we didn't unwrap it. Bleeding was controlled. It looks to be on her right forearm, so we're unsure if there's an exit wound. Like I said, they had it wrapped up with gauze and wrapped, and it's not bleeding, so I didn't want to undo it. Okay. We're working on her vital signs. What's that? I'm sorry, so we're talking below the elbow? Yes. Or below the elbow? It's wrapped from her elbow almost down to her wrist, so I'm unaware of exactly where it is, but it's lower right arm. Okay. I got you. Heart rate 118, 100% oxygen, 112 over 61. We're going to try to do an IV, but she's pretty frantic and scared. I got you. I got you. Yeah. Okay. 112 over 61. All right. All right. I wish you good day there, my friend. 10, 12 minutes. All right. 12 minutes, maybe. You guys get here safe. I'll definitely let them know. Appreciate you. All right. Thanks. Bye.</t>
  </si>
  <si>
    <t>10-year-old female who was shot in the arm. It was wrapped up really well, so we didn't unwrap it. Bleeding was controlled. It looks to be on her right forearm, so we're unsure if there's an exit wound.  Okay. I got you. Heart rate 118, 100% oxygen, 112 over 61. ETA 12 minutes.</t>
  </si>
  <si>
    <t>Gunshot wound to the arm</t>
  </si>
  <si>
    <t>The transcript mentions a 10-year-old female who was shot in the arm.</t>
  </si>
  <si>
    <t>['Heart rate 118']</t>
  </si>
  <si>
    <t>['112 over 61', '112 over 61']</t>
  </si>
  <si>
    <t>["she's pretty frantic and scared"]</t>
  </si>
  <si>
    <t>['shot in the arm']</t>
  </si>
  <si>
    <t>Good afternoon, University. Hi, this is Euclid Medic 43. We are en route with a [REDACTED] who was shot in the arm. It was wrapped up really well, so we didn't unwrap it. Bleeding was controlled. It looks to be on her right forearm, so we're unsure if there's an exit wound. Like I said, they had it wrapped up with gauze and wrapped, and it's not bleeding, so I didn't want to undo it. Okay. We're working on her vital signs. What's that? I'm sorry, so we're talking below the elbow? Yes. Or below the elbow? It's wrapped from her elbow almost down to her wrist, so I'm unaware of exactly where it is, but it's lower right arm. Okay. I got you. Heart rate 118, 100% oxygen, 112 over 61. We're going to try to do an IV, but she's pretty frantic and scared. I got you. I got you. Yeah. Okay. 112 over 61. All right. All right. I wish you good day there, my friend. 10, 12 minutes. All right. 12 minutes, maybe. You guys get here safe. I'll definitely let them know. Appreciate you. All right. Thanks. Bye.</t>
  </si>
  <si>
    <t>Good afternoon, University. Hi, this is Euclid Medic 43. We are en route with a 10-year-old female who was shot in the arm. It was wrapped up really well, so we didn't unwrap it. Bleeding was controlled. It looks to be on her right forearm, so we're unsure if there's an exit wound. Like I said, they had it wrapped up with gauze and wrapped, and it's not bleeding, so I didn't want to undo it. Okay. We're working on her vital signs. What's that? I'm sorry, so we're talking below the elbow? Yes. Or below the elbow? It's wrapped from her elbow almost down to her wrist, so I'm unaware of exactly where it is, but it's lower right arm. Okay. I got you. [REDACTED], 100% oxygen, 112 over 61. We're going to try to do an IV, but she's pretty frantic and scared. I got you. I got you. Yeah. Okay. 112 over 61. All right. All right. I wish you good day there, my friend. 10, 12 minutes. All right. 12 minutes, maybe. You guys get here safe. I'll definitely let them know. Appreciate you. All right. Thanks. Bye.</t>
  </si>
  <si>
    <t>Good afternoon, University. Hi, this is Euclid Medic 43. We are en route with a 10-year-old female who was shot in the arm. It was wrapped up really well, so we didn't unwrap it. Bleeding was controlled. It looks to be on her right forearm, so we're unsure if there's an exit wound. Like I said, they had it wrapped up with gauze and wrapped, and it's not bleeding, so I didn't want to undo it. Okay. We're working on her vital signs. What's that? I'm sorry, so we're talking below the elbow? Yes. Or below the elbow? It's wrapped from her elbow almost down to her wrist, so I'm unaware of exactly where it is, but it's lower right arm. Okay. I got you. Heart rate 118, 100% oxygen, [REDACTED]. We're going to try to do an IV, but she's pretty frantic and scared. I got you. I got you. Yeah. Okay. [REDACTED]. All right. All right. I wish you good day there, my friend. 10, 12 minutes. All right. 12 minutes, maybe. You guys get here safe. I'll definitely let them know. Appreciate you. All right. Thanks. Bye.</t>
  </si>
  <si>
    <t>Good afternoon, University. Hi, this is Euclid Medic 43. We are en route with a 10-year-old female who was shot in the arm. It was wrapped up really well, so we didn't unwrap it. Bleeding was controlled. It looks to be on her right forearm, so we're unsure if there's an exit wound. Like I said, they had it wrapped up with gauze and wrapped, and it's not bleeding, so I didn't want to undo it. Okay. We're working on her vital signs. What's that? I'm sorry, so we're talking below the elbow? Yes. Or below the elbow? It's wrapped from her elbow almost down to her wrist, so I'm unaware of exactly where it is, but it's lower right arm. Okay. I got you. Heart rate 118, 100% oxygen, 112 over 61. We're going to try to do an IV, but [REDACTED]. I got you. I got you. Yeah. Okay. 112 over 61. All right. All right. I wish you good day there, my friend. 10, 12 minutes. All right. 12 minutes, maybe. You guys get here safe. I'll definitely let them know. Appreciate you. All right. Thanks. Bye.</t>
  </si>
  <si>
    <t>Good afternoon, University. Hi, this is Euclid Medic 43. We are en route with a 10-year-old female who was [REDACTED]. It was wrapped up really well, so we didn't unwrap it. Bleeding was controlled. It looks to be on her right forearm, so we're unsure if there's an exit wound. Like I said, they had it wrapped up with gauze and wrapped, and it's not bleeding, so I didn't want to undo it. Okay. We're working on her vital signs. What's that? I'm sorry, so we're talking below the elbow? Yes. Or below the elbow? It's wrapped from her elbow almost down to her wrist, so I'm unaware of exactly where it is, but it's lower right arm. Okay. I got you. Heart rate 118, 100% oxygen, 112 over 61. We're going to try to do an IV, but she's pretty frantic and scared. I got you. I got you. Yeah. Okay. 112 over 61. All right. All right. I wish you good day there, my friend. 10, 12 minutes. All right. 12 minutes, maybe. You guys get here safe. I'll definitely let them know. Appreciate you. All right. Thanks. Bye.</t>
  </si>
  <si>
    <t>UH. Hey, it's Medic 10. What do you got? We got a 17-year-old male with an injury to his left upper leg. Not sure how – or excuse me, right leg. Not sure how it was caused. He's got lack of MSPs in his foot, but he's got a good – or excuse me, lack of pulse, but good sensation, motor in his foot. Doesn't look like maybe a fracture. It does or doesn't? It does not. It's all in place. He's also shot with multiple beanbag rounds and flashbangs, so he's denying really any pain from that other than the initial pain. Oh, so was this a police thing? It was. All right, so he shot up with a beanbag. Okay. And flashbangs. Yeah. All right, let's see how they decide that. Right upper leg, injury, no deformity. Some – you said MSP was intact? Yeah, just no pulse. No pulse in his foot. Oh, no pulse in the foot. Okay, but he has sensation. Yeah. Okay. Nothing else? Injury or – No. Okay. No. How far out? About five. See you then. Thank you. All right, thank you. Bye-bye. Hopefully. Yeah, hopefully.</t>
  </si>
  <si>
    <t>17-year-old male with an injury to his left upper leg. , lack of pulse, but good sensation, motor in his foot. ETA 5 minutes.</t>
  </si>
  <si>
    <t>Shot with multiple beanbag rounds and flashbangs</t>
  </si>
  <si>
    <t>The transcript mentions the patient was shot with multiple beanbag rounds and flashbangs, indicating a police-related incident.</t>
  </si>
  <si>
    <t>UH. Hey, it's Medic 10. What do you got? We got a [REDACTED] with an injury to his left upper leg. Not sure how – or excuse me, right leg. Not sure how it was caused. He's got lack of MSPs in his foot, but he's got a good – or excuse me, lack of pulse, but good sensation, motor in his foot. Doesn't look like maybe a fracture. It does or doesn't? It does not. It's all in place. He's also shot with multiple beanbag rounds and flashbangs, so he's denying really any pain from that other than the initial pain. Oh, so was this a police thing? It was. All right, so he shot up with a beanbag. Okay. And flashbangs. Yeah. All right, let's see how they decide that. Right upper leg, injury, no deformity. Some – you said MSP was intact? Yeah, just no pulse. No pulse in his foot. Oh, no pulse in the foot. Okay, but he has sensation. Yeah. Okay. Nothing else? Injury or – No. Okay. No. How far out? About five. See you then. Thank you. All right, thank you. Bye-bye. Hopefully. Yeah, hopefully.</t>
  </si>
  <si>
    <t>Hey, UH, it's Kaleigh 130. I got a PEDS trauma for you. Okay. Fifteen, one size female, pedestrian struck, hit by a car. Car was going about 40 miles an hour when he struck her. So plenty of just generalized body pain. She is fully immobilized with a backboard and collar. 218 over 73, 120 on the heart rate, 20 on the rest birth, 98% on Ramir. We'll be there in about five minutes. Okay. All right. Thank you. All right. Thanks. Bye. Bye.</t>
  </si>
  <si>
    <t>Fifteen female, pedestrian struck, hit by a car. Car was going about 40 miles an hour when he struck her. So plenty of just generalized body pain. She is fully immobilized with a backboard and collar. 218 over 73, 120 on the heart rate, 20 on the rest birth, 98% on Ramir. We'll be there in about five minutes.</t>
  </si>
  <si>
    <t>Pedestrian struck by a car</t>
  </si>
  <si>
    <t>The transcript mentions a female pedestrian being hit by a car traveling at 40 miles per hour.</t>
  </si>
  <si>
    <t>['Fifteen']</t>
  </si>
  <si>
    <t>['120 on the heart rate']</t>
  </si>
  <si>
    <t>['218 over 73']</t>
  </si>
  <si>
    <t>['20 on the rest birth']</t>
  </si>
  <si>
    <t>['pedestrian struck, hit by a car', 'Car was going about 40 miles an hour when he struck her']</t>
  </si>
  <si>
    <t>Hey, UH, it's Kaleigh 130. I got a PEDS trauma for you. Okay. [REDACTED], one size female, pedestrian struck, hit by a car. Car was going about 40 miles an hour when he struck her. So plenty of just generalized body pain. She is fully immobilized with a backboard and collar. 218 over 73, 120 on the heart rate, 20 on the rest birth, 98% on Ramir. We'll be there in about five minutes. Okay. All right. Thank you. All right. Thanks. Bye. Bye.</t>
  </si>
  <si>
    <t>Hey, UH, it's Kaleigh 130. I got a PEDS trauma for you. Okay. Fifteen, one size female, pedestrian struck, hit by a car. Car was going about 40 miles an hour when he struck her. So plenty of just generalized body pain. She is fully immobilized with a backboard and collar. 218 over 73, [REDACTED], 20 on the rest birth, 98% on Ramir. We'll be there in about five minutes. Okay. All right. Thank you. All right. Thanks. Bye. Bye.</t>
  </si>
  <si>
    <t>Hey, UH, it's Kaleigh 130. I got a PEDS trauma for you. Okay. Fifteen, one size female, pedestrian struck, hit by a car. Car was going about 40 miles an hour when he struck her. So plenty of just generalized body pain. She is fully immobilized with a backboard and collar. [REDACTED], 120 on the heart rate, 20 on the rest birth, 98% on Ramir. We'll be there in about five minutes. Okay. All right. Thank you. All right. Thanks. Bye. Bye.</t>
  </si>
  <si>
    <t>Hey, UH, it's Kaleigh 130. I got a PEDS trauma for you. Okay. Fifteen, one size female, pedestrian struck, hit by a car. Car was going about 40 miles an hour when he struck her. So plenty of just generalized body pain. She is fully immobilized with a backboard and collar. 218 over 73, 120 on the heart rate, [REDACTED], 98% on Ramir. We'll be there in about five minutes. Okay. All right. Thank you. All right. Thanks. Bye. Bye.</t>
  </si>
  <si>
    <t>Hey, UH, it's Kaleigh 130. I got a PEDS trauma for you. Okay. Fifteen, one size female, [REDACTED]. [REDACTED]. So plenty of just generalized body pain. She is fully immobilized with a backboard and collar. 218 over 73, 120 on the heart rate, 20 on the rest birth, 98% on Ramir. We'll be there in about five minutes. Okay. All right. Thank you. All right. Thanks. Bye. Bye.</t>
  </si>
  <si>
    <t>Good evening, University. Sergio speaking. Oh, good evening. This is Medic 30. 17 male, GSW to lower left leg. Only one wound, so looks like the bullet is just protruding inside the skin, but not poking out just yet. Like 90s heart rate, just normal sinus. 130 over 80, 99%. We got an 18 in the left, then we gave partners given some fentanyl as well. I'm just calling for her, but she's given some fentanyl for him on board. How much? How much you giving? 50. 50, okay. Probably 4-ish. I'd assume he's probably adult trauma, 17. Is it below the knee? Yeah, like right at the shin. Basically. Yeah, wow. But we'll be there in about probably about 4-ish. Alright, get his safe. I'll see you then. Alrighty, thank you.</t>
  </si>
  <si>
    <t>17 male, GSW to lower left leg. Only one wound, so looks like the bullet is just protruding inside the skin, but not poking out just yet. Like 90s heart rate, just normal sinus. 130 over 80, 99%. ETA probably about 4-ish.</t>
  </si>
  <si>
    <t>GSW to lower left leg</t>
  </si>
  <si>
    <t>The transcript clearly states "GSW to lower left leg" as the injury.</t>
  </si>
  <si>
    <t>['17 male', '17']</t>
  </si>
  <si>
    <t>['Like 90s heart rate']</t>
  </si>
  <si>
    <t>['130 over 80']</t>
  </si>
  <si>
    <t>['GSW to lower left leg', 'bullet is just protruding inside the skin']</t>
  </si>
  <si>
    <t>Good evening, University. Sergio speaking. Oh, good evening. This is Medic 30. [REDACTED], GSW to lower left leg. Only one wound, so looks like the bullet is just protruding inside the skin, but not poking out just yet. Like 90s heart rate, just normal sinus. 130 over 80, 99%. We got an 18 in the left, then we gave partners given some fentanyl as well. I'm just calling for her, but she's given some fentanyl for him on board. How much? How much you giving? 50. 50, okay. Probably 4-ish. I'd assume he's probably adult trauma, [REDACTED]. Is it below the knee? Yeah, like right at the shin. Basically. Yeah, wow. But we'll be there in about probably about 4-ish. Alright, get his safe. I'll see you then. Alrighty, thank you.</t>
  </si>
  <si>
    <t>Good evening, University. Sergio speaking. Oh, good evening. This is Medic 30. 17 male, GSW to lower left leg. Only one wound, so looks like the bullet is just protruding inside the skin, but not poking out just yet. [REDACTED], just normal sinus. 130 over 80, 99%. We got an 18 in the left, then we gave partners given some fentanyl as well. I'm just calling for her, but she's given some fentanyl for him on board. How much? How much you giving? 50. 50, okay. Probably 4-ish. I'd assume he's probably adult trauma, 17. Is it below the knee? Yeah, like right at the shin. Basically. Yeah, wow. But we'll be there in about probably about 4-ish. Alright, get his safe. I'll see you then. Alrighty, thank you.</t>
  </si>
  <si>
    <t>Good evening, University. Sergio speaking. Oh, good evening. This is Medic 30. 17 male, GSW to lower left leg. Only one wound, so looks like the bullet is just protruding inside the skin, but not poking out just yet. Like 90s heart rate, just normal sinus. [REDACTED], 99%. We got an 18 in the left, then we gave partners given some fentanyl as well. I'm just calling for her, but she's given some fentanyl for him on board. How much? How much you giving? 50. 50, okay. Probably 4-ish. I'd assume he's probably adult trauma, 17. Is it below the knee? Yeah, like right at the shin. Basically. Yeah, wow. But we'll be there in about probably about 4-ish. Alright, get his safe. I'll see you then. Alrighty, thank you.</t>
  </si>
  <si>
    <t>Good evening, University. Sergio speaking. Oh, good evening. This is Medic 30. 17 male, [REDACTED]. Only one wound, so looks like the [REDACTED], but not poking out just yet. Like 90s heart rate, just normal sinus. 130 over 80, 99%. We got an 18 in the left, then we gave partners given some fentanyl as well. I'm just calling for her, but she's given some fentanyl for him on board. How much? How much you giving? 50. 50, okay. Probably 4-ish. I'd assume he's probably adult trauma, 17. Is it below the knee? Yeah, like right at the shin. Basically. Yeah, wow. But we'll be there in about probably about 4-ish. Alright, get his safe. I'll see you then. Alrighty, thank you.</t>
  </si>
  <si>
    <t>U.H.? This is Cleveland Medic 20. I got a 14-male gunshot wound to the upper left thigh, bleeding controlled. He is 140 over 80, 95, 100 on room air. BGL is 146, and we'll be there in about five minutes. All right. No tourniquet, right? Nope. All right. See you in a few. Bye. Yep.</t>
  </si>
  <si>
    <t>L2, 14 y/o, Vitals(140/80, 95, 100), GCS: , MOI (gunshot wound to upper left thigh), ETA: 5 minutes</t>
  </si>
  <si>
    <t>I got a 14-male gunshot wound to the upper left thigh, bleeding controlled. He is 140 over 80, 95, 100 on room air. BGL is 146, and we'll be there in about five minutes. All right. No tourniquet, right? Nope.</t>
  </si>
  <si>
    <t>GSW to upper left thigh</t>
  </si>
  <si>
    <t>The transcript mentions a gunshot wound to the upper left thigh.</t>
  </si>
  <si>
    <t>['14-male']</t>
  </si>
  <si>
    <t>['95']</t>
  </si>
  <si>
    <t>['gunshot wound to the upper left thigh']</t>
  </si>
  <si>
    <t>U.H.? This is Cleveland Medic 20. I got a [REDACTED] gunshot wound to the upper left thigh, bleeding controlled. He is 140 over 80, 95, 100 on room air. BGL is 146, and we'll be there in about five minutes. All right. No tourniquet, right? Nope. All right. See you in a few. Bye. Yep.</t>
  </si>
  <si>
    <t>U.H.? This is Cleveland Medic 20. I got a 14-male gunshot wound to the upper left thigh, bleeding controlled. He is 140 over 80, [REDACTED], 100 on room air. BGL is 146, and we'll be there in about five minutes. All right. No tourniquet, right? Nope. All right. See you in a few. Bye. Yep.</t>
  </si>
  <si>
    <t>U.H.? This is Cleveland Medic 20. I got a 14-male gunshot wound to the upper left thigh, bleeding controlled. He is [REDACTED], 95, 100 on room air. BGL is 146, and we'll be there in about five minutes. All right. No tourniquet, right? Nope. All right. See you in a few. Bye. Yep.</t>
  </si>
  <si>
    <t>U.H.? This is Cleveland Medic 20. I got a 14-male [REDACTED], bleeding controlled. He is 140 over 80, 95, 100 on room air. BGL is 146, and we'll be there in about five minutes. All right. No tourniquet, right? Nope. All right. See you in a few. Bye. Yep.</t>
  </si>
  <si>
    <t>UH Danny. Hi, this is Cleveland 26. We're in a row with a 13 year old male passenger in MVA. Was not wearing a seatbelt. Vehicle was going about 35 miles an hour. Chief complaint right now is a pain to his right knee. He also has an abrasion on his forehead. May have hit the windshield. Is a no for only complains of fatigue. Current vitals heart rate 96 BP 136 over 79. 100% room air and we will be there in about seven minutes. Was this related to Medic Six's call? Yes, this was passenger that vehicle. You said around 35 or higher. He was telling me about 35. He was guessing. OK, was the driver was that a family member to him or no? Driver, you said was your brother. Yeah, it's his brother. Brother. All right. How far are you out? We'll say about seven minutes. OK, we'll see you soon. Thanks.</t>
  </si>
  <si>
    <t>13 year old male passenger in MVA. Was not wearing a seatbelt. Vehicle was going about 35 miles an hour. Chief complaint right now is a pain to his right knee. He also has an abrasion on his forehead. May have hit the windshield. Is a no for only complains of fatigue. Current vitals heart rate 96 BP 136 over 79. 100% room air and we will be there in about seven minutes.</t>
  </si>
  <si>
    <t>MVA (Motor Vehicle Accident)</t>
  </si>
  <si>
    <t>The transcript describes a 13-year-old male passenger involved in a motor vehicle accident (MVA) without a seatbelt.</t>
  </si>
  <si>
    <t>UATD. Hey, UAH, it's 41. Mm-hmm. Hey, we got a 14-year-old female, GSW to the left, lower leg. Let's look at through and through. There's two holes. MSPs are intact. No significant blood loss. Sputals are stable, heart rate 70 and regular. Pressure's 116 over 64, 100% room air. PCA's about eight minutes. You said, what was your BP again? 116 over 64. Lower leg, right? Correct. All right, thanks. Okay. Well, thank you. Thank you. Thank you. Thanks so much. Thank you. Thank you. Thank you. Thank you. Thank you, too. Thanks, everybody. Thank you. So, that's the end of our session. I hope you have a good one. Thank you. Thank you. All right, thanks.</t>
  </si>
  <si>
    <t>14-year-old female, GSW to the left, lower leg.  No significant blood loss. Sputals are stable, heart rate 70 and regular. Pressure's 116 over 64, 100% room air. PCA's about eight minutes.</t>
  </si>
  <si>
    <t>GSW to the left, lower leg</t>
  </si>
  <si>
    <t>The transcript mentions a gunshot wound (GSW) to the left lower leg of a 14-year-old female.</t>
  </si>
  <si>
    <t>['heart rate 70 and regular']</t>
  </si>
  <si>
    <t>['GSW to the left, lower leg']</t>
  </si>
  <si>
    <t>UATD. Hey, UAH, it's 41. Mm-hmm. Hey, we got a [REDACTED], GSW to the left, lower leg. Let's look at through and through. There's two holes. MSPs are intact. No significant blood loss. Sputals are stable, heart rate 70 and regular. Pressure's 116 over 64, 100% room air. PCA's about eight minutes. You said, what was your BP again? 116 over 64. Lower leg, right? Correct. All right, thanks. Okay. Well, thank you. Thank you. Thank you. Thanks so much. Thank you. Thank you. Thank you. Thank you. Thank you, too. Thanks, everybody. Thank you. So, that's the end of our session. I hope you have a good one. Thank you. Thank you. All right, thanks.</t>
  </si>
  <si>
    <t>UATD. Hey, UAH, it's 41. Mm-hmm. Hey, we got a 14-year-old female, GSW to the left, lower leg. Let's look at through and through. There's two holes. MSPs are intact. No significant blood loss. Sputals are stable, [REDACTED]. Pressure's 116 over 64, 100% room air. PCA's about eight minutes. You said, what was your BP again? 116 over 64. Lower leg, right? Correct. All right, thanks. Okay. Well, thank you. Thank you. Thank you. Thanks so much. Thank you. Thank you. Thank you. Thank you. Thank you, too. Thanks, everybody. Thank you. So, that's the end of our session. I hope you have a good one. Thank you. Thank you. All right, thanks.</t>
  </si>
  <si>
    <t>UATD. Hey, UAH, it's 41. Mm-hmm. Hey, we got a 14-year-old female, [REDACTED]. Let's look at through and through. There's two holes. MSPs are intact. No significant blood loss. Sputals are stable, heart rate 70 and regular. Pressure's 116 over 64, 100% room air. PCA's about eight minutes. You said, what was your BP again? 116 over 64. Lower leg, right? Correct. All right, thanks. Okay. Well, thank you. Thank you. Thank you. Thanks so much. Thank you. Thank you. Thank you. Thank you. Thank you, too. Thanks, everybody. Thank you. So, that's the end of our session. I hope you have a good one. Thank you. Thank you. All right, thanks.</t>
  </si>
  <si>
    <t>Hello? UH, Dani. Hey, Dani. This is a medical 40. I have a 17-year-old male, GSW to the left forearm. Why does it all stay where we do the IV access? See there in about five to six. You said just at a left forearm? Yes, ma'am. And he's stable? Yep, stable at this moment. All right. See you soon. Bye. Bye.</t>
  </si>
  <si>
    <t>I have a 17-year-old male, GSW to the left forearm.And he's stable? Yep, stable at this moment.</t>
  </si>
  <si>
    <t>GSW to the left forearm</t>
  </si>
  <si>
    <t>The transcript explicitly mentions a "GSW to the left forearm."</t>
  </si>
  <si>
    <t>Hello? UH, Dani. Hey, Dani. This is a medical 40. I have a [REDACTED], GSW to the left forearm. Why does it all stay where we do the IV access? See there in about five to six. You said just at a left forearm? Yes, ma'am. And he's stable? Yep, stable at this moment. All right. See you soon. Bye. Bye.</t>
  </si>
  <si>
    <t>UATD. Copy, please. Hey, this is UH, right? UATD. Hey, this is Cleveland EMS. I got a relay for you from Cleveland Medical 11. We got a three-month-old male that was struck by a vehicle. They want to get your report. Three months? Yeah. Okay. All right, hold on. Medical 11, they can hear you. Go ahead. 11 Rainbows coming in with a three-month-old male, pedestrian struck. Father was carrying him in car seat. They were hit by a car. Patient was not flung from the car seat. He was initially anot... Alert to painful stimuli. He's now being started to decompensate. We are bagging, starting compressions. Heart rate has dropped from around 140 down into the 40s. No visible injuries that we can see. No broken bones or any kind of injuries that we can tell. At this time, we're in the middle of a car crash. We're in the middle of a car crash. At this time, no medical history, does not take any medications. Be at your facility in about five or six minutes. All right, thanks.</t>
  </si>
  <si>
    <t>three-month-old male that was struck by a vehicle.. He was initiall Alert to painful stimuli. He's now being started to decompensate. We are bagging, starting compressions. Heart rate has dropped from around 140 down into the 40s.ETA  five or six minutes.</t>
  </si>
  <si>
    <t>The transcript describes a three-month-old male who was struck by a vehicle while being carried in a car seat.</t>
  </si>
  <si>
    <t>['three-month-old male', 'three months']</t>
  </si>
  <si>
    <t>['Heart rate has dropped from around 140 down into the 40s']</t>
  </si>
  <si>
    <t>['Alert to painful stimuli']</t>
  </si>
  <si>
    <t>['struck by a vehicle', 'pedestrian struck', 'Father was carrying him in car seat. They were hit by a car']</t>
  </si>
  <si>
    <t>UATD. Copy, please. Hey, this is UH, right? UATD. Hey, this is Cleveland EMS. I got a relay for you from Cleveland Medical 11. We got a three-month-old male that was struck by a vehicle. They want to get your report. Three months? Yeah. Okay. All right, hold on. Medical 11, they can hear you. Go ahead. 11 Rainbows coming in with a three-month-old male, pedestrian struck. Father was carrying him in car seat. They were hit by a car. Patient was not flung from the car seat. He was initially anot... Alert to painful stimuli. He's now being started to decompensate. We are bagging, starting compressions. [REDACTED]. No visible injuries that we can see. No broken bones or any kind of injuries that we can tell. At this time, we're in the middle of a car crash. We're in the middle of a car crash. At this time, no medical history, does not take any medications. Be at your facility in about five or six minutes. All right, thanks.</t>
  </si>
  <si>
    <t>UATD. Copy, please. Hey, this is UH, right? UATD. Hey, this is Cleveland EMS. I got a relay for you from Cleveland Medical 11. We got a three-month-old male that was struck by a vehicle. They want to get your report. Three months? Yeah. Okay. All right, hold on. Medical 11, they can hear you. Go ahead. 11 Rainbows coming in with a three-month-old male, pedestrian struck. Father was carrying him in car seat. They were hit by a car. Patient was not flung from the car seat. He was initially anot... [REDACTED]. He's now being started to decompensate. We are bagging, starting compressions. Heart rate has dropped from around 140 down into the 40s. No visible injuries that we can see. No broken bones or any kind of injuries that we can tell. At this time, we're in the middle of a car crash. We're in the middle of a car crash. At this time, no medical history, does not take any medications. Be at your facility in about five or six minutes. All right, thanks.</t>
  </si>
  <si>
    <t>UATD. Copy, please. Hey, this is UH, right? UATD. Hey, this is Cleveland EMS. I got a relay for you from Cleveland Medical 11. We got a three-month-old male that was [REDACTED]. They want to get your report. Three months? Yeah. Okay. All right, hold on. Medical 11, they can hear you. Go ahead. 11 Rainbows coming in with a three-month-old male, [REDACTED]. [REDACTED]. Patient was not flung from the car seat. He was initially anot... Alert to painful stimuli. He's now being started to decompensate. We are bagging, starting compressions. Heart rate has dropped from around 140 down into the 40s. No visible injuries that we can see. No broken bones or any kind of injuries that we can tell. At this time, we're in the middle of a car crash. We're in the middle of a car crash. At this time, no medical history, does not take any medications. Be at your facility in about five or six minutes. All right, thanks.</t>
  </si>
  <si>
    <t>Hi UH, this is Garfield Squad 3. Is this the pediatric ER? I'll call them. Okay, we're going to bring in a 15-year-old female. She got off the bus, was crossing the street, and says she was struck by a car. Witnesses say the car was probably going about 30 miles an hour-ish. Says that she was hit by the front of the car, kind of just was thrown from it, doesn't really remember if she went over the hood or anything like that. She was ambulatory on arrival. She has no complaints of any neck or back pain or anything like that. She's got her face. She's got some abrasions and some bleeding to her nose and forehead, and she also has some abrasions and a little bit of skin tear on her left hand. And she's got an abrasion on her right hip area and says it just feels like burning. All bones are intact, pelvis intact. Like I said, no pain upon ambulating or palpation to the neck or spine or back. She's in position of comfort on her cot. She's talking with mom over the phone. She can talk to you, give any kind of consent you need. 92 on the pulse, regular. She's 96% Ramir. Blood pressure is 136 over 84. And her respiration is normal at about 22. We have a 12-week sense you guys, so in a sinus rhythm. And I'm going to work on an IV if you guys would like. I want to hang up the phone with you. Yeah, good. Working on an IV. What's your ETA? ETA is approximately, oh, I would say 8 to 10. Okay. I'll call back. I'll call Pete and let him know. Thank you. Thanks, babe. Bye-bye. .</t>
  </si>
  <si>
    <t>15-year-old female. She got off the bus, was crossing the street, and says she was struck by a car. All bones are intact, pelvis intact. 92 on the pulse, regular. She's 96% Ramir. Blood pressure is 136 over 84. And her respiration is normal at about 22. ETA is approximately, 8 to 10.</t>
  </si>
  <si>
    <t>Struck by a car</t>
  </si>
  <si>
    <t>The transcript states that the patient was crossing the street and was struck by a car.</t>
  </si>
  <si>
    <t>['Blood pressure is 136 over 84']</t>
  </si>
  <si>
    <t>['respiration is normal at about 22']</t>
  </si>
  <si>
    <t>Hi UH, this is Garfield Squad 3. Is this the pediatric ER? I'll call them. Okay, we're going to bring in a [REDACTED]. She got off the bus, was crossing the street, and says she was struck by a car. Witnesses say the car was probably going about 30 miles an hour-ish. Says that she was hit by the front of the car, kind of just was thrown from it, doesn't really remember if she went over the hood or anything like that. She was ambulatory on arrival. She has no complaints of any neck or back pain or anything like that. She's got her face. She's got some abrasions and some bleeding to her nose and forehead, and she also has some abrasions and a little bit of skin tear on her left hand. And she's got an abrasion on her right hip area and says it just feels like burning. All bones are intact, pelvis intact. Like I said, no pain upon ambulating or palpation to the neck or spine or back. She's in position of comfort on her cot. She's talking with mom over the phone. She can talk to you, give any kind of consent you need. 92 on the pulse, regular. She's 96% Ramir. Blood pressure is 136 over 84. And her respiration is normal at about 22. We have a 12-week sense you guys, so in a sinus rhythm. And I'm going to work on an IV if you guys would like. I want to hang up the phone with you. Yeah, good. Working on an IV. What's your ETA? ETA is approximately, oh, I would say 8 to 10. Okay. I'll call back. I'll call Pete and let him know. Thank you. Thanks, babe. Bye-bye. .</t>
  </si>
  <si>
    <t>Hi UH, this is Garfield Squad 3. Is this the pediatric ER? I'll call them. Okay, we're going to bring in a 15-year-old female. She got off the bus, was crossing the street, and says she was struck by a car. Witnesses say the car was probably going about 30 miles an hour-ish. Says that she was hit by the front of the car, kind of just was thrown from it, doesn't really remember if she went over the hood or anything like that. She was ambulatory on arrival. She has no complaints of any neck or back pain or anything like that. She's got her face. She's got some abrasions and some bleeding to her nose and forehead, and she also has some abrasions and a little bit of skin tear on her left hand. And she's got an abrasion on her right hip area and says it just feels like burning. All bones are intact, pelvis intact. Like I said, no pain upon ambulating or palpation to the neck or spine or back. She's in position of comfort on her cot. She's talking with mom over the phone. She can talk to you, give any kind of consent you need. [REDACTED], regular. She's 96% Ramir. Blood pressure is 136 over 84. And her respiration is normal at about 22. We have a 12-week sense you guys, so in a sinus rhythm. And I'm going to work on an IV if you guys would like. I want to hang up the phone with you. Yeah, good. Working on an IV. What's your ETA? ETA is approximately, oh, I would say 8 to 10. Okay. I'll call back. I'll call Pete and let him know. Thank you. Thanks, babe. Bye-bye. .</t>
  </si>
  <si>
    <t>Hi UH, this is Garfield Squad 3. Is this the pediatric ER? I'll call them. Okay, we're going to bring in a 15-year-old female. She got off the bus, was crossing the street, and says she was struck by a car. Witnesses say the car was probably going about 30 miles an hour-ish. Says that she was hit by the front of the car, kind of just was thrown from it, doesn't really remember if she went over the hood or anything like that. She was ambulatory on arrival. She has no complaints of any neck or back pain or anything like that. She's got her face. She's got some abrasions and some bleeding to her nose and forehead, and she also has some abrasions and a little bit of skin tear on her left hand. And she's got an abrasion on her right hip area and says it just feels like burning. All bones are intact, pelvis intact. Like I said, no pain upon ambulating or palpation to the neck or spine or back. She's in position of comfort on her cot. She's talking with mom over the phone. She can talk to you, give any kind of consent you need. 92 on the pulse, regular. She's 96% Ramir. [REDACTED]. And her respiration is normal at about 22. We have a 12-week sense you guys, so in a sinus rhythm. And I'm going to work on an IV if you guys would like. I want to hang up the phone with you. Yeah, good. Working on an IV. What's your ETA? ETA is approximately, oh, I would say 8 to 10. Okay. I'll call back. I'll call Pete and let him know. Thank you. Thanks, babe. Bye-bye. .</t>
  </si>
  <si>
    <t>Hi UH, this is Garfield Squad 3. Is this the pediatric ER? I'll call them. Okay, we're going to bring in a 15-year-old female. She got off the bus, was crossing the street, and says she was struck by a car. Witnesses say the car was probably going about 30 miles an hour-ish. Says that she was hit by the front of the car, kind of just was thrown from it, doesn't really remember if she went over the hood or anything like that. She was ambulatory on arrival. She has no complaints of any neck or back pain or anything like that. She's got her face. She's got some abrasions and some bleeding to her nose and forehead, and she also has some abrasions and a little bit of skin tear on her left hand. And she's got an abrasion on her right hip area and says it just feels like burning. All bones are intact, pelvis intact. Like I said, no pain upon ambulating or palpation to the neck or spine or back. She's in position of comfort on her cot. She's talking with mom over the phone. She can talk to you, give any kind of consent you need. 92 on the pulse, regular. She's 96% Ramir. Blood pressure is 136 over 84. And her [REDACTED]. We have a 12-week sense you guys, so in a sinus rhythm. And I'm going to work on an IV if you guys would like. I want to hang up the phone with you. Yeah, good. Working on an IV. What's your ETA? ETA is approximately, oh, I would say 8 to 10. Okay. I'll call back. I'll call Pete and let him know. Thank you. Thanks, babe. Bye-bye. .</t>
  </si>
  <si>
    <t>UH is back. Hello, it's UH. How you doing, Rainbows? This is MapleSquad1. What's going on? We have a two-year-old male. He was kind of playing on his brother's bed. He kind of rolled back and hit himself on one of the shelves on the back of the head. He's got like a one-inch laceration at the back left part of his head. And it was bleeding heavily, the mom said, before we got there. When we got there, it's not bleeding at all right now. I had stopped. He's alert. Heart rate is 130. SGO-2 is 100% room air. He doesn't seem like he's in pain right now. And his mom's with him. He was premature as a baby. He had a heart condition. And we'll be you guys in probably... Maybe 15 minutes. Okay. Sorry. Was there a loss of consciousness with the injury? No LSC, no. Perfect. Sounds good. We'll see you shortly. All right. See you then. Bye-bye. Bye. Bye. Bye.</t>
  </si>
  <si>
    <t>L2, 2 y/o, Vitals(BP: N/A, HR: 130, RR: N/A), GCS: Alert, MOI (fell and hit head on shelf), ETA: 15 minutes</t>
  </si>
  <si>
    <t>two-year-old male. He was kind of playing on his brother's bed. He kind of rolled back and hit himself on one of the shelves on the back of the head. He's got like a one-inch laceration at the back left part of his head. And it was bleeding heavily, it's not bleeding at all right now.. Heart rate is 130. SGO-2 is 100% room air. Maybe 15 minutes. Okay. Sorry. Was there a loss of consciousness with the injury? No LSC, no</t>
  </si>
  <si>
    <t>Rolled back and hit head on a shelf</t>
  </si>
  <si>
    <t>The transcript describes the child rolling back and hitting his head on a shelf, causing a laceration.</t>
  </si>
  <si>
    <t>['two-year-old male']</t>
  </si>
  <si>
    <t>['Heart rate is 130']</t>
  </si>
  <si>
    <t>["He's alert"]</t>
  </si>
  <si>
    <t>UH is back. Hello, it's UH. How you doing, Rainbows? This is MapleSquad1. What's going on? We have a [REDACTED]. He was kind of playing on his brother's bed. He kind of rolled back and hit himself on one of the shelves on the back of the head. He's got like a one-inch laceration at the back left part of his head. And it was bleeding heavily, the mom said, before we got there. When we got there, it's not bleeding at all right now. I had stopped. He's alert. Heart rate is 130. SGO-2 is 100% room air. He doesn't seem like he's in pain right now. And his mom's with him. He was premature as a baby. He had a heart condition. And we'll be you guys in probably... Maybe 15 minutes. Okay. Sorry. Was there a loss of consciousness with the injury? No LSC, no. Perfect. Sounds good. We'll see you shortly. All right. See you then. Bye-bye. Bye. Bye. Bye.</t>
  </si>
  <si>
    <t>UH is back. Hello, it's UH. How you doing, Rainbows? This is MapleSquad1. What's going on? We have a two-year-old male. He was kind of playing on his brother's bed. He kind of rolled back and hit himself on one of the shelves on the back of the head. He's got like a one-inch laceration at the back left part of his head. And it was bleeding heavily, the mom said, before we got there. When we got there, it's not bleeding at all right now. I had stopped. He's alert. [REDACTED]. SGO-2 is 100% room air. He doesn't seem like he's in pain right now. And his mom's with him. He was premature as a baby. He had a heart condition. And we'll be you guys in probably... Maybe 15 minutes. Okay. Sorry. Was there a loss of consciousness with the injury? No LSC, no. Perfect. Sounds good. We'll see you shortly. All right. See you then. Bye-bye. Bye. Bye. Bye.</t>
  </si>
  <si>
    <t>UH is back. Hello, it's UH. How you doing, Rainbows? This is MapleSquad1. What's going on? We have a two-year-old male. He was kind of playing on his brother's bed. He kind of rolled back and hit himself on one of the shelves on the back of the head. He's got like a one-inch laceration at the back left part of his head. And it was bleeding heavily, the mom said, before we got there. When we got there, it's not bleeding at all right now. I had stopped. [REDACTED]. Heart rate is 130. SGO-2 is 100% room air. He doesn't seem like he's in pain right now. And his mom's with him. He was premature as a baby. He had a heart condition. And we'll be you guys in probably... Maybe 15 minutes. Okay. Sorry. Was there a loss of consciousness with the injury? No LSC, no. Perfect. Sounds good. We'll see you shortly. All right. See you then. Bye-bye. Bye. Bye. Bye.</t>
  </si>
  <si>
    <t>Welcome to you guys with a 10 year old female muscle GSW to her left leg. Only one is above the knee, but there's a couple below the knee. We use control. How many like you think like four? Yeah, four total. Okay, go ahead. Heart rate is 117. Blood pressure is 143 over 87. Rest is about 20, 100%. I'm in sunlight right now. She's awake. No tourniquet. We just control with just blood pressure. Five. Yep. All right. Thank you.</t>
  </si>
  <si>
    <t>10 year old female muscle GSW to her left leg. four total.  Heart rate is 117. Blood pressure is 143 over 87. Rest is about 20, 100%. She's awake. No tourniquet.</t>
  </si>
  <si>
    <t>GSW to left leg</t>
  </si>
  <si>
    <t>The transcript mentions a gunshot wound (GSW) to the left leg of a 10-year-old female.</t>
  </si>
  <si>
    <t>['10 year old female']</t>
  </si>
  <si>
    <t>['Heart rate is 117']</t>
  </si>
  <si>
    <t>['Blood pressure is 143 over 87']</t>
  </si>
  <si>
    <t>['Rest is about 20']</t>
  </si>
  <si>
    <t>["She's awake"]</t>
  </si>
  <si>
    <t>Welcome to you guys with a [REDACTED] muscle GSW to her left leg. Only one is above the knee, but there's a couple below the knee. We use control. How many like you think like four? Yeah, four total. Okay, go ahead. Heart rate is 117. Blood pressure is 143 over 87. Rest is about 20, 100%. I'm in sunlight right now. She's awake. No tourniquet. We just control with just blood pressure. Five. Yep. All right. Thank you.</t>
  </si>
  <si>
    <t>Welcome to you guys with a 10 year old female muscle GSW to her left leg. Only one is above the knee, but there's a couple below the knee. We use control. How many like you think like four? Yeah, four total. Okay, go ahead. [REDACTED]. Blood pressure is 143 over 87. Rest is about 20, 100%. I'm in sunlight right now. She's awake. No tourniquet. We just control with just blood pressure. Five. Yep. All right. Thank you.</t>
  </si>
  <si>
    <t>Welcome to you guys with a 10 year old female muscle GSW to her left leg. Only one is above the knee, but there's a couple below the knee. We use control. How many like you think like four? Yeah, four total. Okay, go ahead. Heart rate is 117. [REDACTED]. Rest is about 20, 100%. I'm in sunlight right now. She's awake. No tourniquet. We just control with just blood pressure. Five. Yep. All right. Thank you.</t>
  </si>
  <si>
    <t>Welcome to you guys with a 10 year old female muscle GSW to her left leg. Only one is above the knee, but there's a couple below the knee. We use control. How many like you think like four? Yeah, four total. Okay, go ahead. Heart rate is 117. Blood pressure is 143 over 87. [REDACTED], 100%. I'm in sunlight right now. She's awake. No tourniquet. We just control with just blood pressure. Five. Yep. All right. Thank you.</t>
  </si>
  <si>
    <t>Welcome to you guys with a 10 year old female muscle GSW to her left leg. Only one is above the knee, but there's a couple below the knee. We use control. How many like you think like four? Yeah, four total. Okay, go ahead. Heart rate is 117. Blood pressure is 143 over 87. Rest is about 20, 100%. I'm in sunlight right now. [REDACTED]. No tourniquet. We just control with just blood pressure. Five. Yep. All right. Thank you.</t>
  </si>
  <si>
    <t>Hold on. Hey, it's 17. I got two. I have an 11-year-old female who was in an MBA. She was in the front seat wearing a seatbelt. She's got pain bilaterally below the knees and her lower back. Vitals are stable. We also have a 40-year-old female pain all over, especially in the neck, head area. Vitals are pretty stable. There are no obvious injuries with form at any given time. You know how fast Peds will ask? Yeah. I'm sorry, what? You know how fast they were going? Around 40. 40 MPH. Okay. Seatbelt in front seat? Yes. Back and leg, no LOC? Female, older female had LOC for a couple minutes apparently. Is this the mom of the child? Yes. She may have to go. We'll see when we get here. How far? About five minutes. All right. Great. Thank you.</t>
  </si>
  <si>
    <t>11-year-old female who was in an MBA. She was in the front seat wearing a seatbelt. She's got pain bilaterally below the knees and her lower back. Vitals are stable. We also have a 40-year-old female pain all over, especially in the neck, head area. Vitals are pretty stable. There are no obvious injuries with form at any given time. You know how fast Peds will ask? Yeah. I'm sorry, what? You know how fast they were going? Around 40. 40 MPH. Okay. Seatbelt in front seat? Yes. Back and leg, no LOC? Female, older female had LOC for a couple minutes apparently. Is this the mom of the child? Yes. She may have to go. We'll see when we get here. How far? About five minutes. All right. Great. Thank you.</t>
  </si>
  <si>
    <t>MBA (Motor Vehicle Accident)</t>
  </si>
  <si>
    <t>The transcript mentions an 11-year-old female involved in an MBA, indicating a motor vehicle accident as the mechanism of injury.</t>
  </si>
  <si>
    <t>Hold on. Hey, it's 17. I got two. I have an [REDACTED] who was in an MBA. She was in the front seat wearing a seatbelt. She's got pain bilaterally below the knees and her lower back. Vitals are stable. We also have a 40-year-old female pain all over, especially in the neck, head area. Vitals are pretty stable. There are no obvious injuries with form at any given time. You know how fast Peds will ask? Yeah. I'm sorry, what? You know how fast they were going? Around 40. 40 MPH. Okay. Seatbelt in front seat? Yes. Back and leg, no LOC? Female, older female had LOC for a couple minutes apparently. Is this the mom of the child? Yes. She may have to go. We'll see when we get here. How far? About five minutes. All right. Great. Thank you.</t>
  </si>
  <si>
    <t>Hey, Rach. Hey, it's Cleveland One. I have a four-year-old male who has a GSW from a drive-by to his left knee. There's deformity in his tip-fib, possibly his femur, too. I can't tell because you can see where the bullet's sitting in there. He's A&amp;L times four. Fibers are all good. 116 over 78. Heart rate 68, 97 on room air. We'll be there in, like, 8, 10. You said 40-year-old? Four. Four. Four-year-old male. Yeah, four. Like, rainbow side four. Okay. All right. Bye. Thanks.</t>
  </si>
  <si>
    <t>four-year-old male who has a GSW from a drive-by to his left knee. There's deformity in his tip-fib, possibly his femur, too. 116 over 78. Heart rate 68, 97 on room air. We'll be there in, like, 8, 10.</t>
  </si>
  <si>
    <t>GSW from a drive-by to the left knee</t>
  </si>
  <si>
    <t>The transcript clearly states the patient has a gunshot wound (GSW) from a drive-by shooting.</t>
  </si>
  <si>
    <t>['four-year-old male', 'Four. Four. Four-year-old male', 'four']</t>
  </si>
  <si>
    <t>['Heart rate 68']</t>
  </si>
  <si>
    <t>['116 over 78']</t>
  </si>
  <si>
    <t>Hey, Rach. Hey, it's Cleveland One. I have a [REDACTED] who has a GSW from a drive-by to his left knee. There's deformity in his tip-fib, possibly his femur, too. I can't tell because you can see where the bullet's sitting in there. He's A&amp;L times [REDACTED]. Fibers are all good. 116 over 78. Heart rate 68, 97 on room air. We'll be there in, like, 8, 10. You said 40-year-old? [REDACTED]. Yeah, [REDACTED]. Like, rainbow side [REDACTED]. Okay. All right. Bye. Thanks.</t>
  </si>
  <si>
    <t>Hey, Rach. Hey, it's Cleveland One. I have a four-year-old male who has a GSW from a drive-by to his left knee. There's deformity in his tip-fib, possibly his femur, too. I can't tell because you can see where the bullet's sitting in there. He's A&amp;L times four. Fibers are all good. 116 over 78. [REDACTED], 97 on room air. We'll be there in, like, 8, 10. You said 40-year-old? Four. Four. Four-year-old male. Yeah, four. Like, rainbow side four. Okay. All right. Bye. Thanks.</t>
  </si>
  <si>
    <t>Hey, Rach. Hey, it's Cleveland One. I have a four-year-old male who has a GSW from a drive-by to his left knee. There's deformity in his tip-fib, possibly his femur, too. I can't tell because you can see where the bullet's sitting in there. He's A&amp;L times four. Fibers are all good. [REDACTED]. Heart rate 68, 97 on room air. We'll be there in, like, 8, 10. You said 40-year-old? Four. Four. Four-year-old male. Yeah, four. Like, rainbow side four. Okay. All right. Bye. Thanks.</t>
  </si>
  <si>
    <t>15 right okay hey you H it's clue the medic one I have a call I don't know if you're gonna make them up a adult trauma he's 15 no but go ahead all right so he was at a concert there was a body surfer going on and the body had fallen on his head she fell to the ground afterwards so neck pain going on no known loss of consciousness vitals are stable for us but he said he's in a lot of pain okay how far out of you I gave us like six minutes so he fell from about six feet or so right yeah well the person did there he was on the ground and a person had fallen on his head fell somebody fell on him gotcha yeah so someone fell on him that's why I'm making it more of a trauma so see you in a few all right thanks</t>
  </si>
  <si>
    <t>15 at a concert there was a body surfer going on and the body had fallen on his head she fell to the ground afterwards so neck pain going on no known loss of consciousness vitals are stable for us but he said he's in a lot of pain okay how far out of you I gave us like six minutes.</t>
  </si>
  <si>
    <t>Person fell on patient's head at a concert</t>
  </si>
  <si>
    <t>The transcript describes a person falling on the patient's head during a concert, causing trauma.</t>
  </si>
  <si>
    <t>["he's 15"]</t>
  </si>
  <si>
    <t>['no known loss of consciousness']</t>
  </si>
  <si>
    <t>15 right okay hey you H it's clue the medic one I have a call I don't know if you're gonna make them up a adult trauma [REDACTED] no but go ahead all right so he was at a concert there was a body surfer going on and the body had fallen on his head she fell to the ground afterwards so neck pain going on no known loss of consciousness vitals are stable for us but he said he's in a lot of pain okay how far out of you I gave us like six minutes so he fell from about six feet or so right yeah well the person did there he was on the ground and a person had fallen on his head fell somebody fell on him gotcha yeah so someone fell on him that's why I'm making it more of a trauma so see you in a few all right thanks</t>
  </si>
  <si>
    <t>15 right okay hey you H it's clue the medic one I have a call I don't know if you're gonna make them up a adult trauma he's 15 no but go ahead all right so he was at a concert there was a body surfer going on and the body had fallen on his head she fell to the ground afterwards so neck pain going on [REDACTED] vitals are stable for us but he said he's in a lot of pain okay how far out of you I gave us like six minutes so he fell from about six feet or so right yeah well the person did there he was on the ground and a person had fallen on his head fell somebody fell on him gotcha yeah so someone fell on him that's why I'm making it more of a trauma so see you in a few all right thanks</t>
  </si>
  <si>
    <t>Call the man. Yeah, it's Cleveland Heights 241. Can I give you a report? Yeah, go ahead. We've got a 14-year-old male. Chief in plain today is going to be a gunshot wound to the left upper thigh above knee. No exit wound at this time. Police officers are providing tourniquet. Bleeding is controlled. Patient is conscious, alert, and oriented. Currently for us, he's showing a sinus rhythm at 70. His recent blood pressure was 93 over 54. We got one large bore, the other one blue, and we got a leader bag running wide open. No allergies, no medical history, no medications. We'll be at your facility in 8. And you said 14, 1-4? 14, 1-4, correct. All right, bye. Bye.</t>
  </si>
  <si>
    <t>14-year-old male.gunshot wound to the left upper thigh above knee. No exit wound at this time.  tourniquet. Bleeding is controlled. Patient is conscious, alert, and oriented. sinus rhythm at 70. His recent blood pressure was 93 over 54. We'll be at your facility in 8.</t>
  </si>
  <si>
    <t>GSW to left upper thigh</t>
  </si>
  <si>
    <t>The report clearly states the patient has a gunshot wound to the left upper thigh.</t>
  </si>
  <si>
    <t>['sinus rhythm at 70']</t>
  </si>
  <si>
    <t>['blood pressure was 93 over 54']</t>
  </si>
  <si>
    <t>['Patient is conscious, alert, and oriented']</t>
  </si>
  <si>
    <t>['gunshot wound to the left upper thigh above knee']</t>
  </si>
  <si>
    <t>Call the man. Yeah, it's Cleveland Heights 241. Can I give you a report? Yeah, go ahead. We've got a 14-year-old male. Chief in plain today is going to be a gunshot wound to the left upper thigh above knee. No exit wound at this time. Police officers are providing tourniquet. Bleeding is controlled. Patient is conscious, alert, and oriented. Currently for us, he's showing a [REDACTED]. His recent blood pressure was 93 over 54. We got one large bore, the other one blue, and we got a leader bag running wide open. No allergies, no medical history, no medications. We'll be at your facility in 8. And you said 14, 1-4? 14, 1-4, correct. All right, bye. Bye.</t>
  </si>
  <si>
    <t>Call the man. Yeah, it's Cleveland Heights 241. Can I give you a report? Yeah, go ahead. We've got a 14-year-old male. Chief in plain today is going to be a gunshot wound to the left upper thigh above knee. No exit wound at this time. Police officers are providing tourniquet. Bleeding is controlled. Patient is conscious, alert, and oriented. Currently for us, he's showing a sinus rhythm at 70. His recent [REDACTED]. We got one large bore, the other one blue, and we got a leader bag running wide open. No allergies, no medical history, no medications. We'll be at your facility in 8. And you said 14, 1-4? 14, 1-4, correct. All right, bye. Bye.</t>
  </si>
  <si>
    <t>Call the man. Yeah, it's Cleveland Heights 241. Can I give you a report? Yeah, go ahead. We've got a 14-year-old male. Chief in plain today is going to be a gunshot wound to the left upper thigh above knee. No exit wound at this time. Police officers are providing tourniquet. Bleeding is controlled. [REDACTED]. Currently for us, he's showing a sinus rhythm at 70. His recent blood pressure was 93 over 54. We got one large bore, the other one blue, and we got a leader bag running wide open. No allergies, no medical history, no medications. We'll be at your facility in 8. And you said 14, 1-4? 14, 1-4, correct. All right, bye. Bye.</t>
  </si>
  <si>
    <t>Call the man. Yeah, it's Cleveland Heights 241. Can I give you a report? Yeah, go ahead. We've got a 14-year-old male. Chief in plain today is going to be a [REDACTED]. No exit wound at this time. Police officers are providing tourniquet. Bleeding is controlled. Patient is conscious, alert, and oriented. Currently for us, he's showing a sinus rhythm at 70. His recent blood pressure was 93 over 54. We got one large bore, the other one blue, and we got a leader bag running wide open. No allergies, no medical history, no medications. We'll be at your facility in 8. And you said 14, 1-4? 14, 1-4, correct. All right, bye. Bye.</t>
  </si>
  <si>
    <t>Hi, U.H., hold on a second. Hello? Hi. What's going on? Yes, what's going on? Okay. We have a 17-year-old male that was shot in his right forearm. The bullet is still lodged in his wrist. It's not actually bleeding. It's time it is wrapped. It did not happen in shaker heights. I don't know about caliber. Vitals are as follows. It's 140 over 90 for a blood pressure. 122 sinus attack on the monitor. We have an IV established. A saline block at this time. 18 respirations, 99 in remear. We did expose his legs and his chest. No other injuries noted. It happened about 20 minutes prior to arrival in Cleveland. And then he drove to a separate place. Like I said, bleeding is controlled, though. And the bullet is still lodged in his right wrist. And no tourniquets placed on him? No, just pressure. Okay. All righty. How far are you out? I'm going to give you, like, probably 10. Okay. We'll see you soon. All right, bye. Thank you.</t>
  </si>
  <si>
    <t>17-year-old male that was shot in his right forearm. The bullet is still lodged in his wrist. It's not actually bleeding. Vitals are as follows. It's 140 over 90 for a blood pressure. 122 sinus attack on the monitor. ETA probably 10.</t>
  </si>
  <si>
    <t>GSW to right forearm</t>
  </si>
  <si>
    <t>The transcript mentions a 17-year-old male who was shot in his right forearm.</t>
  </si>
  <si>
    <t>['122 sinus attack on the monitor']</t>
  </si>
  <si>
    <t>['140 over 90 for a blood pressure']</t>
  </si>
  <si>
    <t>['18 respirations']</t>
  </si>
  <si>
    <t>['shot in his right forearm', 'The bullet is still lodged in his wrist']</t>
  </si>
  <si>
    <t>Hi, U.H., hold on a second. Hello? Hi. What's going on? Yes, what's going on? Okay. We have a [REDACTED] that was shot in his right forearm. The bullet is still lodged in his wrist. It's not actually bleeding. It's time it is wrapped. It did not happen in shaker heights. I don't know about caliber. Vitals are as follows. It's 140 over 90 for a blood pressure. 122 sinus attack on the monitor. We have an IV established. A saline block at this time. 18 respirations, 99 in remear. We did expose his legs and his chest. No other injuries noted. It happened about 20 minutes prior to arrival in Cleveland. And then he drove to a separate place. Like I said, bleeding is controlled, though. And the bullet is still lodged in his right wrist. And no tourniquets placed on him? No, just pressure. Okay. All righty. How far are you out? I'm going to give you, like, probably 10. Okay. We'll see you soon. All right, bye. Thank you.</t>
  </si>
  <si>
    <t>Hi, U.H., hold on a second. Hello? Hi. What's going on? Yes, what's going on? Okay. We have a 17-year-old male that was shot in his right forearm. The bullet is still lodged in his wrist. It's not actually bleeding. It's time it is wrapped. It did not happen in shaker heights. I don't know about caliber. Vitals are as follows. It's 140 over 90 for a blood pressure. [REDACTED]. We have an IV established. A saline block at this time. 18 respirations, 99 in remear. We did expose his legs and his chest. No other injuries noted. It happened about 20 minutes prior to arrival in Cleveland. And then he drove to a separate place. Like I said, bleeding is controlled, though. And the bullet is still lodged in his right wrist. And no tourniquets placed on him? No, just pressure. Okay. All righty. How far are you out? I'm going to give you, like, probably 10. Okay. We'll see you soon. All right, bye. Thank you.</t>
  </si>
  <si>
    <t>Hi, U.H., hold on a second. Hello? Hi. What's going on? Yes, what's going on? Okay. We have a 17-year-old male that was shot in his right forearm. The bullet is still lodged in his wrist. It's not actually bleeding. It's time it is wrapped. It did not happen in shaker heights. I don't know about caliber. Vitals are as follows. It's [REDACTED]. 122 sinus attack on the monitor. We have an IV established. A saline block at this time. 18 respirations, 99 in remear. We did expose his legs and his chest. No other injuries noted. It happened about 20 minutes prior to arrival in Cleveland. And then he drove to a separate place. Like I said, bleeding is controlled, though. And the bullet is still lodged in his right wrist. And no tourniquets placed on him? No, just pressure. Okay. All righty. How far are you out? I'm going to give you, like, probably 10. Okay. We'll see you soon. All right, bye. Thank you.</t>
  </si>
  <si>
    <t>Hi, U.H., hold on a second. Hello? Hi. What's going on? Yes, what's going on? Okay. We have a 17-year-old male that was shot in his right forearm. The bullet is still lodged in his wrist. It's not actually bleeding. It's time it is wrapped. It did not happen in shaker heights. I don't know about caliber. Vitals are as follows. It's 140 over 90 for a blood pressure. 122 sinus attack on the monitor. We have an IV established. A saline block at this time. [REDACTED], 99 in remear. We did expose his legs and his chest. No other injuries noted. It happened about 20 minutes prior to arrival in Cleveland. And then he drove to a separate place. Like I said, bleeding is controlled, though. And the bullet is still lodged in his right wrist. And no tourniquets placed on him? No, just pressure. Okay. All righty. How far are you out? I'm going to give you, like, probably 10. Okay. We'll see you soon. All right, bye. Thank you.</t>
  </si>
  <si>
    <t>Hi, U.H., hold on a second. Hello? Hi. What's going on? Yes, what's going on? Okay. We have a 17-year-old male that was [REDACTED]. [REDACTED]. It's not actually bleeding. It's time it is wrapped. It did not happen in shaker heights. I don't know about caliber. Vitals are as follows. It's 140 over 90 for a blood pressure. 122 sinus attack on the monitor. We have an IV established. A saline block at this time. 18 respirations, 99 in remear. We did expose his legs and his chest. No other injuries noted. It happened about 20 minutes prior to arrival in Cleveland. And then he drove to a separate place. Like I said, bleeding is controlled, though. And the bullet is still lodged in his right wrist. And no tourniquets placed on him? No, just pressure. Okay. All righty. How far are you out? I'm going to give you, like, probably 10. Okay. We'll see you soon. All right, bye. Thank you.</t>
  </si>
  <si>
    <t>UATRS Michael. Hey Michael, can you page out a full activation for 15-year-old GSW right butt cheek? 10 minutes out. Thanks, bye.</t>
  </si>
  <si>
    <t>can you page out a full activation for 15-year-old GSW right butt cheek? 10 minutes out.</t>
  </si>
  <si>
    <t>GSW to right butt cheek</t>
  </si>
  <si>
    <t>The transcript mentions a "GSW right butt cheek" which stands for a gunshot wound to the right butt cheek.</t>
  </si>
  <si>
    <t>['15-year-old']</t>
  </si>
  <si>
    <t>['GSW right butt cheek']</t>
  </si>
  <si>
    <t>UATRS Michael. Hey Michael, can you page out a full activation for [REDACTED] GSW right butt cheek? 10 minutes out. Thanks, bye.</t>
  </si>
  <si>
    <t>UATRS Michael. Hey Michael, can you page out a full activation for 15-year-old [REDACTED]? 10 minutes out. Thanks, bye.</t>
  </si>
  <si>
    <t>Hey, this is Cleveland Medics 31 coming in. We got three patients from an MBA. First patient, we got a 50 female. She was the driver. She was restrained, but she's been playing a neck pain, right shoulder pain, and bilateral leg pain. Second patient, we have a 21 female. She was in the backseat, restrained. She's been playing the left knee pain. And then we have an eight-month-old male. No complaints at this time. He seems to be okay, but of course, they want him checked out. Was he in a car seat? He was in a car, a booster seat. Yeah. Okay. Any obvious injuries to him? No, no obvious injuries. And then what did they hit? Another car or something else? Yeah, it was two cars, yeah. Okay. What's your ID? Go ahead. The 50-year-old, she doesn't know she lost consciousness. She might have been shaken up, but she also might have lost consciousness. Okay. But we should be there in about eight minutes. All right. Bye. Thank you. Bye. Bye. . . . . . . .</t>
  </si>
  <si>
    <t>The transcript mentions three patients involved in an MBA, which stands for Motor Vehicle Accident.</t>
  </si>
  <si>
    <t>['50 female', '21 female', 'eight-month-old male']</t>
  </si>
  <si>
    <t>["she doesn't know she lost consciousness", 'she might have been shaken up', 'she also might have lost consciousness']</t>
  </si>
  <si>
    <t>Hey, this is Cleveland Medics 31 coming in. We got three patients from an MBA. First patient, we got a [REDACTED]. She was the driver. She was restrained, but she's been playing a neck pain, right shoulder pain, and bilateral leg pain. Second patient, we have a [REDACTED]. She was in the backseat, restrained. She's been playing the left knee pain. And then we have an [REDACTED]. No complaints at this time. He seems to be okay, but of course, they want him checked out. Was he in a car seat? He was in a car, a booster seat. Yeah. Okay. Any obvious injuries to him? No, no obvious injuries. And then what did they hit? Another car or something else? Yeah, it was two cars, yeah. Okay. What's your ID? Go ahead. The 50-year-old, she doesn't know she lost consciousness. She might have been shaken up, but she also might have lost consciousness. Okay. But we should be there in about eight minutes. All right. Bye. Thank you. Bye. Bye. . . . . . . .</t>
  </si>
  <si>
    <t>Hello, this is Utewood, medic 43, calling in. Two reports, we have two patients. One's a pediatric, one's an adult. They're both involved in the MBA. Would you like me to start with the pediatric first? Are they family? Yeah. What are they doing to each other? Mom and daughter. Okay, all right. Go with the, how was the car accident? There was significant damage to the front of the car. They were only traveling about 35 miles an hour. Okay, any intrusion or anything like that? Negative. No intrusion. Was the child restrained? Was the mom restrained? They were both restrained. Airbags deployed. Child was in a car seat. Airbags. Airbag deployment. Okay. So before you start with the kid, if the mom's all right, she's going to have to go down with her daughter to PEDS and have her daughter be checked out first. Okay. Yeah. It doesn't seem like the mother has significant injuries. She just doesn't feel well. And arm pain, you know, she's shooken up. Okay. And any complaints about the daughter? The daughter has an injury to her forehead, laceration. The daughter is acting appropriately, crying right now. But like I said, injury to the forehead. How old is she? Two years. Three years old. Two. Two. And no LSE that mom reported? Yeah, no. Negative. Okay, cool. Restrained. All right. Yeah. Yeah. So you guys will take the child down to LND. And what you said, mom just said she just wasn't generally feeling well? Not feeling well. Arm pain, her hand, both her hands have pain. Okay. But she's stable and stuff? Yes. Okay, cool. All right. We will see you soon then. Okay. See you. Bye. Bye.</t>
  </si>
  <si>
    <t>Motor vehicle accident (MBA)</t>
  </si>
  <si>
    <t>The transcript mentions both patients were involved in an MBA with significant damage to the front of the car.</t>
  </si>
  <si>
    <t>['Two years', 'Three years old', 'Two']</t>
  </si>
  <si>
    <t>['The daughter is acting appropriately, crying right now']</t>
  </si>
  <si>
    <t>Hello, this is Utewood, medic 43, calling in. Two reports, we have two patients. One's a pediatric, one's an adult. They're both involved in the MBA. Would you like me to start with the pediatric first? Are they family? Yeah. What are they doing to each other? Mom and daughter. Okay, all right. Go with the, how was the car accident? There was significant damage to the front of the car. They were only traveling about 35 miles an hour. Okay, any intrusion or anything like that? Negative. No intrusion. Was the child restrained? Was the mom restrained? They were both restrained. Airbags deployed. Child was in a car seat. Airbags. Airbag deployment. Okay. So before you start with the kid, if the mom's all right, she's going to have to go down with her daughter to PEDS and have her daughter be checked out first. Okay. Yeah. It doesn't seem like the mother has significant injuries. She just doesn't feel well. And arm pain, you know, she's shooken up. Okay. And any complaints about the daughter? The daughter has an injury to her forehead, laceration. [REDACTED]. But like I said, injury to the forehead. How old is she? Two years. Three years old. Two. Two. And no LSE that mom reported? Yeah, no. Negative. Okay, cool. Restrained. All right. Yeah. Yeah. So you guys will take the child down to LND. And what you said, mom just said she just wasn't generally feeling well? Not feeling well. Arm pain, her hand, both her hands have pain. Okay. But she's stable and stuff? Yes. Okay, cool. All right. We will see you soon then. Okay. See you. Bye. Bye.</t>
  </si>
  <si>
    <t>Good afternoon, University. Hey, it's Cleveland 36. I got three traumas for you. Three traumas? Yeah, very limited. Okay, talk to me. First, I'm going to give you an approximate 30-year-old male. Okay. Driver, car versus telephone pole. He was a restrained driver. Steering wheel had severe damage to it. Okay. Head hit the windshield. Okay. I don't know if he's altered or just not speaking. So I'm going with the altered just because of the head injury. Okay. But ETOH as well. Okay. He's got a lack to his left head. Blood pressure is 160 over 80. Heart rate 110. 100% room there. Okay. I've got 18 on the left. And then I've got a 6-year-old and a 5-year-old female. Oh, great. 6-year-old, backseat, restrained driver. Neck pain. And is this the female? Yes. Okay. Okay. And then 5-year-old, restrained, no child seat, front seat passenger. Oh, great. With ABD pain. And she seems very, like, tired. Just very exhausted. So I don't know if she's got something going on. I'm still trying to get vitals on everybody and I'll get her at there quick. Okay. So the 6-year-old in the backseat, you say was restrained, though? Correct. Correct. Okay. Everybody was restrained. Gotcha. Yep. All vitals so far are good. All right. All ready? All right. ETA one more time? About 7 minutes, 5 minutes. All right. Get here safe. See you then. I'll see you, bud. All right. All right.</t>
  </si>
  <si>
    <t>Car versus telephone pole</t>
  </si>
  <si>
    <t>The transcript describes a vehicle collision involving a car hitting a telephone pole.</t>
  </si>
  <si>
    <t>['approximate 30-year-old male', '6-year-old', '5-year-old female']</t>
  </si>
  <si>
    <t>['Heart rate 110']</t>
  </si>
  <si>
    <t>['Blood pressure is 160 over 80']</t>
  </si>
  <si>
    <t>["I don't know if he's altered or just not speaking", "So I'm going with the altered just because of the head injury", 'she seems very, like, tired. Just very exhausted']</t>
  </si>
  <si>
    <t>Good afternoon, University. Hey, it's Cleveland 36. I got three traumas for you. Three traumas? Yeah, very limited. Okay, talk to me. First, I'm going to give you an [REDACTED]. Okay. Driver, car versus telephone pole. He was a restrained driver. Steering wheel had severe damage to it. Okay. Head hit the windshield. Okay. I don't know if he's altered or just not speaking. So I'm going with the altered just because of the head injury. Okay. But ETOH as well. Okay. He's got a lack to his left head. Blood pressure is 160 over 80. Heart rate 110. 100% room there. Okay. I've got 18 on the left. And then I've got a [REDACTED] and a [REDACTED]. Oh, great. [REDACTED], backseat, restrained driver. Neck pain. And is this the female? Yes. Okay. Okay. And then 5-year-old, restrained, no child seat, front seat passenger. Oh, great. With ABD pain. And she seems very, like, tired. Just very exhausted. So I don't know if she's got something going on. I'm still trying to get vitals on everybody and I'll get her at there quick. Okay. So the [REDACTED] in the backseat, you say was restrained, though? Correct. Correct. Okay. Everybody was restrained. Gotcha. Yep. All vitals so far are good. All right. All ready? All right. ETA one more time? About 7 minutes, 5 minutes. All right. Get here safe. See you then. I'll see you, bud. All right. All right.</t>
  </si>
  <si>
    <t>Good afternoon, University. Hey, it's Cleveland 36. I got three traumas for you. Three traumas? Yeah, very limited. Okay, talk to me. First, I'm going to give you an approximate 30-year-old male. Okay. Driver, car versus telephone pole. He was a restrained driver. Steering wheel had severe damage to it. Okay. Head hit the windshield. Okay. I don't know if he's altered or just not speaking. So I'm going with the altered just because of the head injury. Okay. But ETOH as well. Okay. He's got a lack to his left head. Blood pressure is 160 over 80. [REDACTED]. 100% room there. Okay. I've got 18 on the left. And then I've got a 6-year-old and a 5-year-old female. Oh, great. 6-year-old, backseat, restrained driver. Neck pain. And is this the female? Yes. Okay. Okay. And then 5-year-old, restrained, no child seat, front seat passenger. Oh, great. With ABD pain. And she seems very, like, tired. Just very exhausted. So I don't know if she's got something going on. I'm still trying to get vitals on everybody and I'll get her at there quick. Okay. So the 6-year-old in the backseat, you say was restrained, though? Correct. Correct. Okay. Everybody was restrained. Gotcha. Yep. All vitals so far are good. All right. All ready? All right. ETA one more time? About 7 minutes, 5 minutes. All right. Get here safe. See you then. I'll see you, bud. All right. All right.</t>
  </si>
  <si>
    <t>Good afternoon, University. Hey, it's Cleveland 36. I got three traumas for you. Three traumas? Yeah, very limited. Okay, talk to me. First, I'm going to give you an approximate 30-year-old male. Okay. Driver, car versus telephone pole. He was a restrained driver. Steering wheel had severe damage to it. Okay. Head hit the windshield. Okay. I don't know if he's altered or just not speaking. So I'm going with the altered just because of the head injury. Okay. But ETOH as well. Okay. He's got a lack to his left head. [REDACTED]. Heart rate 110. 100% room there. Okay. I've got 18 on the left. And then I've got a 6-year-old and a 5-year-old female. Oh, great. 6-year-old, backseat, restrained driver. Neck pain. And is this the female? Yes. Okay. Okay. And then 5-year-old, restrained, no child seat, front seat passenger. Oh, great. With ABD pain. And she seems very, like, tired. Just very exhausted. So I don't know if she's got something going on. I'm still trying to get vitals on everybody and I'll get her at there quick. Okay. So the 6-year-old in the backseat, you say was restrained, though? Correct. Correct. Okay. Everybody was restrained. Gotcha. Yep. All vitals so far are good. All right. All ready? All right. ETA one more time? About 7 minutes, 5 minutes. All right. Get here safe. See you then. I'll see you, bud. All right. All right.</t>
  </si>
  <si>
    <t>Good afternoon, University. Hey, it's Cleveland 36. I got three traumas for you. Three traumas? Yeah, very limited. Okay, talk to me. First, I'm going to give you an approximate 30-year-old male. Okay. Driver, car versus telephone pole. He was a restrained driver. Steering wheel had severe damage to it. Okay. Head hit the windshield. Okay. [REDACTED]. [REDACTED]. Okay. But ETOH as well. Okay. He's got a lack to his left head. Blood pressure is 160 over 80. Heart rate 110. 100% room there. Okay. I've got 18 on the left. And then I've got a 6-year-old and a 5-year-old female. Oh, great. 6-year-old, backseat, restrained driver. Neck pain. And is this the female? Yes. Okay. Okay. And then 5-year-old, restrained, no child seat, front seat passenger. Oh, great. With ABD pain. And [REDACTED]. So I don't know if she's got something going on. I'm still trying to get vitals on everybody and I'll get her at there quick. Okay. So the 6-year-old in the backseat, you say was restrained, though? Correct. Correct. Okay. Everybody was restrained. Gotcha. Yep. All vitals so far are good. All right. All ready? All right. ETA one more time? About 7 minutes, 5 minutes. All right. Get here safe. See you then. I'll see you, bud. All right. All right.</t>
  </si>
  <si>
    <t>Hi, this is University Heights 1141. I got a report for you. We're coming your way with a 13 year old trauma arrest, self-inflicted gunshot wound to the head. 13 year old female or male? 13 year old male. Correct. No known medical history. In the process, we got a I.O. in the left shoulder. You say A.O. in the left shoulder? You want to pause that? Do we have any kind of rhythm? Huh? P.E.A. the whole time. P.E.A. Yes. We're getting meds on board first round and we're on our way. We'll be there in about six minutes. All right. OK.</t>
  </si>
  <si>
    <t>13-year-old trauma arrest, self-inflicted gunshot wound to head, male. No medical history, I owe in left shoulder. PEA whole time.</t>
  </si>
  <si>
    <t>Self-inflicted gunshot wound to the head</t>
  </si>
  <si>
    <t>The transcript explicitly states "self-inflicted gunshot wound to the head."</t>
  </si>
  <si>
    <t>['13 year old', '13 year old female or male?', '13 year old male']</t>
  </si>
  <si>
    <t>UH, this is Zach. Hey Zach, it's Cleveland 20. What's up? Hey, I got a 12-year-old female who was shot in the left side of the stomach, upper left quadrant. Okay. Blood pressure is 134 over 94. Heart rate is 116. She's 100% room air. We'll see you guys in about five minutes. Okay, see you soon. Alrighty. Bye. Bye.</t>
  </si>
  <si>
    <t>12-year-old female shot in left side of stomach, upper left quadrant. Pressure 134/94 heart rate 116 100% room air.</t>
  </si>
  <si>
    <t>GSW to left side of the stomach</t>
  </si>
  <si>
    <t>The transcript mentions a 12-year-old female who was shot in the left side of the stomach.</t>
  </si>
  <si>
    <t>['12-year-old female']</t>
  </si>
  <si>
    <t>['Blood pressure is 134 over 94']</t>
  </si>
  <si>
    <t>UH, this is Zach. Hey Zach, it's Cleveland 20. What's up? Hey, I got a [REDACTED] who was shot in the left side of the stomach, upper left quadrant. Okay. Blood pressure is 134 over 94. Heart rate is 116. She's 100% room air. We'll see you guys in about five minutes. Okay, see you soon. Alrighty. Bye. Bye.</t>
  </si>
  <si>
    <t>UH, this is Zach. Hey Zach, it's Cleveland 20. What's up? Hey, I got a 12-year-old female who was shot in the left side of the stomach, upper left quadrant. Okay. Blood pressure is 134 over 94. [REDACTED]. She's 100% room air. We'll see you guys in about five minutes. Okay, see you soon. Alrighty. Bye. Bye.</t>
  </si>
  <si>
    <t>UH, this is Zach. Hey Zach, it's Cleveland 20. What's up? Hey, I got a 12-year-old female who was shot in the left side of the stomach, upper left quadrant. Okay. [REDACTED]. Heart rate is 116. She's 100% room air. We'll see you guys in about five minutes. Okay, see you soon. Alrighty. Bye. Bye.</t>
  </si>
  <si>
    <t>Hello, UH. Hey, this is Cleveland 41 bringing in a two-year-old female trauma. She is unresponsive right now. Current set of vitals is going to be a heart rate of 106. Blood pressure is 94 over 76. Respirators are about 20, 98% remunerated. We've got a 24 in the left AC. She was a restrained passenger in a motor vehicle, unknown speed. We'll be there in probably five. All right, sounds good. Thank you.</t>
  </si>
  <si>
    <t>Two year-old female trauma, unresponsive. Vitals heart rate 106 blood pressure 94/76, respirations 20, 98% room air. Restrained passenger and motor vehicle. Unknown speed.</t>
  </si>
  <si>
    <t>Restrained passenger in a motor vehicle</t>
  </si>
  <si>
    <t>The transcript mentions the patient was a restrained passenger in a motor vehicle.</t>
  </si>
  <si>
    <t>['heart rate of 106']</t>
  </si>
  <si>
    <t>['Blood pressure is 94 over 76']</t>
  </si>
  <si>
    <t>['Respirators are about 20']</t>
  </si>
  <si>
    <t>['She is unresponsive right now']</t>
  </si>
  <si>
    <t>Hello, UH. Hey, this is Cleveland 41 bringing in a [REDACTED] trauma. She is unresponsive right now. Current set of vitals is going to be a heart rate of 106. Blood pressure is 94 over 76. Respirators are about 20, 98% remunerated. We've got a 24 in the left AC. She was a restrained passenger in a motor vehicle, unknown speed. We'll be there in probably five. All right, sounds good. Thank you.</t>
  </si>
  <si>
    <t>Hello, UH. Hey, this is Cleveland 41 bringing in a two-year-old female trauma. She is unresponsive right now. Current set of vitals is going to be a [REDACTED]. Blood pressure is 94 over 76. Respirators are about 20, 98% remunerated. We've got a 24 in the left AC. She was a restrained passenger in a motor vehicle, unknown speed. We'll be there in probably five. All right, sounds good. Thank you.</t>
  </si>
  <si>
    <t>Hello, UH. Hey, this is Cleveland 41 bringing in a two-year-old female trauma. She is unresponsive right now. Current set of vitals is going to be a heart rate of 106. [REDACTED]. Respirators are about 20, 98% remunerated. We've got a 24 in the left AC. She was a restrained passenger in a motor vehicle, unknown speed. We'll be there in probably five. All right, sounds good. Thank you.</t>
  </si>
  <si>
    <t>Hello, UH. Hey, this is Cleveland 41 bringing in a two-year-old female trauma. She is unresponsive right now. Current set of vitals is going to be a heart rate of 106. Blood pressure is 94 over 76. [REDACTED], 98% remunerated. We've got a 24 in the left AC. She was a restrained passenger in a motor vehicle, unknown speed. We'll be there in probably five. All right, sounds good. Thank you.</t>
  </si>
  <si>
    <t>Hello, UH. Hey, this is Cleveland 41 bringing in a two-year-old female trauma. [REDACTED]. Current set of vitals is going to be a heart rate of 106. Blood pressure is 94 over 76. Respirators are about 20, 98% remunerated. We've got a 24 in the left AC. She was a restrained passenger in a motor vehicle, unknown speed. We'll be there in probably five. All right, sounds good. Thank you.</t>
  </si>
  <si>
    <t>Okay, I'll open it. UH. Hey, this is East Cleveland. We're coming in with a 15-year-old male, NBA versus pedestrian. He was walking across the street, and he saw the car, and then he blacked out, got hit. He's playing a face, neck, ankle, knee pain. But it was 140, 85, 100% of room error, 86 heart rate. Sugar was 120. We have a C color on. I sent over a 12 lead, and we're about five out. Okay, so he's 8-0 times four right now? Yep. Perfect. Do you have an approximate speed of the car? He said maybe 35. It was right outside the high school. Okay, any obvious deformities? No. His right ankle is just a little swollen, but that's it. Sounds good. All right, thank you. Yep, bye. Bye.</t>
  </si>
  <si>
    <t>15-year-old male MVA versus pedestrian. Walking across the street blacked out got hit. Complaining of face neck ankle knee pain. 140/85, 100% room air, 86 heart rate. Sugar was 120, C collar on. 35 mph, right ankle just a little swollen.</t>
  </si>
  <si>
    <t>NBA versus pedestrian</t>
  </si>
  <si>
    <t>The transcript mentions a 15-year-old male who was hit by a car while walking across the street.</t>
  </si>
  <si>
    <t>['86 heart rate']</t>
  </si>
  <si>
    <t>['he blacked out', '8-0 times four right now']</t>
  </si>
  <si>
    <t>Okay, I'll open it. UH. Hey, this is East Cleveland. We're coming in with a [REDACTED], NBA versus pedestrian. He was walking across the street, and he saw the car, and then he blacked out, got hit. He's playing a face, neck, ankle, knee pain. But it was 140, 85, 100% of room error, 86 heart rate. Sugar was 120. We have a C color on. I sent over a 12 lead, and we're about five out. Okay, so he's 8-0 times four right now? Yep. Perfect. Do you have an approximate speed of the car? He said maybe 35. It was right outside the high school. Okay, any obvious deformities? No. His right ankle is just a little swollen, but that's it. Sounds good. All right, thank you. Yep, bye. Bye.</t>
  </si>
  <si>
    <t>Okay, I'll open it. UH. Hey, this is East Cleveland. We're coming in with a 15-year-old male, NBA versus pedestrian. He was walking across the street, and he saw the car, and then he blacked out, got hit. He's playing a face, neck, ankle, knee pain. But it was 140, 85, 100% of room error, [REDACTED]. Sugar was 120. We have a C color on. I sent over a 12 lead, and we're about five out. Okay, so he's 8-0 times four right now? Yep. Perfect. Do you have an approximate speed of the car? He said maybe 35. It was right outside the high school. Okay, any obvious deformities? No. His right ankle is just a little swollen, but that's it. Sounds good. All right, thank you. Yep, bye. Bye.</t>
  </si>
  <si>
    <t>Okay, I'll open it. UH. Hey, this is East Cleveland. We're coming in with a 15-year-old male, NBA versus pedestrian. He was walking across the street, and he saw the car, and then [REDACTED], got hit. He's playing a face, neck, ankle, knee pain. But it was 140, 85, 100% of room error, 86 heart rate. Sugar was 120. We have a C color on. I sent over a 12 lead, and we're about five out. Okay, so he's [REDACTED]? Yep. Perfect. Do you have an approximate speed of the car? He said maybe 35. It was right outside the high school. Okay, any obvious deformities? No. His right ankle is just a little swollen, but that's it. Sounds good. All right, thank you. Yep, bye. Bye.</t>
  </si>
  <si>
    <t>I have a 13-year-old male that was on his bike and got hit by a car. He's A-04, GCF of 15. He's complaining of left leg pain, no growth deformities or anything to it, possible LOC, not complaining of any neck or back pain. BP is 126 over 64, heart rate 98, sign up for the monitor. Testers are 20, 98 on room air. I got bilateral IVs, and we'll be there in like 5 to 10. Do you know how fast the car is probably going? No idea. All right. You said positive LOC? Yes. All right. See you in about 5, you said? Yeah, 5 to 10. All right. Thank you. Yep.</t>
  </si>
  <si>
    <t>13 year-old male on bike hit by car. Alert and oriented times four GCS 15. Left leg pain no growth deformities possible LOC not complaining of any neck or back pain. Blood pressure 126/64, heart rate 98. 98% on room positive LOC.</t>
  </si>
  <si>
    <t>Hit by a car while on a bike</t>
  </si>
  <si>
    <t>The transcript states the patient was on his bike and got hit by a car.</t>
  </si>
  <si>
    <t>['heart rate 98']</t>
  </si>
  <si>
    <t>['BP is 126 over 64']</t>
  </si>
  <si>
    <t>['possible LOC', 'positive LOC']</t>
  </si>
  <si>
    <t>['was on his bike and got hit by a car']</t>
  </si>
  <si>
    <t>I have a [REDACTED] that was on his bike and got hit by a car. He's A-04, GCF of 15. He's complaining of left leg pain, no growth deformities or anything to it, possible LOC, not complaining of any neck or back pain. BP is 126 over 64, heart rate 98, sign up for the monitor. Testers are 20, 98 on room air. I got bilateral IVs, and we'll be there in like 5 to 10. Do you know how fast the car is probably going? No idea. All right. You said positive LOC? Yes. All right. See you in about 5, you said? Yeah, 5 to 10. All right. Thank you. Yep.</t>
  </si>
  <si>
    <t>I have a 13-year-old male that was on his bike and got hit by a car. He's A-04, GCF of 15. He's complaining of left leg pain, no growth deformities or anything to it, possible LOC, not complaining of any neck or back pain. BP is 126 over 64, [REDACTED], sign up for the monitor. Testers are 20, 98 on room air. I got bilateral IVs, and we'll be there in like 5 to 10. Do you know how fast the car is probably going? No idea. All right. You said positive LOC? Yes. All right. See you in about 5, you said? Yeah, 5 to 10. All right. Thank you. Yep.</t>
  </si>
  <si>
    <t>I have a 13-year-old male that was on his bike and got hit by a car. He's A-04, GCF of 15. He's complaining of left leg pain, no growth deformities or anything to it, possible LOC, not complaining of any neck or back pain. [REDACTED], heart rate 98, sign up for the monitor. Testers are 20, 98 on room air. I got bilateral IVs, and we'll be there in like 5 to 10. Do you know how fast the car is probably going? No idea. All right. You said positive LOC? Yes. All right. See you in about 5, you said? Yeah, 5 to 10. All right. Thank you. Yep.</t>
  </si>
  <si>
    <t>I have a 13-year-old male that was on his bike and got hit by a car. He's A-04, GCF of 15. He's complaining of left leg pain, no growth deformities or anything to it, [REDACTED], not complaining of any neck or back pain. BP is 126 over 64, heart rate 98, sign up for the monitor. Testers are 20, 98 on room air. I got bilateral IVs, and we'll be there in like 5 to 10. Do you know how fast the car is probably going? No idea. All right. You said [REDACTED]? Yes. All right. See you in about 5, you said? Yeah, 5 to 10. All right. Thank you. Yep.</t>
  </si>
  <si>
    <t>I have a 13-year-old male that [REDACTED]. He's A-04, GCF of 15. He's complaining of left leg pain, no growth deformities or anything to it, possible LOC, not complaining of any neck or back pain. BP is 126 over 64, heart rate 98, sign up for the monitor. Testers are 20, 98 on room air. I got bilateral IVs, and we'll be there in like 5 to 10. Do you know how fast the car is probably going? No idea. All right. You said positive LOC? Yes. All right. See you in about 5, you said? Yeah, 5 to 10. All right. Thank you. Yep.</t>
  </si>
  <si>
    <t>Hey, it's Cleveland Medics 22. So we're going to be coming in with three patients from an MBA. There was moderate damage to the vehicle and it flipped on its side. So the first one is going to be a 24-year-old male complaining of neck and shoulder pain. We've got a 24-year-old female complaining of neck and back pain. And a 16-year-old female complaining of neck and mouth pain. All their vitals are stable. We're like five minutes away. You said male, female, female? Yes. All right. And you said it's just moderate damage, no major trauma damage? No, but it just flipped on its right side, the vehicle. And no LOC, everybody restrained? Correct. All right. And ambulatorial scene? Yes. All right. All right. We will see you in how long? Probably about five. All right. Thank you. Bye. Bye.</t>
  </si>
  <si>
    <t>Three patients from MVA, moderate damage to vehicle, flipped. 24 year-old male neck and shoulder pain, 24 year-old female neck and back pain. 16 year-old female neck and mouth pain. All vitals are stable. No LLC, everybody restrained. Ambulatory scene.</t>
  </si>
  <si>
    <t>MBA with vehicle flipped on its side</t>
  </si>
  <si>
    <t>The transcript mentions an MBA where the vehicle flipped on its side.</t>
  </si>
  <si>
    <t>['24-year-old male', '24-year-old female', '16-year-old female']</t>
  </si>
  <si>
    <t>['no LOC']</t>
  </si>
  <si>
    <t>Hey, it's Cleveland Medics 22. So we're going to be coming in with three patients from an MBA. There was moderate damage to the vehicle and it flipped on its side. So the first one is going to be a [REDACTED] complaining of neck and shoulder pain. We've got a [REDACTED] complaining of neck and back pain. And a [REDACTED] complaining of neck and mouth pain. All their vitals are stable. We're like five minutes away. You said male, female, female? Yes. All right. And you said it's just moderate damage, no major trauma damage? No, but it just flipped on its right side, the vehicle. And no LOC, everybody restrained? Correct. All right. And ambulatorial scene? Yes. All right. All right. We will see you in how long? Probably about five. All right. Thank you. Bye. Bye.</t>
  </si>
  <si>
    <t>Hey, it's Cleveland Medics 22. So we're going to be coming in with three patients from an MBA. There was moderate damage to the vehicle and it flipped on its side. So the first one is going to be a 24-year-old male complaining of neck and shoulder pain. We've got a 24-year-old female complaining of neck and back pain. And a 16-year-old female complaining of neck and mouth pain. All their vitals are stable. We're like five minutes away. You said male, female, female? Yes. All right. And you said it's just moderate damage, no major trauma damage? No, but it just flipped on its right side, the vehicle. And [REDACTED], everybody restrained? Correct. All right. And ambulatorial scene? Yes. All right. All right. We will see you in how long? Probably about five. All right. Thank you. Bye. Bye.</t>
  </si>
  <si>
    <t>UH. Hey UH, this is Cleveland Medic 17 calling with support. Alright. I have, how old are you? I have a 17 year old male shot in the left foot. Alright. He's got to be the left foot? Correct. He is his blood pressure kind of sucks. He's at like 90 over 60. Heart rate is 70, 100% on 2 liters. I give him 25 mics of fentanyl. We'll be there in 7 minutes. You said 7 minutes? 10 minutes. 10, sorry. Alright. See you in 10. Thanks. Bye.</t>
  </si>
  <si>
    <t>17-year-old male shot and left foot. Blood pressure kind of sucks, 90/60, heart rate is 7100% on 2 L. 25 miles of fentanyl.</t>
  </si>
  <si>
    <t>The transcript mentions a 17-year-old male shot in the left foot.</t>
  </si>
  <si>
    <t>['17 year old male']</t>
  </si>
  <si>
    <t>['Heart rate is 70']</t>
  </si>
  <si>
    <t>['shot in the left foot']</t>
  </si>
  <si>
    <t>UH. Hey UH, this is Cleveland Medic 17 calling with support. Alright. I have, how old are you? I have a [REDACTED] shot in the left foot. Alright. He's got to be the left foot? Correct. He is his blood pressure kind of sucks. He's at like 90 over 60. Heart rate is 70, 100% on 2 liters. I give him 25 mics of fentanyl. We'll be there in 7 minutes. You said 7 minutes? 10 minutes. 10, sorry. Alright. See you in 10. Thanks. Bye.</t>
  </si>
  <si>
    <t>UH. Hey UH, this is Cleveland Medic 17 calling with support. Alright. I have, how old are you? I have a 17 year old male shot in the left foot. Alright. He's got to be the left foot? Correct. He is his blood pressure kind of sucks. He's at like 90 over 60. [REDACTED], 100% on 2 liters. I give him 25 mics of fentanyl. We'll be there in 7 minutes. You said 7 minutes? 10 minutes. 10, sorry. Alright. See you in 10. Thanks. Bye.</t>
  </si>
  <si>
    <t>UH. Hey UH, this is Cleveland Medic 17 calling with support. Alright. I have, how old are you? I have a 17 year old male [REDACTED]. Alright. He's got to be the left foot? Correct. He is his blood pressure kind of sucks. He's at like 90 over 60. Heart rate is 70, 100% on 2 liters. I give him 25 mics of fentanyl. We'll be there in 7 minutes. You said 7 minutes? 10 minutes. 10, sorry. Alright. See you in 10. Thanks. Bye.</t>
  </si>
  <si>
    <t>Hey University, this is ClevelandMedic7. We're coming to you guys with a nine-year-old male that was involved in an MBA. He's got a deformity to his left femur. We have him in a traction splint. We did give 25 mics of fentanyl for pain. Vitals at the moment, blood pressure is 128 over 84, heart rate of 128, respiration is 22, 98% on room air. He does have autism, so he is nonverbal. Was he restrained, and what was the speed? He was reported to be in a booster seat, but he was not restrained when we got there. Moderate front end damage, airbag deployment, no intrusion into the vehicle. You know the speed? I'm sorry? The speed of the vehicle? Approximately 40 miles. All right. All right, thanks. You said how long? I'll be there in about five minutes. All right, thanks. Thank you.</t>
  </si>
  <si>
    <t>Nine-year-old male involved in MVA. Deformity to left femur, traction splint. 25 mics of fentanyl. 128/84, heart rate 128, respiration 22, 98% room air. Autism nonverbal. Restrained. Booster seat, but was not restrained when we got there. Airbag deployment, no intrusion 40 mph.</t>
  </si>
  <si>
    <t>The transcript mentions a nine-year-old male involved in an MBA with details about the accident.</t>
  </si>
  <si>
    <t>['nine-year-old male']</t>
  </si>
  <si>
    <t>['heart rate of 128']</t>
  </si>
  <si>
    <t>['blood pressure is 128 over 84']</t>
  </si>
  <si>
    <t>['respiration is 22']</t>
  </si>
  <si>
    <t>['he is nonverbal']</t>
  </si>
  <si>
    <t>Hey University, this is ClevelandMedic7. We're coming to you guys with a [REDACTED] that was involved in an MBA. He's got a deformity to his left femur. We have him in a traction splint. We did give 25 mics of fentanyl for pain. Vitals at the moment, blood pressure is 128 over 84, heart rate of 128, respiration is 22, 98% on room air. He does have autism, so he is nonverbal. Was he restrained, and what was the speed? He was reported to be in a booster seat, but he was not restrained when we got there. Moderate front end damage, airbag deployment, no intrusion into the vehicle. You know the speed? I'm sorry? The speed of the vehicle? Approximately 40 miles. All right. All right, thanks. You said how long? I'll be there in about five minutes. All right, thanks. Thank you.</t>
  </si>
  <si>
    <t>Hey University, this is ClevelandMedic7. We're coming to you guys with a nine-year-old male that was involved in an MBA. He's got a deformity to his left femur. We have him in a traction splint. We did give 25 mics of fentanyl for pain. Vitals at the moment, blood pressure is 128 over 84, [REDACTED], respiration is 22, 98% on room air. He does have autism, so he is nonverbal. Was he restrained, and what was the speed? He was reported to be in a booster seat, but he was not restrained when we got there. Moderate front end damage, airbag deployment, no intrusion into the vehicle. You know the speed? I'm sorry? The speed of the vehicle? Approximately 40 miles. All right. All right, thanks. You said how long? I'll be there in about five minutes. All right, thanks. Thank you.</t>
  </si>
  <si>
    <t>Hey University, this is ClevelandMedic7. We're coming to you guys with a nine-year-old male that was involved in an MBA. He's got a deformity to his left femur. We have him in a traction splint. We did give 25 mics of fentanyl for pain. Vitals at the moment, [REDACTED], heart rate of 128, respiration is 22, 98% on room air. He does have autism, so he is nonverbal. Was he restrained, and what was the speed? He was reported to be in a booster seat, but he was not restrained when we got there. Moderate front end damage, airbag deployment, no intrusion into the vehicle. You know the speed? I'm sorry? The speed of the vehicle? Approximately 40 miles. All right. All right, thanks. You said how long? I'll be there in about five minutes. All right, thanks. Thank you.</t>
  </si>
  <si>
    <t>Hey University, this is ClevelandMedic7. We're coming to you guys with a nine-year-old male that was involved in an MBA. He's got a deformity to his left femur. We have him in a traction splint. We did give 25 mics of fentanyl for pain. Vitals at the moment, blood pressure is 128 over 84, heart rate of 128, [REDACTED], 98% on room air. He does have autism, so he is nonverbal. Was he restrained, and what was the speed? He was reported to be in a booster seat, but he was not restrained when we got there. Moderate front end damage, airbag deployment, no intrusion into the vehicle. You know the speed? I'm sorry? The speed of the vehicle? Approximately 40 miles. All right. All right, thanks. You said how long? I'll be there in about five minutes. All right, thanks. Thank you.</t>
  </si>
  <si>
    <t>Hey University, this is ClevelandMedic7. We're coming to you guys with a nine-year-old male that was involved in an MBA. He's got a deformity to his left femur. We have him in a traction splint. We did give 25 mics of fentanyl for pain. Vitals at the moment, blood pressure is 128 over 84, heart rate of 128, respiration is 22, 98% on room air. He does have autism, so [REDACTED]. Was he restrained, and what was the speed? He was reported to be in a booster seat, but he was not restrained when we got there. Moderate front end damage, airbag deployment, no intrusion into the vehicle. You know the speed? I'm sorry? The speed of the vehicle? Approximately 40 miles. All right. All right, thanks. You said how long? I'll be there in about five minutes. All right, thanks. Thank you.</t>
  </si>
  <si>
    <t>Hey, this is Cleveland Medics 22. Hello? Yes. Cleveland Medics 22. I got a 15-year-old male. He was crossing the street and was struck by a vehicle approximately 35 miles an hour. Bystanders state that he was thrown about five feet. He states no LOC, no head, neck, or back pain currently. He did say he had some neck pain earlier, but went away. He's got abrasion on his lip as well as some abrasions to his arms. No further injuries found at this time. Vitals? Last set of vitals, 138 over 80, heart rate 60. He's 98% on room air, 804 with a GCF of 15. He should be there in about five minutes. No medical history? None. All right.</t>
  </si>
  <si>
    <t>15-year-old male crossing street struck by vehicle approximately 35 miles an hour. Thrown in 5 feet. No LOC no head, neck or back pain. Neck pain earlier, but went away. Abrasion on lip abrasion to arms. Vitals 138/80 heart rate 6098% on room air GCS 15.</t>
  </si>
  <si>
    <t>Struck by a vehicle while crossing the street</t>
  </si>
  <si>
    <t>The transcript describes a 15-year-old male who was hit by a vehicle while crossing the street.</t>
  </si>
  <si>
    <t>['heart rate 60']</t>
  </si>
  <si>
    <t>['138 over 80']</t>
  </si>
  <si>
    <t>Hey, this is Cleveland Medics 22. Hello? Yes. Cleveland Medics 22. I got a [REDACTED]. He was crossing the street and was struck by a vehicle approximately 35 miles an hour. Bystanders state that he was thrown about five feet. He states no LOC, no head, neck, or back pain currently. He did say he had some neck pain earlier, but went away. He's got abrasion on his lip as well as some abrasions to his arms. No further injuries found at this time. Vitals? Last set of vitals, 138 over 80, heart rate 60. He's 98% on room air, 804 with a GCF of 15. He should be there in about five minutes. No medical history? None. All right.</t>
  </si>
  <si>
    <t>Hey, this is Cleveland Medics 22. Hello? Yes. Cleveland Medics 22. I got a 15-year-old male. He was crossing the street and was struck by a vehicle approximately 35 miles an hour. Bystanders state that he was thrown about five feet. He states no LOC, no head, neck, or back pain currently. He did say he had some neck pain earlier, but went away. He's got abrasion on his lip as well as some abrasions to his arms. No further injuries found at this time. Vitals? Last set of vitals, 138 over 80, [REDACTED]. He's 98% on room air, 804 with a GCF of 15. He should be there in about five minutes. No medical history? None. All right.</t>
  </si>
  <si>
    <t>Hey, this is Cleveland Medics 22. Hello? Yes. Cleveland Medics 22. I got a 15-year-old male. He was crossing the street and was struck by a vehicle approximately 35 miles an hour. Bystanders state that he was thrown about five feet. He states no LOC, no head, neck, or back pain currently. He did say he had some neck pain earlier, but went away. He's got abrasion on his lip as well as some abrasions to his arms. No further injuries found at this time. Vitals? Last set of vitals, [REDACTED], heart rate 60. He's 98% on room air, 804 with a GCF of 15. He should be there in about five minutes. No medical history? None. All right.</t>
  </si>
  <si>
    <t>Hey Danny, it's Vinnie. Hey. Hey, I got a trauma for rainbows. Okay, what's going on? 11 year old pedestrian struck in a parking lot, approximately 20 miles per hour. She was rolled up on the hood and was thrown about 10 feet. Clinging of pain to the right leg, also pain to the chin where she struck on the pavement. No loss of consciousness reported. We have a C-Cower on the abrasions where her injuries are relatively mild. There's no major deformities to the right knee where her pain is, but she's got an abrasion there and there's some pain with manipulation as well. Otherwise she's work and oriented. Her vitals are okay. I have dad with us right then and that's pretty much it. I'm going to think about a line here shortly, but vitals are great. Okay. 122 over 76. Heart rate of 110 showing a sign of stax. She's 100% on room air. All righty. How far are you out? Coming hot from over here, I'd say probably about five minutes. Okay. See you soon. All right. See you.</t>
  </si>
  <si>
    <t>11 year-old pedestrian struck in parking lot 20 mph. Rolled up on the hood, thrown 10 feet. Pain to right leg, pain to chin struck on the pavement. No loss of consciousness. See collar. No major deformities, but abrasion. Alert and oriented. Vitals 122/76 heart rate of 110 100% on room air.</t>
  </si>
  <si>
    <t>Pedestrian struck in a parking lot</t>
  </si>
  <si>
    <t>The transcript describes an 11-year-old pedestrian being struck by a vehicle in a parking lot.</t>
  </si>
  <si>
    <t>['11 year old']</t>
  </si>
  <si>
    <t>['Heart rate of 110']</t>
  </si>
  <si>
    <t>['122 over 76']</t>
  </si>
  <si>
    <t>['oriented']</t>
  </si>
  <si>
    <t>Hey Danny, it's Vinnie. Hey. Hey, I got a trauma for rainbows. Okay, what's going on? [REDACTED] pedestrian struck in a parking lot, approximately 20 miles per hour. She was rolled up on the hood and was thrown about 10 feet. Clinging of pain to the right leg, also pain to the chin where she struck on the pavement. No loss of consciousness reported. We have a C-Cower on the abrasions where her injuries are relatively mild. There's no major deformities to the right knee where her pain is, but she's got an abrasion there and there's some pain with manipulation as well. Otherwise she's work and oriented. Her vitals are okay. I have dad with us right then and that's pretty much it. I'm going to think about a line here shortly, but vitals are great. Okay. 122 over 76. Heart rate of 110 showing a sign of stax. She's 100% on room air. All righty. How far are you out? Coming hot from over here, I'd say probably about five minutes. Okay. See you soon. All right. See you.</t>
  </si>
  <si>
    <t>Hey Danny, it's Vinnie. Hey. Hey, I got a trauma for rainbows. Okay, what's going on? 11 year old pedestrian struck in a parking lot, approximately 20 miles per hour. She was rolled up on the hood and was thrown about 10 feet. Clinging of pain to the right leg, also pain to the chin where she struck on the pavement. No loss of consciousness reported. We have a C-Cower on the abrasions where her injuries are relatively mild. There's no major deformities to the right knee where her pain is, but she's got an abrasion there and there's some pain with manipulation as well. Otherwise she's work and oriented. Her vitals are okay. I have dad with us right then and that's pretty much it. I'm going to think about a line here shortly, but vitals are great. Okay. 122 over 76. [REDACTED] showing a sign of stax. She's 100% on room air. All righty. How far are you out? Coming hot from over here, I'd say probably about five minutes. Okay. See you soon. All right. See you.</t>
  </si>
  <si>
    <t>Hey Danny, it's Vinnie. Hey. Hey, I got a trauma for rainbows. Okay, what's going on? 11 year old pedestrian struck in a parking lot, approximately 20 miles per hour. She was rolled up on the hood and was thrown about 10 feet. Clinging of pain to the right leg, also pain to the chin where she struck on the pavement. No loss of consciousness reported. We have a C-Cower on the abrasions where her injuries are relatively mild. There's no major deformities to the right knee where her pain is, but she's got an abrasion there and there's some pain with manipulation as well. Otherwise she's work and oriented. Her vitals are okay. I have dad with us right then and that's pretty much it. I'm going to think about a line here shortly, but vitals are great. Okay. [REDACTED]. Heart rate of 110 showing a sign of stax. She's 100% on room air. All righty. How far are you out? Coming hot from over here, I'd say probably about five minutes. Okay. See you soon. All right. See you.</t>
  </si>
  <si>
    <t>Hey Danny, it's Vinnie. Hey. Hey, I got a trauma for rainbows. Okay, what's going on? 11 year old pedestrian struck in a parking lot, approximately 20 miles per hour. She was rolled up on the hood and was thrown about 10 feet. Clinging of pain to the right leg, also pain to the chin where she struck on the pavement. No loss of consciousness reported. We have a C-Cower on the abrasions where her injuries are relatively mild. There's no major deformities to the right knee where her pain is, but she's got an abrasion there and there's some pain with manipulation as well. Otherwise she's work and [REDACTED]. Her vitals are okay. I have dad with us right then and that's pretty much it. I'm going to think about a line here shortly, but vitals are great. Okay. 122 over 76. Heart rate of 110 showing a sign of stax. She's 100% on room air. All righty. How far are you out? Coming hot from over here, I'd say probably about five minutes. Okay. See you soon. All right. See you.</t>
  </si>
  <si>
    <t>UH today. Hey Dave, what's up man? This is Cleveland 13 coming at you with a 14 year old male, GSW to the right arm, like a graze. He'll need some stitches, he's ambulatory, no other injuries. So is it above or below the elbow? It's like right at the elbow. All right, this is probably going to be, even though it's a graze, it might be a trauma for them. So let me give them a call. What's the vitals so they can give them? 132 over 76, pulse rate of 104, respires 18, 100% room error, no history, no meds, no allergies. Okay, what's the ETA? Five. All right, copy, thank you. All right, later Dave.</t>
  </si>
  <si>
    <t>L2, 14 y/o, Vitals(132/76, 104, 18), GCS: , MOI (GSW to right arm, graze), ETA: 5</t>
  </si>
  <si>
    <t>14 year-old male gunshot wound to right arm, grays. Ambulatory. Right at the elbow. 132/76, rate 104, respirations 18, 100% room air.</t>
  </si>
  <si>
    <t>GSW to right arm</t>
  </si>
  <si>
    <t>The transcript mentions a gunshot wound (GSW) to the right arm.</t>
  </si>
  <si>
    <t>['14 year old male']</t>
  </si>
  <si>
    <t>['pulse rate of 104']</t>
  </si>
  <si>
    <t>['132 over 76']</t>
  </si>
  <si>
    <t>['respires 18']</t>
  </si>
  <si>
    <t>UH today. Hey Dave, what's up man? This is Cleveland 13 coming at you with a [REDACTED], GSW to the right arm, like a graze. He'll need some stitches, he's ambulatory, no other injuries. So is it above or below the elbow? It's like right at the elbow. All right, this is probably going to be, even though it's a graze, it might be a trauma for them. So let me give them a call. What's the vitals so they can give them? 132 over 76, pulse rate of 104, respires 18, 100% room error, no history, no meds, no allergies. Okay, what's the ETA? Five. All right, copy, thank you. All right, later Dave.</t>
  </si>
  <si>
    <t>UH today. Hey Dave, what's up man? This is Cleveland 13 coming at you with a 14 year old male, GSW to the right arm, like a graze. He'll need some stitches, he's ambulatory, no other injuries. So is it above or below the elbow? It's like right at the elbow. All right, this is probably going to be, even though it's a graze, it might be a trauma for them. So let me give them a call. What's the vitals so they can give them? 132 over 76, [REDACTED], respires 18, 100% room error, no history, no meds, no allergies. Okay, what's the ETA? Five. All right, copy, thank you. All right, later Dave.</t>
  </si>
  <si>
    <t>UH today. Hey Dave, what's up man? This is Cleveland 13 coming at you with a 14 year old male, GSW to the right arm, like a graze. He'll need some stitches, he's ambulatory, no other injuries. So is it above or below the elbow? It's like right at the elbow. All right, this is probably going to be, even though it's a graze, it might be a trauma for them. So let me give them a call. What's the vitals so they can give them? [REDACTED], pulse rate of 104, respires 18, 100% room error, no history, no meds, no allergies. Okay, what's the ETA? Five. All right, copy, thank you. All right, later Dave.</t>
  </si>
  <si>
    <t>UH today. Hey Dave, what's up man? This is Cleveland 13 coming at you with a 14 year old male, GSW to the right arm, like a graze. He'll need some stitches, he's ambulatory, no other injuries. So is it above or below the elbow? It's like right at the elbow. All right, this is probably going to be, even though it's a graze, it might be a trauma for them. So let me give them a call. What's the vitals so they can give them? 132 over 76, pulse rate of 104, [REDACTED], 100% room error, no history, no meds, no allergies. Okay, what's the ETA? Five. All right, copy, thank you. All right, later Dave.</t>
  </si>
  <si>
    <t>You got your card. How you doing? This is Cleveland Medican. How you doing? I'm bringing you a 13-year-old female. She's playing GSW. One to lower back and one to the left arm. One to the left arm. Back is not bleeding at this time. As of right now, she's in no time for her. All the vital signs are safe. We should be here within five minutes. Any other questions? Where on the arm? Lower arm. Lower left arm. Okay. Sounds good to see you soon. Yep. Bye.</t>
  </si>
  <si>
    <t>13-year-old female, gunshot wound to lower back and left arm. Vitals are safe. Lower left arm. Back is not bleeding at this time.</t>
  </si>
  <si>
    <t>GSW to lower back and left arm</t>
  </si>
  <si>
    <t>The transcript mentions a 13-year-old female with gunshot wounds to the lower back and left arm.</t>
  </si>
  <si>
    <t>['13-year-old female']</t>
  </si>
  <si>
    <t>['GSW', 'One to lower back and one to the left arm']</t>
  </si>
  <si>
    <t>You got your card. How you doing? This is Cleveland Medican. How you doing? I'm bringing you a [REDACTED]. She's playing GSW. One to lower back and one to the left arm. One to the left arm. Back is not bleeding at this time. As of right now, she's in no time for her. All the vital signs are safe. We should be here within five minutes. Any other questions? Where on the arm? Lower arm. Lower left arm. Okay. Sounds good to see you soon. Yep. Bye.</t>
  </si>
  <si>
    <t>You got your card. How you doing? This is Cleveland Medican. How you doing? I'm bringing you a 13-year-old female. She's playing [REDACTED]. [REDACTED]. One to the left arm. Back is not bleeding at this time. As of right now, she's in no time for her. All the vital signs are safe. We should be here within five minutes. Any other questions? Where on the arm? Lower arm. Lower left arm. Okay. Sounds good to see you soon. Yep. Bye.</t>
  </si>
  <si>
    <t>You age. Hey, Cleveland. Okay. Hi, I'm bringing you a 24 year old female who was involved in a rollover MVA. The car rolled about once. No LOC, no obvious injuries. We got a C collar on her and IV in the left AC. Blood pressure is 122 over 72. And then she also had her kid in the car who was a four year old female. No obvious injuries. We got a C collar on her too. Blood pressure is 121 over 84. Pulse is 130. We'll see in about five minutes. You said four year old female, brother. Is Cleveland both restrained at all? Were you both wearing your seat belts, correct? Yes. Yes, both in seat belts. I know they're going to ask me how fast did she think she was going. How fast do you think you were going, ma'am? About 35. All right, brother, man. See anybody else coming from any other cars or anything like that? Should be a no. All right, brother. We'll talk to you in a bit. Okay, bye.</t>
  </si>
  <si>
    <t>24-year-old female involved in rollover MVA, car rolled once. No LOC/obvious injuries. See collar. Blood pressure 122/72. Pulse 130. Seatbelt. 35 mph.</t>
  </si>
  <si>
    <t>Rollover MVA</t>
  </si>
  <si>
    <t>The transcript mentions a "24 year old female who was involved in a rollover MVA" and "the car rolled about once."</t>
  </si>
  <si>
    <t>['Pulse is 130']</t>
  </si>
  <si>
    <t>['rollover MVA', 'The car rolled about once']</t>
  </si>
  <si>
    <t>You age. Hey, Cleveland. Okay. Hi, I'm bringing you a 24 year old female who was involved in a rollover MVA. The car rolled about once. No LOC, no obvious injuries. We got a C collar on her and IV in the left AC. Blood pressure is 122 over 72. And then she also had her kid in the car who was a four year old female. No obvious injuries. We got a C collar on her too. Blood pressure is 121 over 84. [REDACTED]. We'll see in about five minutes. You said four year old female, brother. Is Cleveland both restrained at all? Were you both wearing your seat belts, correct? Yes. Yes, both in seat belts. I know they're going to ask me how fast did she think she was going. How fast do you think you were going, ma'am? About 35. All right, brother, man. See anybody else coming from any other cars or anything like that? Should be a no. All right, brother. We'll talk to you in a bit. Okay, bye.</t>
  </si>
  <si>
    <t>You age. Hey, Cleveland. Okay. Hi, I'm bringing you a 24 year old female who was involved in a [REDACTED]. [REDACTED]. No LOC, no obvious injuries. We got a C collar on her and IV in the left AC. Blood pressure is 122 over 72. And then she also had her kid in the car who was a four year old female. No obvious injuries. We got a C collar on her too. Blood pressure is 121 over 84. Pulse is 130. We'll see in about five minutes. You said four year old female, brother. Is Cleveland both restrained at all? Were you both wearing your seat belts, correct? Yes. Yes, both in seat belts. I know they're going to ask me how fast did she think she was going. How fast do you think you were going, ma'am? About 35. All right, brother, man. See anybody else coming from any other cars or anything like that? Should be a no. All right, brother. We'll talk to you in a bit. Okay, bye.</t>
  </si>
  <si>
    <t>Hey, this is Cleveland 36 with a trauma. We have a three male that fell from a two-story building, his apartment, apparently through a two-story building. It was not witnessed. He was laying on the concrete at the bottom. He appears to be, he's alert, just crying. He is autistic, so he's nonverbal. We do have a blood pressure of 130 over 87, heart rate's 110, and he was 99% on room air, lungs are clear and equal. Doesn't appear to have any fractures that we note. Possibly maybe the left leg, it looks like it might be a little bit shorter than the right, but that's questionable. And we have an ETH, you guys, probably about seven or eight minutes. All right, you said about him being nonverbal. You're saying? That's his normal condition or? He's autistic. Oh, okay, gotcha. Yeah. All right. ATA? Probably about seven or eight minutes. All right, thanks. All right, thanks, bye-bye. All right.</t>
  </si>
  <si>
    <t>Three-year-old male fell from two story building, not witnessed. Concrete at the bottom. Appears alert, crying. Autistic nonverbal. Blood pressure 130/87, heart rate 110, 99% oxygen. Left leg might be a little bit shorter than right, but questionable.</t>
  </si>
  <si>
    <t>Fall from a two-story building</t>
  </si>
  <si>
    <t>The transcript describes a male who fell from a two-story building.</t>
  </si>
  <si>
    <t>['three male']</t>
  </si>
  <si>
    <t>["heart rate's 110"]</t>
  </si>
  <si>
    <t>['blood pressure of 130 over 87']</t>
  </si>
  <si>
    <t>['fell from a two-story building', 'fell from a two-story building, his apartment', 'laying on the concrete at the bottom']</t>
  </si>
  <si>
    <t>Hey, this is Cleveland 36 with a trauma. We have a [REDACTED] that fell from a two-story building, his apartment, apparently through a two-story building. It was not witnessed. He was laying on the concrete at the bottom. He appears to be, he's alert, just crying. He is autistic, so he's nonverbal. We do have a blood pressure of 130 over 87, heart rate's 110, and he was 99% on room air, lungs are clear and equal. Doesn't appear to have any fractures that we note. Possibly maybe the left leg, it looks like it might be a little bit shorter than the right, but that's questionable. And we have an ETH, you guys, probably about seven or eight minutes. All right, you said about him being nonverbal. You're saying? That's his normal condition or? He's autistic. Oh, okay, gotcha. Yeah. All right. ATA? Probably about seven or eight minutes. All right, thanks. All right, thanks, bye-bye. All right.</t>
  </si>
  <si>
    <t>Hey, this is Cleveland 36 with a trauma. We have a three male that fell from a two-story building, his apartment, apparently through a two-story building. It was not witnessed. He was laying on the concrete at the bottom. He appears to be, he's alert, just crying. He is autistic, so he's nonverbal. We do have a blood pressure of 130 over 87, [REDACTED], and he was 99% on room air, lungs are clear and equal. Doesn't appear to have any fractures that we note. Possibly maybe the left leg, it looks like it might be a little bit shorter than the right, but that's questionable. And we have an ETH, you guys, probably about seven or eight minutes. All right, you said about him being nonverbal. You're saying? That's his normal condition or? He's autistic. Oh, okay, gotcha. Yeah. All right. ATA? Probably about seven or eight minutes. All right, thanks. All right, thanks, bye-bye. All right.</t>
  </si>
  <si>
    <t>Hey, this is Cleveland 36 with a trauma. We have a three male that fell from a two-story building, his apartment, apparently through a two-story building. It was not witnessed. He was laying on the concrete at the bottom. He appears to be, he's alert, just crying. He is autistic, so he's nonverbal. We do have a [REDACTED], heart rate's 110, and he was 99% on room air, lungs are clear and equal. Doesn't appear to have any fractures that we note. Possibly maybe the left leg, it looks like it might be a little bit shorter than the right, but that's questionable. And we have an ETH, you guys, probably about seven or eight minutes. All right, you said about him being nonverbal. You're saying? That's his normal condition or? He's autistic. Oh, okay, gotcha. Yeah. All right. ATA? Probably about seven or eight minutes. All right, thanks. All right, thanks, bye-bye. All right.</t>
  </si>
  <si>
    <t>You ate a US 31. Hey, gotta unique offer. It's a 12 year old male. He was involved in a car versus pole. He was 10 in between. He stated that they was doing donuts and he jumped out the car and the car hit the pole and he was pinned in between the pole. He don't know how far fast it was going. He said they was going pretty fast upon impact. He didn't confirm that he blacked out briefly. He got a nice black to his ear and side of the head. No other injuries are noted. He is awake alert right now. It is 15 pressure 144 over 88. Part rate 116 that 99% of room there. Have a ETA about 10 minutes here. I mean, did a buyer have to? They just pulled the car back because the driver fled the scene prior to arrival. They did say he was pinned. When they arrived prior to be for us. So they just pulled the car back and then he was gone. So he was. And which way he was right? I know. So he was in a driver's seat. You've been a driver. See my man or the back seat passenger and he was a giant of worry in a driver's seat or the back seat. Passengers see and then your door was open and you fill out when you get when it was going into the post. Alright, so drivers passenger seat on. On the driver side up front door open, tried to get out because he said he didn't know who his cool car he was in. And at that time that's when he collided with the pole and somehow he was ejected out and pinned in between the pole unknown speed and then again with a somewhat of a positive LST said he blacked out for a second. You OK, what do I? What do you want me to know? If anything, I'll do it at the limited. Just press the button and then you'll see the car. OK. Just based off the MRI. OK, and then they can kind of figure her down very if they need to. OK, I'm sorry it's very good. Wait, this is very neat. No, you're totally fine. Alright, so like 8 minutes out. Yeah, thank you. I think so.</t>
  </si>
  <si>
    <t>12 year-old male car versus Paul. Unknown LOC. Laceration to ear inside of head. Awake, alert. Pressure 144/88 heart rate 116, 99% oxygen. Somehow ejected out and pinned in between pole and car.</t>
  </si>
  <si>
    <t>Car versus pole</t>
  </si>
  <si>
    <t>The transcript describes a 12-year-old male involved in a car versus pole incident where he was pinned between the car and the pole.</t>
  </si>
  <si>
    <t>['Part rate 116']</t>
  </si>
  <si>
    <t>['pressure 144 over 88']</t>
  </si>
  <si>
    <t>['He is awake alert right now', 'he blacked out briefly', 'somewhat of a positive LST said he blacked out for a second']</t>
  </si>
  <si>
    <t>You ate a US 31. Hey, gotta unique offer. It's a [REDACTED]. He was involved in a car versus pole. He was 10 in between. He stated that they was doing donuts and he jumped out the car and the car hit the pole and he was pinned in between the pole. He don't know how far fast it was going. He said they was going pretty fast upon impact. He didn't confirm that he blacked out briefly. He got a nice black to his ear and side of the head. No other injuries are noted. He is awake alert right now. It is 15 pressure 144 over 88. Part rate 116 that 99% of room there. Have a ETA about 10 minutes here. I mean, did a buyer have to? They just pulled the car back because the driver fled the scene prior to arrival. They did say he was pinned. When they arrived prior to be for us. So they just pulled the car back and then he was gone. So he was. And which way he was right? I know. So he was in a driver's seat. You've been a driver. See my man or the back seat passenger and he was a giant of worry in a driver's seat or the back seat. Passengers see and then your door was open and you fill out when you get when it was going into the post. Alright, so drivers passenger seat on. On the driver side up front door open, tried to get out because he said he didn't know who his cool car he was in. And at that time that's when he collided with the pole and somehow he was ejected out and pinned in between the pole unknown speed and then again with a somewhat of a positive LST said he blacked out for a second. You OK, what do I? What do you want me to know? If anything, I'll do it at the limited. Just press the button and then you'll see the car. OK. Just based off the MRI. OK, and then they can kind of figure her down very if they need to. OK, I'm sorry it's very good. Wait, this is very neat. No, you're totally fine. Alright, so like 8 minutes out. Yeah, thank you. I think so.</t>
  </si>
  <si>
    <t>You ate a US 31. Hey, gotta unique offer. It's a 12 year old male. He was involved in a car versus pole. He was 10 in between. He stated that they was doing donuts and he jumped out the car and the car hit the pole and he was pinned in between the pole. He don't know how far fast it was going. He said they was going pretty fast upon impact. He didn't confirm that he blacked out briefly. He got a nice black to his ear and side of the head. No other injuries are noted. He is awake alert right now. It is 15 pressure 144 over 88. [REDACTED] that 99% of room there. Have a ETA about 10 minutes here. I mean, did a buyer have to? They just pulled the car back because the driver fled the scene prior to arrival. They did say he was pinned. When they arrived prior to be for us. So they just pulled the car back and then he was gone. So he was. And which way he was right? I know. So he was in a driver's seat. You've been a driver. See my man or the back seat passenger and he was a giant of worry in a driver's seat or the back seat. Passengers see and then your door was open and you fill out when you get when it was going into the post. Alright, so drivers passenger seat on. On the driver side up front door open, tried to get out because he said he didn't know who his cool car he was in. And at that time that's when he collided with the pole and somehow he was ejected out and pinned in between the pole unknown speed and then again with a somewhat of a positive LST said he blacked out for a second. You OK, what do I? What do you want me to know? If anything, I'll do it at the limited. Just press the button and then you'll see the car. OK. Just based off the MRI. OK, and then they can kind of figure her down very if they need to. OK, I'm sorry it's very good. Wait, this is very neat. No, you're totally fine. Alright, so like 8 minutes out. Yeah, thank you. I think so.</t>
  </si>
  <si>
    <t>You ate a US 31. Hey, gotta unique offer. It's a 12 year old male. He was involved in a car versus pole. He was 10 in between. He stated that they was doing donuts and he jumped out the car and the car hit the pole and he was pinned in between the pole. He don't know how far fast it was going. He said they was going pretty fast upon impact. He didn't confirm that he blacked out briefly. He got a nice black to his ear and side of the head. No other injuries are noted. He is awake alert right now. It is 15 [REDACTED]. Part rate 116 that 99% of room there. Have a ETA about 10 minutes here. I mean, did a buyer have to? They just pulled the car back because the driver fled the scene prior to arrival. They did say he was pinned. When they arrived prior to be for us. So they just pulled the car back and then he was gone. So he was. And which way he was right? I know. So he was in a driver's seat. You've been a driver. See my man or the back seat passenger and he was a giant of worry in a driver's seat or the back seat. Passengers see and then your door was open and you fill out when you get when it was going into the post. Alright, so drivers passenger seat on. On the driver side up front door open, tried to get out because he said he didn't know who his cool car he was in. And at that time that's when he collided with the pole and somehow he was ejected out and pinned in between the pole unknown speed and then again with a somewhat of a positive LST said he blacked out for a second. You OK, what do I? What do you want me to know? If anything, I'll do it at the limited. Just press the button and then you'll see the car. OK. Just based off the MRI. OK, and then they can kind of figure her down very if they need to. OK, I'm sorry it's very good. Wait, this is very neat. No, you're totally fine. Alright, so like 8 minutes out. Yeah, thank you. I think so.</t>
  </si>
  <si>
    <t>You ate a US 31. Hey, gotta unique offer. It's a 12 year old male. He was involved in a car versus pole. He was 10 in between. He stated that they was doing donuts and he jumped out the car and the car hit the pole and he was pinned in between the pole. He don't know how far fast it was going. He said they was going pretty fast upon impact. He didn't confirm that [REDACTED]. He got a nice black to his ear and side of the head. No other injuries are noted. [REDACTED]. It is 15 pressure 144 over 88. Part rate 116 that 99% of room there. Have a ETA about 10 minutes here. I mean, did a buyer have to? They just pulled the car back because the driver fled the scene prior to arrival. They did say he was pinned. When they arrived prior to be for us. So they just pulled the car back and then he was gone. So he was. And which way he was right? I know. So he was in a driver's seat. You've been a driver. See my man or the back seat passenger and he was a giant of worry in a driver's seat or the back seat. Passengers see and then your door was open and you fill out when you get when it was going into the post. Alright, so drivers passenger seat on. On the driver side up front door open, tried to get out because he said he didn't know who his cool car he was in. And at that time that's when he collided with the pole and somehow he was ejected out and pinned in between the pole unknown speed and then again with a [REDACTED]. You OK, what do I? What do you want me to know? If anything, I'll do it at the limited. Just press the button and then you'll see the car. OK. Just based off the MRI. OK, and then they can kind of figure her down very if they need to. OK, I'm sorry it's very good. Wait, this is very neat. No, you're totally fine. Alright, so like 8 minutes out. Yeah, thank you. I think so.</t>
  </si>
  <si>
    <t>Hey, it's Cleveland Medical Authority. We're in and out with a nine-year-old male. His pedestrian struck. The car was going pretty high rate of speed. There was positive LOC. Right now he's 804. He's awake. He's got some facial abrasions. He's complaining of back pain. He's also got some abrasions to his chest and abdomen. His vitals right now 108 over 72. Heart rate's 86 and 100% room air. He'll be there in like five. Okay, we'll see you then. Bye. Thanks, bye.</t>
  </si>
  <si>
    <t>Nine-year-old male pedestrian struck high rate of speed, positive LOC. Alert and oriented and awake. Facial abrasions, back pain. Abrasions to chest and abdomen. Vitals one oh 8/72 heart rate 86 100% room air.</t>
  </si>
  <si>
    <t>Pedestrian struck by car</t>
  </si>
  <si>
    <t>The transcript mentions a nine-year-old male who was struck by a car traveling at a high rate of speed.</t>
  </si>
  <si>
    <t>["Heart rate's 86"]</t>
  </si>
  <si>
    <t>Hey, it's Cleveland Medical Authority. We're in and out with a [REDACTED]. His pedestrian struck. The car was going pretty high rate of speed. There was positive LOC. Right now he's 804. He's awake. He's got some facial abrasions. He's complaining of back pain. He's also got some abrasions to his chest and abdomen. His vitals right now 108 over 72. Heart rate's 86 and 100% room air. He'll be there in like five. Okay, we'll see you then. Bye. Thanks, bye.</t>
  </si>
  <si>
    <t>Hey, it's Cleveland Medical Authority. We're in and out with a nine-year-old male. His pedestrian struck. The car was going pretty high rate of speed. There was positive LOC. Right now he's 804. He's awake. He's got some facial abrasions. He's complaining of back pain. He's also got some abrasions to his chest and abdomen. His vitals right now 108 over 72. [REDACTED] and 100% room air. He'll be there in like five. Okay, we'll see you then. Bye. Thanks, bye.</t>
  </si>
  <si>
    <t>Hello, UH. Good. Got a 16-year-old male that was involved with that NBA on Mayfield Road. Coming in right now. Vitals are stable. He keeps pretending to pass out, says he's not feeling well, even though he ran over 300, 400 yards to run away from the cops. And other than that, I really have no other information on him. He's got a knot on his forehead, and then he's saying his wrist hurts. But he took off running for 300 or 400 yards. Okay. Just give me a set of vitals real quick. They're going to ask me if he's. Yeah. BP 116, over 54, heart rate 98, SBO2. Actually, he's 16. He's going to be limited activation here on the adult side. Okay. All right. Yeah, we got him on a C collar, so other than that. All right. We'll see you in three. Yeah, we'll be there in three. Thank you. Bye.</t>
  </si>
  <si>
    <t>16-year-old MVA, vital stable. Keeps pretending to pass out says he's not feeling well, even though he ran 300 to 400 yards to run away from the cops. Not on his forehead, wrist hurts. Pressure 116/54 heart rate 98 oxygen, c collar.</t>
  </si>
  <si>
    <t>NBA on Mayfield Road</t>
  </si>
  <si>
    <t>The transcript mentions a 16-year-old male involved in an NBA (non-battle accident) on Mayfield Road.</t>
  </si>
  <si>
    <t>['16-year-old male', "he's 16"]</t>
  </si>
  <si>
    <t>['BP 116, over 54']</t>
  </si>
  <si>
    <t>['keeps pretending to pass out', "says he's not feeling well"]</t>
  </si>
  <si>
    <t>['involved with that NBA on Mayfield Road']</t>
  </si>
  <si>
    <t>Hello, UH. Good. Got a [REDACTED] that was involved with that NBA on Mayfield Road. Coming in right now. Vitals are stable. He keeps pretending to pass out, says he's not feeling well, even though he ran over 300, 400 yards to run away from the cops. And other than that, I really have no other information on him. He's got a knot on his forehead, and then he's saying his wrist hurts. But he took off running for 300 or 400 yards. Okay. Just give me a set of vitals real quick. They're going to ask me if he's. Yeah. BP 116, over 54, heart rate 98, SBO2. Actually, [REDACTED]. He's going to be limited activation here on the adult side. Okay. All right. Yeah, we got him on a C collar, so other than that. All right. We'll see you in three. Yeah, we'll be there in three. Thank you. Bye.</t>
  </si>
  <si>
    <t>Hello, UH. Good. Got a 16-year-old male that was involved with that NBA on Mayfield Road. Coming in right now. Vitals are stable. He keeps pretending to pass out, says he's not feeling well, even though he ran over 300, 400 yards to run away from the cops. And other than that, I really have no other information on him. He's got a knot on his forehead, and then he's saying his wrist hurts. But he took off running for 300 or 400 yards. Okay. Just give me a set of vitals real quick. They're going to ask me if he's. Yeah. BP 116, over 54, [REDACTED], SBO2. Actually, he's 16. He's going to be limited activation here on the adult side. Okay. All right. Yeah, we got him on a C collar, so other than that. All right. We'll see you in three. Yeah, we'll be there in three. Thank you. Bye.</t>
  </si>
  <si>
    <t>Hello, UH. Good. Got a 16-year-old male that was involved with that NBA on Mayfield Road. Coming in right now. Vitals are stable. He keeps pretending to pass out, says he's not feeling well, even though he ran over 300, 400 yards to run away from the cops. And other than that, I really have no other information on him. He's got a knot on his forehead, and then he's saying his wrist hurts. But he took off running for 300 or 400 yards. Okay. Just give me a set of vitals real quick. They're going to ask me if he's. Yeah. [REDACTED], heart rate 98, SBO2. Actually, he's 16. He's going to be limited activation here on the adult side. Okay. All right. Yeah, we got him on a C collar, so other than that. All right. We'll see you in three. Yeah, we'll be there in three. Thank you. Bye.</t>
  </si>
  <si>
    <t>Hello, UH. Good. Got a 16-year-old male that was involved with that NBA on Mayfield Road. Coming in right now. Vitals are stable. He [REDACTED], [REDACTED], even though he ran over 300, 400 yards to run away from the cops. And other than that, I really have no other information on him. He's got a knot on his forehead, and then he's saying his wrist hurts. But he took off running for 300 or 400 yards. Okay. Just give me a set of vitals real quick. They're going to ask me if he's. Yeah. BP 116, over 54, heart rate 98, SBO2. Actually, he's 16. He's going to be limited activation here on the adult side. Okay. All right. Yeah, we got him on a C collar, so other than that. All right. We'll see you in three. Yeah, we'll be there in three. Thank you. Bye.</t>
  </si>
  <si>
    <t>Hello, UH. Good. Got a 16-year-old male that was [REDACTED]. Coming in right now. Vitals are stable. He keeps pretending to pass out, says he's not feeling well, even though he ran over 300, 400 yards to run away from the cops. And other than that, I really have no other information on him. He's got a knot on his forehead, and then he's saying his wrist hurts. But he took off running for 300 or 400 yards. Okay. Just give me a set of vitals real quick. They're going to ask me if he's. Yeah. BP 116, over 54, heart rate 98, SBO2. Actually, he's 16. He's going to be limited activation here on the adult side. Okay. All right. Yeah, we got him on a C collar, so other than that. All right. We'll see you in three. Yeah, we'll be there in three. Thank you. Bye.</t>
  </si>
  <si>
    <t>UH. Hey, Ramos. This is Maple Squad 1. Maple, what do you got? I got a 13-year-old male who was jumped by an unknown amount of kids. He said he was on the ground, kicked several times in the head and chest, difficulty breathing, and increased head pain. Possibly blacked out. He's C-collared right now with the 20 gauge in the right AC. Current set of vitals is 109 heart rate, sinus on the monitor, 100% on room air, 18 respirations. Blood pressure is 135 over 81. He's only about 10 minutes. Okay. Can you see any hematomas or lacks? I got an abrasion to the right eye, and that's it. Pupils are equal and reactive. Okay. Right. No major hematomas. He's complaining of pain, a palpitation all over the chest. Okay. No deformities. All right. No deformities. A and O times four? Correct. Okay. And he doesn't know how many people he was assaulted by? No. They said when police showed up, said there was about 50 kids around him, but about three or four. He said there was a gang of kids that said they were going to beat him up today. Okay. I will let them know. Thank you. Yes, ma'am. Bye.</t>
  </si>
  <si>
    <t>13-year-old male jumped by unknown number of kids, kicked in head and chest, difficulty breathing, possible blackout, see collar. 109 heart rate 100% on room air 18 respirations pressure 135/81. Abrasion right eye. Pupils equal and reactive. No hematoma.</t>
  </si>
  <si>
    <t>Assault by multiple individuals</t>
  </si>
  <si>
    <t>The transcript describes a 13-year-old male who was jumped and kicked by an unknown number of kids.</t>
  </si>
  <si>
    <t>['109 heart rate']</t>
  </si>
  <si>
    <t>['A and O times four', 'Possibly blacked out']</t>
  </si>
  <si>
    <t>['jumped by an unknown amount of kids', 'on the ground, kicked several times in the head and chest', 'gang of kids that said they were going to beat him up today']</t>
  </si>
  <si>
    <t>UH. Hey, Ramos. This is Maple Squad 1. Maple, what do you got? I got a [REDACTED] who was jumped by an unknown amount of kids. He said he was on the ground, kicked several times in the head and chest, difficulty breathing, and increased head pain. Possibly blacked out. He's C-collared right now with the 20 gauge in the right AC. Current set of vitals is 109 heart rate, sinus on the monitor, 100% on room air, 18 respirations. Blood pressure is 135 over 81. He's only about 10 minutes. Okay. Can you see any hematomas or lacks? I got an abrasion to the right eye, and that's it. Pupils are equal and reactive. Okay. Right. No major hematomas. He's complaining of pain, a palpitation all over the chest. Okay. No deformities. All right. No deformities. A and O times four? Correct. Okay. And he doesn't know how many people he was assaulted by? No. They said when police showed up, said there was about 50 kids around him, but about three or four. He said there was a gang of kids that said they were going to beat him up today. Okay. I will let them know. Thank you. Yes, ma'am. Bye.</t>
  </si>
  <si>
    <t>UH. Hey, Ramos. This is Maple Squad 1. Maple, what do you got? I got a 13-year-old male who was jumped by an unknown amount of kids. He said he was on the ground, kicked several times in the head and chest, difficulty breathing, and increased head pain. Possibly blacked out. He's C-collared right now with the 20 gauge in the right AC. Current set of vitals is [REDACTED], sinus on the monitor, 100% on room air, 18 respirations. Blood pressure is 135 over 81. He's only about 10 minutes. Okay. Can you see any hematomas or lacks? I got an abrasion to the right eye, and that's it. Pupils are equal and reactive. Okay. Right. No major hematomas. He's complaining of pain, a palpitation all over the chest. Okay. No deformities. All right. No deformities. A and O times four? Correct. Okay. And he doesn't know how many people he was assaulted by? No. They said when police showed up, said there was about 50 kids around him, but about three or four. He said there was a gang of kids that said they were going to beat him up today. Okay. I will let them know. Thank you. Yes, ma'am. Bye.</t>
  </si>
  <si>
    <t>UH. Hey, Ramos. This is Maple Squad 1. Maple, what do you got? I got a 13-year-old male who was jumped by an unknown amount of kids. He said he was on the ground, kicked several times in the head and chest, difficulty breathing, and increased head pain. Possibly blacked out. He's C-collared right now with the 20 gauge in the right AC. Current set of vitals is 109 heart rate, sinus on the monitor, 100% on room air, [REDACTED]. Blood pressure is 135 over 81. He's only about 10 minutes. Okay. Can you see any hematomas or lacks? I got an abrasion to the right eye, and that's it. Pupils are equal and reactive. Okay. Right. No major hematomas. He's complaining of pain, a palpitation all over the chest. Okay. No deformities. All right. No deformities. A and O times four? Correct. Okay. And he doesn't know how many people he was assaulted by? No. They said when police showed up, said there was about 50 kids around him, but about three or four. He said there was a gang of kids that said they were going to beat him up today. Okay. I will let them know. Thank you. Yes, ma'am. Bye.</t>
  </si>
  <si>
    <t>UH. Hey, Ramos. This is Maple Squad 1. Maple, what do you got? I got a 13-year-old male who was jumped by an unknown amount of kids. He said he was on the ground, kicked several times in the head and chest, difficulty breathing, and increased head pain. [REDACTED]. He's C-collared right now with the 20 gauge in the right AC. Current set of vitals is 109 heart rate, sinus on the monitor, 100% on room air, 18 respirations. Blood pressure is 135 over 81. He's only about 10 minutes. Okay. Can you see any hematomas or lacks? I got an abrasion to the right eye, and that's it. Pupils are equal and reactive. Okay. Right. No major hematomas. He's complaining of pain, a palpitation all over the chest. Okay. No deformities. All right. No deformities. [REDACTED]? Correct. Okay. And he doesn't know how many people he was assaulted by? No. They said when police showed up, said there was about 50 kids around him, but about three or four. He said there was a gang of kids that said they were going to beat him up today. Okay. I will let them know. Thank you. Yes, ma'am. Bye.</t>
  </si>
  <si>
    <t>UH. Hey, Ramos. This is Maple Squad 1. Maple, what do you got? I got a 13-year-old male who was [REDACTED]. He said he was [REDACTED], difficulty breathing, and increased head pain. Possibly blacked out. He's C-collared right now with the 20 gauge in the right AC. Current set of vitals is 109 heart rate, sinus on the monitor, 100% on room air, 18 respirations. Blood pressure is 135 over 81. He's only about 10 minutes. Okay. Can you see any hematomas or lacks? I got an abrasion to the right eye, and that's it. Pupils are equal and reactive. Okay. Right. No major hematomas. He's complaining of pain, a palpitation all over the chest. Okay. No deformities. All right. No deformities. A and O times four? Correct. Okay. And he doesn't know how many people he was assaulted by? No. They said when police showed up, said there was about 50 kids around him, but about three or four. He said there was a [REDACTED]. Okay. I will let them know. Thank you. Yes, ma'am. Bye.</t>
  </si>
  <si>
    <t>Hey UH, we're calling in a trauma alert. A 14 year old male, skating rink, said he started to brace himself. Entire arm went through the glass pane. He's got a glasseration spanning about his whole bicep. We're worried about a brachial artery maybe getting caught, but we got two tourniquets on, bleeding stopped right now. Trying to get an IV in route, last blood pressure is 107 over 69, 100 pulse, 96 room air right now. He's A and O? He's A and O right now. He's kind of lethargic, so we're just trying to get him some fluids right now. And you say you got two tourniquets? Yeah, we got two tourniquets on the left bicep above the glasseration. I mean, it's a pretty good one, you can see his whole bicep. What unit is this? This is UCO 1341. Okay, ETA? All right, should be there, less than 10. All right, thanks. Bye. Bye.</t>
  </si>
  <si>
    <t>14 year-old male ice-skating entire arm went through the glass pain. Laceration spanning entire bicep, worried about regular artery. Two tourniquets on, bleeding stopped. Pressure 107/69, 100 pulse, 96 room air. Alert and oriented, lethargic.</t>
  </si>
  <si>
    <t>Arm went through glass pane at skating rink</t>
  </si>
  <si>
    <t>The transcript describes the patient bracing himself and his arm going through a glass pane, causing a significant laceration.</t>
  </si>
  <si>
    <t>['100 pulse']</t>
  </si>
  <si>
    <t>['last blood pressure is 107 over 69']</t>
  </si>
  <si>
    <t>["He's A and O", "He's A and O right now", "He's kind of lethargic"]</t>
  </si>
  <si>
    <t>Hey UH, we're calling in a trauma alert. A [REDACTED], skating rink, said he started to brace himself. Entire arm went through the glass pane. He's got a glasseration spanning about his whole bicep. We're worried about a brachial artery maybe getting caught, but we got two tourniquets on, bleeding stopped right now. Trying to get an IV in route, last blood pressure is 107 over 69, 100 pulse, 96 room air right now. He's A and O? He's A and O right now. He's kind of lethargic, so we're just trying to get him some fluids right now. And you say you got two tourniquets? Yeah, we got two tourniquets on the left bicep above the glasseration. I mean, it's a pretty good one, you can see his whole bicep. What unit is this? This is UCO 1341. Okay, ETA? All right, should be there, less than 10. All right, thanks. Bye. Bye.</t>
  </si>
  <si>
    <t>Hey UH, we're calling in a trauma alert. A 14 year old male, skating rink, said he started to brace himself. Entire arm went through the glass pane. He's got a glasseration spanning about his whole bicep. We're worried about a brachial artery maybe getting caught, but we got two tourniquets on, bleeding stopped right now. Trying to get an IV in route, last blood pressure is 107 over 69, [REDACTED], 96 room air right now. He's A and O? He's A and O right now. He's kind of lethargic, so we're just trying to get him some fluids right now. And you say you got two tourniquets? Yeah, we got two tourniquets on the left bicep above the glasseration. I mean, it's a pretty good one, you can see his whole bicep. What unit is this? This is UCO 1341. Okay, ETA? All right, should be there, less than 10. All right, thanks. Bye. Bye.</t>
  </si>
  <si>
    <t>Hey UH, we're calling in a trauma alert. A 14 year old male, skating rink, said he started to brace himself. Entire arm went through the glass pane. He's got a glasseration spanning about his whole bicep. We're worried about a brachial artery maybe getting caught, but we got two tourniquets on, bleeding stopped right now. Trying to get an IV in route, [REDACTED], 100 pulse, 96 room air right now. He's A and O? He's A and O right now. He's kind of lethargic, so we're just trying to get him some fluids right now. And you say you got two tourniquets? Yeah, we got two tourniquets on the left bicep above the glasseration. I mean, it's a pretty good one, you can see his whole bicep. What unit is this? This is UCO 1341. Okay, ETA? All right, should be there, less than 10. All right, thanks. Bye. Bye.</t>
  </si>
  <si>
    <t>University. Hey, this is Blake. I'm sorry. Cleveland Medic 1 calling for a report. Go ahead. So I have four juveniles. They're all alert and oriented. ABCs intact, skin warm and dry. Accident on 77 South. The 10-year-old male having wrist pain, a little bit swollen, still able to move it. NSPs are intact. I have a 13-year-old male with mouth pain, some dry blood on his lip. He's able to talk, breathing, all that good stuff. 17-year-old female, left foot abrasion, and a 17-year-old male with right upper leg pain and all ambulating. Again, ABCs intact, skin warm and dry. GCS of 15 all around. And vitals are all stable at this time. And we're about 10 minutes out. What did the car look like? What happened? There was moderate damage. Yeah, heavy to moderate. They were all restrained, no loss of consciousness. Airbags were deployed. Okay. And not like trauma criteria, though? No, no, no. Yep, and we'll be there in about 10. Okay, I appreciate it. Thank you, guys. All right. Thank you. Bye-bye. Thank you. Bye-bye. Thank you. Bye-bye. Thank you. Bye-bye. Bye-bye.</t>
  </si>
  <si>
    <t>10 year-old male wrist pain swollen pulse sensory motor intact. 13 year-old male mouth pain dry blood. 17 year-old female left foot abrasion. 17 year-old male right upper leg pain. GCS 15 all around. Vitals all stable. Airbags deployed.</t>
  </si>
  <si>
    <t>Accident on 77 South</t>
  </si>
  <si>
    <t>The transcript mentions an "accident on 77 South" involving four juveniles, indicating a vehicular accident.</t>
  </si>
  <si>
    <t>['10-year-old male', '13-year-old male', '17-year-old female', '17-year-old male']</t>
  </si>
  <si>
    <t>["they're all alert and oriented"]</t>
  </si>
  <si>
    <t>['Accident on 77 South', 'moderate damage', 'heavy to moderate', 'They were all restrained', 'Airbags were deployed']</t>
  </si>
  <si>
    <t>University. Hey, this is Blake. I'm sorry. Cleveland Medic 1 calling for a report. Go ahead. So I have four juveniles. They're all alert and oriented. ABCs intact, skin warm and dry. Accident on 77 South. The [REDACTED] having wrist pain, a little bit swollen, still able to move it. NSPs are intact. I have a [REDACTED] with mouth pain, some dry blood on his lip. He's able to talk, breathing, all that good stuff. [REDACTED], left foot abrasion, and a [REDACTED] with right upper leg pain and all ambulating. Again, ABCs intact, skin warm and dry. GCS of 15 all around. And vitals are all stable at this time. And we're about 10 minutes out. What did the car look like? What happened? There was moderate damage. Yeah, heavy to moderate. They were all restrained, no loss of consciousness. Airbags were deployed. Okay. And not like trauma criteria, though? No, no, no. Yep, and we'll be there in about 10. Okay, I appreciate it. Thank you, guys. All right. Thank you. Bye-bye. Thank you. Bye-bye. Thank you. Bye-bye. Thank you. Bye-bye. Bye-bye.</t>
  </si>
  <si>
    <t>University. Hey, this is Blake. I'm sorry. Cleveland Medic 1 calling for a report. Go ahead. So I have four juveniles. They're all alert and oriented. ABCs intact, skin warm and dry. [REDACTED]. The 10-year-old male having wrist pain, a little bit swollen, still able to move it. NSPs are intact. I have a 13-year-old male with mouth pain, some dry blood on his lip. He's able to talk, breathing, all that good stuff. 17-year-old female, left foot abrasion, and a 17-year-old male with right upper leg pain and all ambulating. Again, ABCs intact, skin warm and dry. GCS of 15 all around. And vitals are all stable at this time. And we're about 10 minutes out. What did the car look like? What happened? There was [REDACTED]. Yeah, [REDACTED]. [REDACTED], no loss of consciousness. [REDACTED]. Okay. And not like trauma criteria, though? No, no, no. Yep, and we'll be there in about 10. Okay, I appreciate it. Thank you, guys. All right. Thank you. Bye-bye. Thank you. Bye-bye. Thank you. Bye-bye. Thank you. Bye-bye. Bye-bye.</t>
  </si>
  <si>
    <t>UH. Hey, what's going on? Cleveland 36 calling for rainbows. Alrighty. Alright, so a nine year old male pedestrian struck. He's hit at about 30 to 35 miles an hour. Kind of sounds like the car knocked him over onto the ground and then ran over his left leg. It is splinted, it is wrapped, beatings controlled. It was already wrapped before or prior to arrival, so I couldn't tell any deformity or anything like that. But he's got good MSPs in the extremity. We have him see colorist precautionary. He is a no-for-GCS-15 age appropriate. We have IV access established. Last one pressure 122 over 94. Heart rate 116. 97% room air. He's handling the pain okay and will be to you guys in about five to seven. Five to seven. Okay, you said a GCS-15. Yeah, GCS-15. Now, per people on scene, it said he may or may not have been drugged by the vehicle. Or underneath the vehicle. But he denied any lost consciousness. He remembers the entire event. And there's no other outward signs of trauma besides his leg. Just a leg trauma. Okay. Okay, that sounds good. Thank you. All right, see you in a bit. Bye. Bye.</t>
  </si>
  <si>
    <t>Nine-year-old male pedestrian struck 30 to 35 miles an hour. Car knocked him over ran over left leg. Splint wrapped bleeding controlled. GCS 15. Pressure 122/94 heart rate one 1697% room air. Leg trauma.</t>
  </si>
  <si>
    <t>The transcript describes a nine-year-old male pedestrian being hit by a car at 30 to 35 mph and possibly being dragged.</t>
  </si>
  <si>
    <t>['nine year old male']</t>
  </si>
  <si>
    <t>['Heart rate 116']</t>
  </si>
  <si>
    <t>['pedestrian struck', 'hit at about 30 to 35 miles an hour', 'car knocked him over onto the ground', 'ran over his left leg', 'may or may not have been drugged by the vehicle', 'underneath the vehicle']</t>
  </si>
  <si>
    <t>UH. Hey, what's going on? Cleveland 36 calling for rainbows. Alrighty. Alright, so a [REDACTED] pedestrian struck. He's hit at about 30 to 35 miles an hour. Kind of sounds like the car knocked him over onto the ground and then ran over his left leg. It is splinted, it is wrapped, beatings controlled. It was already wrapped before or prior to arrival, so I couldn't tell any deformity or anything like that. But he's got good MSPs in the extremity. We have him see colorist precautionary. He is a no-for-GCS-15 age appropriate. We have IV access established. Last one pressure 122 over 94. Heart rate 116. 97% room air. He's handling the pain okay and will be to you guys in about five to seven. Five to seven. Okay, you said a GCS-15. Yeah, GCS-15. Now, per people on scene, it said he may or may not have been drugged by the vehicle. Or underneath the vehicle. But he denied any lost consciousness. He remembers the entire event. And there's no other outward signs of trauma besides his leg. Just a leg trauma. Okay. Okay, that sounds good. Thank you. All right, see you in a bit. Bye. Bye.</t>
  </si>
  <si>
    <t>UH. Hey, what's going on? Cleveland 36 calling for rainbows. Alrighty. Alright, so a nine year old male pedestrian struck. He's hit at about 30 to 35 miles an hour. Kind of sounds like the car knocked him over onto the ground and then ran over his left leg. It is splinted, it is wrapped, beatings controlled. It was already wrapped before or prior to arrival, so I couldn't tell any deformity or anything like that. But he's got good MSPs in the extremity. We have him see colorist precautionary. He is a no-for-GCS-15 age appropriate. We have IV access established. Last one pressure 122 over 94. [REDACTED]. 97% room air. He's handling the pain okay and will be to you guys in about five to seven. Five to seven. Okay, you said a GCS-15. Yeah, GCS-15. Now, per people on scene, it said he may or may not have been drugged by the vehicle. Or underneath the vehicle. But he denied any lost consciousness. He remembers the entire event. And there's no other outward signs of trauma besides his leg. Just a leg trauma. Okay. Okay, that sounds good. Thank you. All right, see you in a bit. Bye. Bye.</t>
  </si>
  <si>
    <t>UH. Hey, what's going on? Cleveland 36 calling for rainbows. Alrighty. Alright, so a nine year old male [REDACTED]. He's [REDACTED]. Kind of sounds like the [REDACTED] and then [REDACTED]. It is splinted, it is wrapped, beatings controlled. It was already wrapped before or prior to arrival, so I couldn't tell any deformity or anything like that. But he's got good MSPs in the extremity. We have him see colorist precautionary. He is a no-for-GCS-15 age appropriate. We have IV access established. Last one pressure 122 over 94. Heart rate 116. 97% room air. He's handling the pain okay and will be to you guys in about five to seven. Five to seven. Okay, you said a GCS-15. Yeah, GCS-15. Now, per people on scene, it said he [REDACTED]. Or [REDACTED]. But he denied any lost consciousness. He remembers the entire event. And there's no other outward signs of trauma besides his leg. Just a leg trauma. Okay. Okay, that sounds good. Thank you. All right, see you in a bit. Bye. Bye.</t>
  </si>
  <si>
    <t>UH. Hey, this is Cleveland Medi-10. Go ahead, 10. We're bringing you a 14, 4-year-old male that has a GSW to the left upper arm. Actually, he's 15. Never mind, sorry, 15. 1-5. 1-5, okay, upper arm. Go ahead. There is not an exit wound. The bleeding is controlled just with gauze and a pad here. His vitals are stable, so his heart rate is 66, normal sinus rhythm on a four lead, 116 over 71 is his pressure, 16 respires, 99% on room air. He has an IV in the right AC, and we'll be with you guys in about seven minutes. Seven minutes. Thank you. I'll let him know. Thank you.</t>
  </si>
  <si>
    <t>L2, 15 y/o, Vitals(116/71, 66, 16), GCS: , MOI (GSW to left upper arm), ETA: 7 minutes</t>
  </si>
  <si>
    <t>14 year-old male gunshot wound left upper arm no exit wound bleeding controlled with gauze, vitals are stable, heart rate 66, 116/71, 16 respirations, 99%. Air</t>
  </si>
  <si>
    <t>GSW to the left upper arm</t>
  </si>
  <si>
    <t>The transcript clearly states the patient has a "GSW to the left upper arm."</t>
  </si>
  <si>
    <t>['4-year-old male', '15', '1-5', '1-5']</t>
  </si>
  <si>
    <t>['heart rate is 66']</t>
  </si>
  <si>
    <t>['116 over 71 is his pressure']</t>
  </si>
  <si>
    <t>['16 respires']</t>
  </si>
  <si>
    <t>['GSW to the left upper arm']</t>
  </si>
  <si>
    <t>UH. Hey, this is Cleveland Medi-10. Go ahead, 10. We're bringing you a 14, [REDACTED] that has a GSW to the left upper arm. Actually, he's [REDACTED]. Never mind, sorry, [REDACTED]. [REDACTED]. [REDACTED], okay, upper arm. Go ahead. There is not an exit wound. The bleeding is controlled just with gauze and a pad here. His vitals are stable, so his heart rate is 66, normal sinus rhythm on a four lead, 116 over 71 is his pressure, 16 respires, 99% on room air. He has an IV in the right AC, and we'll be with you guys in about seven minutes. Seven minutes. Thank you. I'll let him know. Thank you.</t>
  </si>
  <si>
    <t>UH. Hey, this is Cleveland Medi-10. Go ahead, 10. We're bringing you a 14, 4-year-old male that has a GSW to the left upper arm. Actually, he's 15. Never mind, sorry, 15. 1-5. 1-5, okay, upper arm. Go ahead. There is not an exit wound. The bleeding is controlled just with gauze and a pad here. His vitals are stable, so his [REDACTED], normal sinus rhythm on a four lead, 116 over 71 is his pressure, 16 respires, 99% on room air. He has an IV in the right AC, and we'll be with you guys in about seven minutes. Seven minutes. Thank you. I'll let him know. Thank you.</t>
  </si>
  <si>
    <t>UH. Hey, this is Cleveland Medi-10. Go ahead, 10. We're bringing you a 14, 4-year-old male that has a GSW to the left upper arm. Actually, he's 15. Never mind, sorry, 15. 1-5. 1-5, okay, upper arm. Go ahead. There is not an exit wound. The bleeding is controlled just with gauze and a pad here. His vitals are stable, so his heart rate is 66, normal sinus rhythm on a four lead, [REDACTED], 16 respires, 99% on room air. He has an IV in the right AC, and we'll be with you guys in about seven minutes. Seven minutes. Thank you. I'll let him know. Thank you.</t>
  </si>
  <si>
    <t>UH. Hey, this is Cleveland Medi-10. Go ahead, 10. We're bringing you a 14, 4-year-old male that has a GSW to the left upper arm. Actually, he's 15. Never mind, sorry, 15. 1-5. 1-5, okay, upper arm. Go ahead. There is not an exit wound. The bleeding is controlled just with gauze and a pad here. His vitals are stable, so his heart rate is 66, normal sinus rhythm on a four lead, 116 over 71 is his pressure, [REDACTED], 99% on room air. He has an IV in the right AC, and we'll be with you guys in about seven minutes. Seven minutes. Thank you. I'll let him know. Thank you.</t>
  </si>
  <si>
    <t>UH. Hey, this is Cleveland Medi-10. Go ahead, 10. We're bringing you a 14, 4-year-old male that has a [REDACTED]. Actually, he's 15. Never mind, sorry, 15. 1-5. 1-5, okay, upper arm. Go ahead. There is not an exit wound. The bleeding is controlled just with gauze and a pad here. His vitals are stable, so his heart rate is 66, normal sinus rhythm on a four lead, 116 over 71 is his pressure, 16 respires, 99% on room air. He has an IV in the right AC, and we'll be with you guys in about seven minutes. Seven minutes. Thank you. I'll let him know. Thank you.</t>
  </si>
  <si>
    <t>UH. Hey, this is Cleveland 41 with a pediatric trauma. Go ahead. I have a 15, 1.5 male. He was on a bicycle and struck by a truck that knocked him off of his bike. He had no LSC. He is complaining of right side neck pain. He has a laceration to his chin and an abrasion to his right cheek. No other deformities. He was ambulatory on scene. BP is 122 over 78. Heart rate 98. Respiratory is 18. He's 98% on room air. He is in a C collar and will be there in about six minutes. Okay. Sounds good. Six minutes. Thank you.</t>
  </si>
  <si>
    <t>15-year-old male on bicycle struck by truck knocked him off his bike no LOC complaining of right side neck pain. Laceration to his chin, abrasion to his right cheek. Ambulatory. Blood pressure 122/78 heart rate 98 Respiratory 1898% on room air sea collar.</t>
  </si>
  <si>
    <t>Bicycle struck by a truck</t>
  </si>
  <si>
    <t>The transcript mentions the patient was on a bicycle and was struck by a truck.</t>
  </si>
  <si>
    <t>['15, 1.5 male']</t>
  </si>
  <si>
    <t>['Heart rate 98']</t>
  </si>
  <si>
    <t>['BP is 122 over 78']</t>
  </si>
  <si>
    <t>UH. Hey, this is Cleveland 41 with a pediatric trauma. Go ahead. I have a [REDACTED]. He was on a bicycle and struck by a truck that knocked him off of his bike. He had no LSC. He is complaining of right side neck pain. He has a laceration to his chin and an abrasion to his right cheek. No other deformities. He was ambulatory on scene. BP is 122 over 78. Heart rate 98. Respiratory is 18. He's 98% on room air. He is in a C collar and will be there in about six minutes. Okay. Sounds good. Six minutes. Thank you.</t>
  </si>
  <si>
    <t>UH. Hey, this is Cleveland 41 with a pediatric trauma. Go ahead. I have a 15, 1.5 male. He was on a bicycle and struck by a truck that knocked him off of his bike. He had no LSC. He is complaining of right side neck pain. He has a laceration to his chin and an abrasion to his right cheek. No other deformities. He was ambulatory on scene. BP is 122 over 78. [REDACTED]. Respiratory is 18. He's 98% on room air. He is in a C collar and will be there in about six minutes. Okay. Sounds good. Six minutes. Thank you.</t>
  </si>
  <si>
    <t>UH. Hey, this is Cleveland 41 with a pediatric trauma. Go ahead. I have a 15, 1.5 male. He was on a bicycle and struck by a truck that knocked him off of his bike. He had no LSC. He is complaining of right side neck pain. He has a laceration to his chin and an abrasion to his right cheek. No other deformities. He was ambulatory on scene. [REDACTED]. Heart rate 98. Respiratory is 18. He's 98% on room air. He is in a C collar and will be there in about six minutes. Okay. Sounds good. Six minutes. Thank you.</t>
  </si>
  <si>
    <t>UH. Hey, this is Cleveland 41 with a pediatric trauma. Go ahead. I have a 15, 1.5 male. He was on a bicycle and struck by a truck that knocked him off of his bike. He had no LSC. He is complaining of right side neck pain. He has a laceration to his chin and an abrasion to his right cheek. No other deformities. He was ambulatory on scene. BP is 122 over 78. Heart rate 98. [REDACTED]. He's 98% on room air. He is in a C collar and will be there in about six minutes. Okay. Sounds good. Six minutes. Thank you.</t>
  </si>
  <si>
    <t>But let me just verify. Hey, when are you paging this out? As soon as they give a call. So I just called their transfer, sent them, and they just landed. Why don't we call it out now? I have to make sure that it's not a limited versus a full based off the GCS. All I have now is just a... Okay, hey, now let me let you talk to my attendee. Sure. Yeah, hi, it's Erin Hain. Is this the quarterback? Yes. Yeah, hi, tell me what's going on. Sure, so I just got a call from the transfer. Well, my boss actually just said that they'll have a flight run. For an 11-year-old male in an MVA. The helicopter just landed on scene. Once they get in a route, they'll give a call and she's the one to get paged out to determine if it's going to be a limited or a full. But if you want me to page it, I can. However, I just have the info of an 11-year-old with a humerus fracture and a pelvic fracture. So critical care transport is going to the scene of a car accident. Yes. And they just landed on scene. Yes. Okay. And... Okay. So they don't know... And so we don't know anything yet. And we don't know when they're going to be here or whether it's going to be a full or a limited. That's affirmative. That's why I can't... I mean, I can based off your discretion, but like to have all the information and correct timing on there to get it paged out. And just giving the nurse a heads up that you guys will have a trauma inbound. Okay. And CCT will call you after they've evaluated the patient at the scene. And what more updated vitals and all of that good stuff. Wonderful. Okay. That sounds fine. Thank you. Thank you. Thank you very much. Aah. So, thank you. Thank you. Yes. Yes. I appreciate it. Thank you. Okay, thank you as well. Thank you. Thank you, IF71. Thank you. Thank you. Thank you. Okay. Bye-bye. Bye-bye. Okay. Bye. Thanks so much, flash and dash. Okay. Bye-bye. I'll stay up until mid-autumn at 9am in enter. I'll see you tomorrow. Thanks. It's nice to meet you. Thanks. Take care, everybody.</t>
  </si>
  <si>
    <t>L2, 11 y/o, Vitals(BP, HR, RR), GCS: , MOI (MVA with humerus and pelvic fracture), ETA: Unknown</t>
  </si>
  <si>
    <t>11-year-old male MBA humorous fracture pelvic fracture.</t>
  </si>
  <si>
    <t>MVA</t>
  </si>
  <si>
    <t>The transcript mentions an 11-year-old male involved in an MVA (Motor Vehicle Accident).</t>
  </si>
  <si>
    <t>['11-year-old male', '11-year-old']</t>
  </si>
  <si>
    <t>But let me just verify. Hey, when are you paging this out? As soon as they give a call. So I just called their transfer, sent them, and they just landed. Why don't we call it out now? I have to make sure that it's not a limited versus a full based off the GCS. All I have now is just a... Okay, hey, now let me let you talk to my attendee. Sure. Yeah, hi, it's Erin Hain. Is this the quarterback? Yes. Yeah, hi, tell me what's going on. Sure, so I just got a call from the transfer. Well, my boss actually just said that they'll have a flight run. For an [REDACTED] in an MVA. The helicopter just landed on scene. Once they get in a route, they'll give a call and she's the one to get paged out to determine if it's going to be a limited or a full. But if you want me to page it, I can. However, I just have the info of an [REDACTED] with a humerus fracture and a pelvic fracture. So critical care transport is going to the scene of a car accident. Yes. And they just landed on scene. Yes. Okay. And... Okay. So they don't know... And so we don't know anything yet. And we don't know when they're going to be here or whether it's going to be a full or a limited. That's affirmative. That's why I can't... I mean, I can based off your discretion, but like to have all the information and correct timing on there to get it paged out. And just giving the nurse a heads up that you guys will have a trauma inbound. Okay. And CCT will call you after they've evaluated the patient at the scene. And what more updated vitals and all of that good stuff. Wonderful. Okay. That sounds fine. Thank you. Thank you. Thank you very much. Aah. So, thank you. Thank you. Yes. Yes. I appreciate it. Thank you. Okay, thank you as well. Thank you. Thank you, IF71. Thank you. Thank you. Thank you. Okay. Bye-bye. Bye-bye. Okay. Bye. Thanks so much, flash and dash. Okay. Bye-bye. I'll stay up until mid-autumn at 9am in enter. I'll see you tomorrow. Thanks. It's nice to meet you. Thanks. Take care, everybody.</t>
  </si>
  <si>
    <t>UH. Hey UH, this is Cleveland Medics 6, County Report. Go ahead. Hey, we had a nine-year-old female, ten-year-old female, she was riding her bicycle when she was hit by a car. The car said she was thrown forward, no helmet, she's complaining of arm pain, left arm pain, abdominal pain, and she keeps repeating the same question. She doesn't remember the accident at all. Her vitals are 134 over 90, heart rate 110, rest rate 20, she's 98% on room air. We got LOC? We think LOC just because she keeps repeating it, she does not remember the accident at all. How fast was the car going? He said he was unsure, he was like, I might have been going like 30, but he said he was unsure. Gotcha. Alright, should be a trauma estimation piece. How far are you out, LeBron? He's through about eight feet. We at least ten minutes, we're like one for nine. Alright, thank you. I'll pass that. Okay, thanks, bye.</t>
  </si>
  <si>
    <t>Nine-year-old female 10-year-old female riding bike hit by car. No helmet, arm pain, abdominal pain, repeating the same questions. Doesn't remember the accident. 134/90, heart rate 110, respiratory rate 20, 98% on room air. LOC 30 mph. Thrown 8 feet.</t>
  </si>
  <si>
    <t>Bicycle hit by car</t>
  </si>
  <si>
    <t>The transcript describes a child who was riding a bicycle and was hit by a car.</t>
  </si>
  <si>
    <t>['nine-year-old female', 'ten-year-old female']</t>
  </si>
  <si>
    <t>['134 over 90']</t>
  </si>
  <si>
    <t>['rest rate 20']</t>
  </si>
  <si>
    <t>UH. Hey UH, this is Cleveland Medics 6, County Report. Go ahead. Hey, we had a [REDACTED], [REDACTED], she was riding her bicycle when she was hit by a car. The car said she was thrown forward, no helmet, she's complaining of arm pain, left arm pain, abdominal pain, and she keeps repeating the same question. She doesn't remember the accident at all. Her vitals are 134 over 90, heart rate 110, rest rate 20, she's 98% on room air. We got LOC? We think LOC just because she keeps repeating it, she does not remember the accident at all. How fast was the car going? He said he was unsure, he was like, I might have been going like 30, but he said he was unsure. Gotcha. Alright, should be a trauma estimation piece. How far are you out, LeBron? He's through about eight feet. We at least ten minutes, we're like one for nine. Alright, thank you. I'll pass that. Okay, thanks, bye.</t>
  </si>
  <si>
    <t>UH. Hey UH, this is Cleveland Medics 6, County Report. Go ahead. Hey, we had a nine-year-old female, ten-year-old female, she was riding her bicycle when she was hit by a car. The car said she was thrown forward, no helmet, she's complaining of arm pain, left arm pain, abdominal pain, and she keeps repeating the same question. She doesn't remember the accident at all. Her vitals are 134 over 90, [REDACTED], rest rate 20, she's 98% on room air. We got LOC? We think LOC just because she keeps repeating it, she does not remember the accident at all. How fast was the car going? He said he was unsure, he was like, I might have been going like 30, but he said he was unsure. Gotcha. Alright, should be a trauma estimation piece. How far are you out, LeBron? He's through about eight feet. We at least ten minutes, we're like one for nine. Alright, thank you. I'll pass that. Okay, thanks, bye.</t>
  </si>
  <si>
    <t>UH. Hey UH, this is Cleveland Medics 6, County Report. Go ahead. Hey, we had a nine-year-old female, ten-year-old female, she was riding her bicycle when she was hit by a car. The car said she was thrown forward, no helmet, she's complaining of arm pain, left arm pain, abdominal pain, and she keeps repeating the same question. She doesn't remember the accident at all. Her vitals are [REDACTED], heart rate 110, rest rate 20, she's 98% on room air. We got LOC? We think LOC just because she keeps repeating it, she does not remember the accident at all. How fast was the car going? He said he was unsure, he was like, I might have been going like 30, but he said he was unsure. Gotcha. Alright, should be a trauma estimation piece. How far are you out, LeBron? He's through about eight feet. We at least ten minutes, we're like one for nine. Alright, thank you. I'll pass that. Okay, thanks, bye.</t>
  </si>
  <si>
    <t>UH. Hey UH, this is Cleveland Medics 6, County Report. Go ahead. Hey, we had a nine-year-old female, ten-year-old female, she was riding her bicycle when she was hit by a car. The car said she was thrown forward, no helmet, she's complaining of arm pain, left arm pain, abdominal pain, and she keeps repeating the same question. She doesn't remember the accident at all. Her vitals are 134 over 90, heart rate 110, [REDACTED], she's 98% on room air. We got LOC? We think LOC just because she keeps repeating it, she does not remember the accident at all. How fast was the car going? He said he was unsure, he was like, I might have been going like 30, but he said he was unsure. Gotcha. Alright, should be a trauma estimation piece. How far are you out, LeBron? He's through about eight feet. We at least ten minutes, we're like one for nine. Alright, thank you. I'll pass that. Okay, thanks, bye.</t>
  </si>
  <si>
    <t>Hey UH, this is Whitliff. We're going to bring you a piece trauma. An 11 year old male hit by a car going roughly 20-30 miles per hour. Child is awake, alert and oriented as right now. He does not remember being hit. Witnesses say he did get knocked out, but he has no memory of it. We did have some star into the windshield with the patient's hair into the windshield. So he definitely hit his head on the windshield, rolled off under on his on his bike crossing the street. Injuries. He has left knee pain with some bruising. He has some right ankle pain with some deformity, possibly fractured. And he has a small cut on his forehead with a little bit of bleeding, but the bleeding is controlled. We have a knee collar and splinted of the left knee and right knee. We're working on IV for some pain meds right now. And we spoke to parents on the phone on scene. And they should be able to help. We will be arriving at the hospital in about 15 minutes. And we will be arriving there in about 15-20. You said 15-20. And what's your guys' squad or fire department? Wickless. Wickless. Okay. Alrighty. We'll see you soon. All right. Thanks. Bye.</t>
  </si>
  <si>
    <t>11-year-old male hit by car 20 to 30 mph. Awake alert oriented. Does not remember being hit. Knocked out. Starring windshield. Left knee pain with bruising right ankle pain with deformity small cut on forehead bleeding controlled. See collar, splint of left and right knee, meds for pain.</t>
  </si>
  <si>
    <t>The transcript states the patient is an 11-year-old male who was hit by a car going 20-30 mph.</t>
  </si>
  <si>
    <t>UH, Scarfield Squad 2, Emergent Traffic. All right. We're going to give you a nine-year-old male patient, unresponsive complaint. Child fell approximately 30 feet between steps coming out of school. Fell onto concrete floor. He's unresponsive at this time. We've been with him for about ten minutes, no movement. We give him a GCS of about four, five. He is breathing, controlling his own airway at this time. Blood pressure, we're on our third one, consistently around 130, 140 over 60. Current heart rate is 78 sinus. Respirators are between 20 and 30. Capnography is showing 35 at the time. We do have an I.O. established in the left knee. C-collar, he's immobilized. We are looking for a wound on his head. We did see a little bit of bleeding. There is some swelling to the left rear of his head as well. Pupils are fixated, non-reactive. He's unresponsive at this time. Other than that, I'll say we'll be to you guys in probably seven to ten. And you said 90 as in nine zero? Nine. Nine-year-old male. Nine-year-old male. Okay. All right. Yep. Yep. All right. We'll see you guys in, what was the ETA? Seven to ten, we'll be to you guys. All right. See you then. Bye. Bye. Bye. Bye. Bye. Bye.</t>
  </si>
  <si>
    <t>Nine year-old male unresponsive complaint, fell 30 feet between steps coming out of school onto concrete floor. Unresponsive at this time, been with him for about 10 minutes, no movement. GCS of about four or five. Controlling his own airway at this time. Pressure consistently around 130, 140/60. Heart rate 78. Respirations between 20 and 30. I owe established and left knee. Sea collar. Pupils are fixed non-reactive.</t>
  </si>
  <si>
    <t>Fall from approximately 30 feet between steps</t>
  </si>
  <si>
    <t>The transcript describes a nine-year-old male who fell approximately 30 feet onto a concrete floor.</t>
  </si>
  <si>
    <t>['nine-year-old male', 'nine-year-old male', 'Nine-year-old male']</t>
  </si>
  <si>
    <t>["blood pressure, we're on our third one, consistently around 130, 140 over 60"]</t>
  </si>
  <si>
    <t>['Respirators are between 20 and 30']</t>
  </si>
  <si>
    <t>UH, Scarfield Squad 2, Emergent Traffic. All right. We're going to give you a [REDACTED] patient, unresponsive complaint. Child fell approximately 30 feet between steps coming out of school. Fell onto concrete floor. He's unresponsive at this time. We've been with him for about ten minutes, no movement. We give him a GCS of about four, five. He is breathing, controlling his own airway at this time. Blood pressure, we're on our third one, consistently around 130, 140 over 60. Current heart rate is 78 sinus. Respirators are between 20 and 30. Capnography is showing 35 at the time. We do have an I.O. established in the left knee. C-collar, he's immobilized. We are looking for a wound on his head. We did see a little bit of bleeding. There is some swelling to the left rear of his head as well. Pupils are fixated, non-reactive. He's unresponsive at this time. Other than that, I'll say we'll be to you guys in probably seven to ten. And you said 90 as in nine zero? Nine. [REDACTED]. [REDACTED]. Okay. All right. Yep. Yep. All right. We'll see you guys in, what was the ETA? Seven to ten, we'll be to you guys. All right. See you then. Bye. Bye. Bye. Bye. Bye. Bye.</t>
  </si>
  <si>
    <t>UH, Scarfield Squad 2, Emergent Traffic. All right. We're going to give you a nine-year-old male patient, unresponsive complaint. Child fell approximately 30 feet between steps coming out of school. Fell onto concrete floor. He's unresponsive at this time. We've been with him for about ten minutes, no movement. We give him a GCS of about four, five. He is breathing, controlling his own airway at this time. Blood pressure, we're on our third one, consistently around 130, 140 over 60. Current heart rate is 78 sinus. [REDACTED]. Capnography is showing 35 at the time. We do have an I.O. established in the left knee. C-collar, he's immobilized. We are looking for a wound on his head. We did see a little bit of bleeding. There is some swelling to the left rear of his head as well. Pupils are fixated, non-reactive. He's unresponsive at this time. Other than that, I'll say we'll be to you guys in probably seven to ten. And you said 90 as in nine zero? Nine. Nine-year-old male. Nine-year-old male. Okay. All right. Yep. Yep. All right. We'll see you guys in, what was the ETA? Seven to ten, we'll be to you guys. All right. See you then. Bye. Bye. Bye. Bye. Bye. Bye.</t>
  </si>
  <si>
    <t>Hi, this is 21 calling report. We are bringing you a 16 year old male GSW to the left face. There is one entry left face, one on the right shoulder. GSW not bleeding. He's anal times four, conscious breathing, blood pressure is 133 over 91. Heart rate 68, 98% room air. He's got an 18 gauge in the left AC. We are about six minutes out. Any questions or orders? You said 16? 15. 15. 15, yep. All right, sounds good. Thanks. Thanks.</t>
  </si>
  <si>
    <t>16 year-old male gunshot wound left face. Entry left face entry right shoulder. Not bleeding. Alert and oriented times four, conscious, breathing, pressure 133/91 heart rate 68 room air 98%.</t>
  </si>
  <si>
    <t>GSW to the left face</t>
  </si>
  <si>
    <t>The report clearly states "GSW to the left face" as the mechanism of injury.</t>
  </si>
  <si>
    <t>['16 year old male', '15. 15. 15, yep']</t>
  </si>
  <si>
    <t>['blood pressure is 133 over 91']</t>
  </si>
  <si>
    <t>['anal times four', 'conscious']</t>
  </si>
  <si>
    <t>['GSW to the left face', 'one entry left face, one on the right shoulder', 'GSW not bleeding']</t>
  </si>
  <si>
    <t>Hi, this is 21 calling report. We are bringing you a [REDACTED] GSW to the left face. There is one entry left face, one on the right shoulder. GSW not bleeding. He's anal times four, conscious breathing, blood pressure is 133 over 91. Heart rate 68, 98% room air. He's got an 18 gauge in the left AC. We are about six minutes out. Any questions or orders? You said 16? [REDACTED]. All right, sounds good. Thanks. Thanks.</t>
  </si>
  <si>
    <t>Hi, this is 21 calling report. We are bringing you a 16 year old male GSW to the left face. There is one entry left face, one on the right shoulder. GSW not bleeding. He's anal times four, conscious breathing, blood pressure is 133 over 91. [REDACTED], 98% room air. He's got an 18 gauge in the left AC. We are about six minutes out. Any questions or orders? You said 16? 15. 15. 15, yep. All right, sounds good. Thanks. Thanks.</t>
  </si>
  <si>
    <t>Hi, this is 21 calling report. We are bringing you a 16 year old male GSW to the left face. There is one entry left face, one on the right shoulder. GSW not bleeding. He's anal times four, conscious breathing, [REDACTED]. Heart rate 68, 98% room air. He's got an 18 gauge in the left AC. We are about six minutes out. Any questions or orders? You said 16? 15. 15. 15, yep. All right, sounds good. Thanks. Thanks.</t>
  </si>
  <si>
    <t>Hi, this is 21 calling report. We are bringing you a 16 year old male GSW to the left face. There is one entry left face, one on the right shoulder. GSW not bleeding. He's [REDACTED], [REDACTED] breathing, blood pressure is 133 over 91. Heart rate 68, 98% room air. He's got an 18 gauge in the left AC. We are about six minutes out. Any questions or orders? You said 16? 15. 15. 15, yep. All right, sounds good. Thanks. Thanks.</t>
  </si>
  <si>
    <t>Hi, this is 21 calling report. We are bringing you a 16 year old male [REDACTED]. There is [REDACTED]. [REDACTED]. He's anal times four, conscious breathing, blood pressure is 133 over 91. Heart rate 68, 98% room air. He's got an 18 gauge in the left AC. We are about six minutes out. Any questions or orders? You said 16? 15. 15. 15, yep. All right, sounds good. Thanks. Thanks.</t>
  </si>
  <si>
    <t>Hey, this is going to be a pediatric trauma alert from North Randall, Squad 7. What do you got? All right, we got a four-year-old male who's involved in a lateral side impact, moderate to heavy damage. He has a dislocated right hip. He is shortening on that leg. MSVs are in, or pulse is intact. I don't know if his femur is swollen. He is splinted, or femur is broken, swollen, but he is splinted. He does have pulse intact. He's breathing adequately. Our rapid assessment, no other injuries. He's got a little bit of blood in his mouth, no active bleeding. He's got a scratch on the side of his cheek. Pupils are equal. Lungs sounds are clear and equal. Heart rate for us is 129. I just kind of try to throw him oxygen a little bit. He's fighting it. He's able to answer questions. He knows how old he is. He's in a lot of pain. I don't want to give him anything, the bottom amount, if he is losing blood in his right leg, or his right femur space. Do you know how fast you were going? It was moderate. No. He's kind of just thrown to us, and his leg is, yeah. Okay. I can find out on the way down there. I can call my deputy chief, who is still on scene. No, if you can just, whatever you got is good. Yeah. Was he restrained? That, I don't know. Okay. And you said four-year-old? Yeah, four-year-old. Okay. Answer that. And he was in a lot of pain. He was in a lot of pain. He was in a lot of pain. He was in a lot of pain. He was in a lot of pain. He was in a lot of pain. He was in a lot of pain. Go ahead. What's up? No, no, no. No, no. Yes, yes, yes, yes. Is he any, is there any other patients coming in other than him? There is a sibling that may be coming in, but they're going to be split squat, so. Okay. We're about five to 10 out, so. Five to 10. All right. I will tell them. Thanks. No line, no medication. Okay. So, you're going to be in a lot of pain. Yeah. I'm going to be in a lot of pain. Okay. So, you're going to be in a lot of pain. Yeah. So, you're going to be in a lot of pain. Yeah. So, you're going to be in a lot of pain. Yeah. So, yeah. We'll be, yeah like I said, five to ten. All right. Appreciate it, bro. Yeah. Thanks, Clay. It was a good question. Yeah. All right. Yeah. Another one that I read earlier, was it puesto or it was UTI as opposed to a tablet? UCLA right Dr. horsie, R monsters, is it really a problem. Yeah. Yeah. Yeah because, hang on. So, the R picture is probably notwithstanding, was it? Yeah. So, it is a problem with R maybe. Okay. So, you know, spent five to eight. Five to four weeks. No other medications he mentioned. Cocoa, 50%, Arthrit, sy historia. Great. So, you know, Leo said a lot.</t>
  </si>
  <si>
    <t>Four year-old male involved in lateral side impact moderate to heavy damage, dislocated right hip, shortening on that leg. MSP intact. Splinted. Breathing adequately. No other injuries. Blood in mouth, no active bleeding. Scratch right side of cheek, pupils are equal lung sounds clear. Heart rate 129. Able to answer questions, in a lot of pain. There may be a sibling coming in.</t>
  </si>
  <si>
    <t>Lateral side impact</t>
  </si>
  <si>
    <t>The transcript mentions a four-year-old male involved in a lateral side impact with moderate to heavy damage.</t>
  </si>
  <si>
    <t>['four-year-old male', 'four-year-old']</t>
  </si>
  <si>
    <t>['Heart rate for us is 129']</t>
  </si>
  <si>
    <t>["He's able to answer questions", 'He knows how old he is']</t>
  </si>
  <si>
    <t>['involved in a lateral side impact', 'moderate to heavy damage']</t>
  </si>
  <si>
    <t>Hey, this is going to be a pediatric trauma alert from North Randall, Squad 7. What do you got? All right, we got a [REDACTED] who's involved in a lateral side impact, moderate to heavy damage. He has a dislocated right hip. He is shortening on that leg. MSVs are in, or pulse is intact. I don't know if his femur is swollen. He is splinted, or femur is broken, swollen, but he is splinted. He does have pulse intact. He's breathing adequately. Our rapid assessment, no other injuries. He's got a little bit of blood in his mouth, no active bleeding. He's got a scratch on the side of his cheek. Pupils are equal. Lungs sounds are clear and equal. Heart rate for us is 129. I just kind of try to throw him oxygen a little bit. He's fighting it. He's able to answer questions. He knows how old he is. He's in a lot of pain. I don't want to give him anything, the bottom amount, if he is losing blood in his right leg, or his right femur space. Do you know how fast you were going? It was moderate. No. He's kind of just thrown to us, and his leg is, yeah. Okay. I can find out on the way down there. I can call my deputy chief, who is still on scene. No, if you can just, whatever you got is good. Yeah. Was he restrained? That, I don't know. Okay. And you said [REDACTED]? Yeah, [REDACTED]. Okay. Answer that. And he was in a lot of pain. He was in a lot of pain. He was in a lot of pain. He was in a lot of pain. He was in a lot of pain. He was in a lot of pain. He was in a lot of pain. Go ahead. What's up? No, no, no. No, no. Yes, yes, yes, yes. Is he any, is there any other patients coming in other than him? There is a sibling that may be coming in, but they're going to be split squat, so. Okay. We're about five to 10 out, so. Five to 10. All right. I will tell them. Thanks. No line, no medication. Okay. So, you're going to be in a lot of pain. Yeah. I'm going to be in a lot of pain. Okay. So, you're going to be in a lot of pain. Yeah. So, you're going to be in a lot of pain. Yeah. So, you're going to be in a lot of pain. Yeah. So, yeah. We'll be, yeah like I said, five to ten. All right. Appreciate it, bro. Yeah. Thanks, Clay. It was a good question. Yeah. All right. Yeah. Another one that I read earlier, was it puesto or it was UTI as opposed to a tablet? UCLA right Dr. horsie, R monsters, is it really a problem. Yeah. Yeah. Yeah because, hang on. So, the R picture is probably notwithstanding, was it? Yeah. So, it is a problem with R maybe. Okay. So, you know, spent five to eight. Five to four weeks. No other medications he mentioned. Cocoa, 50%, Arthrit, sy historia. Great. So, you know, Leo said a lot.</t>
  </si>
  <si>
    <t>Hey, this is going to be a pediatric trauma alert from North Randall, Squad 7. What do you got? All right, we got a four-year-old male who's involved in a lateral side impact, moderate to heavy damage. He has a dislocated right hip. He is shortening on that leg. MSVs are in, or pulse is intact. I don't know if his femur is swollen. He is splinted, or femur is broken, swollen, but he is splinted. He does have pulse intact. He's breathing adequately. Our rapid assessment, no other injuries. He's got a little bit of blood in his mouth, no active bleeding. He's got a scratch on the side of his cheek. Pupils are equal. Lungs sounds are clear and equal. [REDACTED]. I just kind of try to throw him oxygen a little bit. He's fighting it. He's able to answer questions. He knows how old he is. He's in a lot of pain. I don't want to give him anything, the bottom amount, if he is losing blood in his right leg, or his right femur space. Do you know how fast you were going? It was moderate. No. He's kind of just thrown to us, and his leg is, yeah. Okay. I can find out on the way down there. I can call my deputy chief, who is still on scene. No, if you can just, whatever you got is good. Yeah. Was he restrained? That, I don't know. Okay. And you said four-year-old? Yeah, four-year-old. Okay. Answer that. And he was in a lot of pain. He was in a lot of pain. He was in a lot of pain. He was in a lot of pain. He was in a lot of pain. He was in a lot of pain. He was in a lot of pain. Go ahead. What's up? No, no, no. No, no. Yes, yes, yes, yes. Is he any, is there any other patients coming in other than him? There is a sibling that may be coming in, but they're going to be split squat, so. Okay. We're about five to 10 out, so. Five to 10. All right. I will tell them. Thanks. No line, no medication. Okay. So, you're going to be in a lot of pain. Yeah. I'm going to be in a lot of pain. Okay. So, you're going to be in a lot of pain. Yeah. So, you're going to be in a lot of pain. Yeah. So, you're going to be in a lot of pain. Yeah. So, yeah. We'll be, yeah like I said, five to ten. All right. Appreciate it, bro. Yeah. Thanks, Clay. It was a good question. Yeah. All right. Yeah. Another one that I read earlier, was it puesto or it was UTI as opposed to a tablet? UCLA right Dr. horsie, R monsters, is it really a problem. Yeah. Yeah. Yeah because, hang on. So, the R picture is probably notwithstanding, was it? Yeah. So, it is a problem with R maybe. Okay. So, you know, spent five to eight. Five to four weeks. No other medications he mentioned. Cocoa, 50%, Arthrit, sy historia. Great. So, you know, Leo said a lot.</t>
  </si>
  <si>
    <t>Hey, this is going to be a pediatric trauma alert from North Randall, Squad 7. What do you got? All right, we got a four-year-old male who's involved in a lateral side impact, moderate to heavy damage. He has a dislocated right hip. He is shortening on that leg. MSVs are in, or pulse is intact. I don't know if his femur is swollen. He is splinted, or femur is broken, swollen, but he is splinted. He does have pulse intact. He's breathing adequately. Our rapid assessment, no other injuries. He's got a little bit of blood in his mouth, no active bleeding. He's got a scratch on the side of his cheek. Pupils are equal. Lungs sounds are clear and equal. Heart rate for us is 129. I just kind of try to throw him oxygen a little bit. He's fighting it. [REDACTED]. [REDACTED]. He's in a lot of pain. I don't want to give him anything, the bottom amount, if he is losing blood in his right leg, or his right femur space. Do you know how fast you were going? It was moderate. No. He's kind of just thrown to us, and his leg is, yeah. Okay. I can find out on the way down there. I can call my deputy chief, who is still on scene. No, if you can just, whatever you got is good. Yeah. Was he restrained? That, I don't know. Okay. And you said four-year-old? Yeah, four-year-old. Okay. Answer that. And he was in a lot of pain. He was in a lot of pain. He was in a lot of pain. He was in a lot of pain. He was in a lot of pain. He was in a lot of pain. He was in a lot of pain. Go ahead. What's up? No, no, no. No, no. Yes, yes, yes, yes. Is he any, is there any other patients coming in other than him? There is a sibling that may be coming in, but they're going to be split squat, so. Okay. We're about five to 10 out, so. Five to 10. All right. I will tell them. Thanks. No line, no medication. Okay. So, you're going to be in a lot of pain. Yeah. I'm going to be in a lot of pain. Okay. So, you're going to be in a lot of pain. Yeah. So, you're going to be in a lot of pain. Yeah. So, you're going to be in a lot of pain. Yeah. So, yeah. We'll be, yeah like I said, five to ten. All right. Appreciate it, bro. Yeah. Thanks, Clay. It was a good question. Yeah. All right. Yeah. Another one that I read earlier, was it puesto or it was UTI as opposed to a tablet? UCLA right Dr. horsie, R monsters, is it really a problem. Yeah. Yeah. Yeah because, hang on. So, the R picture is probably notwithstanding, was it? Yeah. So, it is a problem with R maybe. Okay. So, you know, spent five to eight. Five to four weeks. No other medications he mentioned. Cocoa, 50%, Arthrit, sy historia. Great. So, you know, Leo said a lot.</t>
  </si>
  <si>
    <t>Hey, this is going to be a pediatric trauma alert from North Randall, Squad 7. What do you got? All right, we got a four-year-old male who's [REDACTED], [REDACTED]. He has a dislocated right hip. He is shortening on that leg. MSVs are in, or pulse is intact. I don't know if his femur is swollen. He is splinted, or femur is broken, swollen, but he is splinted. He does have pulse intact. He's breathing adequately. Our rapid assessment, no other injuries. He's got a little bit of blood in his mouth, no active bleeding. He's got a scratch on the side of his cheek. Pupils are equal. Lungs sounds are clear and equal. Heart rate for us is 129. I just kind of try to throw him oxygen a little bit. He's fighting it. He's able to answer questions. He knows how old he is. He's in a lot of pain. I don't want to give him anything, the bottom amount, if he is losing blood in his right leg, or his right femur space. Do you know how fast you were going? It was moderate. No. He's kind of just thrown to us, and his leg is, yeah. Okay. I can find out on the way down there. I can call my deputy chief, who is still on scene. No, if you can just, whatever you got is good. Yeah. Was he restrained? That, I don't know. Okay. And you said four-year-old? Yeah, four-year-old. Okay. Answer that. And he was in a lot of pain. He was in a lot of pain. He was in a lot of pain. He was in a lot of pain. He was in a lot of pain. He was in a lot of pain. He was in a lot of pain. Go ahead. What's up? No, no, no. No, no. Yes, yes, yes, yes. Is he any, is there any other patients coming in other than him? There is a sibling that may be coming in, but they're going to be split squat, so. Okay. We're about five to 10 out, so. Five to 10. All right. I will tell them. Thanks. No line, no medication. Okay. So, you're going to be in a lot of pain. Yeah. I'm going to be in a lot of pain. Okay. So, you're going to be in a lot of pain. Yeah. So, you're going to be in a lot of pain. Yeah. So, you're going to be in a lot of pain. Yeah. So, yeah. We'll be, yeah like I said, five to ten. All right. Appreciate it, bro. Yeah. Thanks, Clay. It was a good question. Yeah. All right. Yeah. Another one that I read earlier, was it puesto or it was UTI as opposed to a tablet? UCLA right Dr. horsie, R monsters, is it really a problem. Yeah. Yeah. Yeah because, hang on. So, the R picture is probably notwithstanding, was it? Yeah. So, it is a problem with R maybe. Okay. So, you know, spent five to eight. Five to four weeks. No other medications he mentioned. Cocoa, 50%, Arthrit, sy historia. Great. So, you know, Leo said a lot.</t>
  </si>
  <si>
    <t>U.H. Hey, Cleveland Mark 36. 36, go ahead. We're calling you guys with a three-year-old female pedestrian struck. Say that again? It's hard to hear you. A three-year-old female pedestrian struck. A three-year-old? Yes. Okay. I think the car more so clips her than anything, but it was going about 30 miles per hour. She's got some abrasions to her arms and legs. But no LOC. She's definitely inappropriate. Her rate is 125, 100% under the mayor. We just put a C-card around for precautions. Be there in about five minutes? Yeah, we can take that, sweetie. You said no LOC? No LOC. All right, thanks. Anything else? I just got it. All right, thanks. Bye. Thanks, bye.</t>
  </si>
  <si>
    <t>Three-year-old female pedestrian struc,  car more so clips her than anything. 30 mph abrasions to arms and legs no LOCC collar rate 125 100% on a room air.</t>
  </si>
  <si>
    <t>The transcript mentions a "three-year-old female pedestrian struck" by a car.</t>
  </si>
  <si>
    <t>['Her rate is 125']</t>
  </si>
  <si>
    <t>U.H. Hey, Cleveland Mark 36. 36, go ahead. We're calling you guys with a three-year-old female pedestrian struck. Say that again? It's hard to hear you. A three-year-old female pedestrian struck. A three-year-old? Yes. Okay. I think the car more so clips her than anything, but it was going about 30 miles per hour. She's got some abrasions to her arms and legs. But no LOC. She's definitely inappropriate. [REDACTED], 100% under the mayor. We just put a C-card around for precautions. Be there in about five minutes? Yeah, we can take that, sweetie. You said no LOC? No LOC. All right, thanks. Anything else? I just got it. All right, thanks. Bye. Thanks, bye.</t>
  </si>
  <si>
    <t>Hello UH. Hey UH, we got one for Rainbows. Who is this? Cleveland Medics 7. We have a 14 female GSW. One to the lower right back, one to the upper right thigh. Vitals are all stable. We have a heart rate of 109. Blood pressure is 110 over 60. 24 respirators, 100%. 22 for access. Probably be there in about 5 minutes. Okay, no tourniquet, right? Nope, no tourniquet. You said right thigh, upper leg, right? Yep, right and right. Thank you. Thanks.</t>
  </si>
  <si>
    <t>14 year-old female gunshot wound to lower right back right upper thigh, vitals, stable, heart rate 109 pressure 110/60 respirations 24 100%. No tourniquet.</t>
  </si>
  <si>
    <t>GSW to lower right back and upper right thigh</t>
  </si>
  <si>
    <t>The transcript mentions a gunshot wound (GSW) to the lower right back and upper right thigh.</t>
  </si>
  <si>
    <t>['14 female']</t>
  </si>
  <si>
    <t>['heart rate of 109']</t>
  </si>
  <si>
    <t>['Blood pressure is 110 over 60']</t>
  </si>
  <si>
    <t>['24 respirators']</t>
  </si>
  <si>
    <t>['GSW', 'One to the lower right back, one to the upper right thigh']</t>
  </si>
  <si>
    <t>Hello UH. Hey UH, we got one for Rainbows. Who is this? Cleveland Medics 7. We have a [REDACTED] GSW. One to the lower right back, one to the upper right thigh. Vitals are all stable. We have a heart rate of 109. Blood pressure is 110 over 60. 24 respirators, 100%. 22 for access. Probably be there in about 5 minutes. Okay, no tourniquet, right? Nope, no tourniquet. You said right thigh, upper leg, right? Yep, right and right. Thank you. Thanks.</t>
  </si>
  <si>
    <t>Hello UH. Hey UH, we got one for Rainbows. Who is this? Cleveland Medics 7. We have a 14 female GSW. One to the lower right back, one to the upper right thigh. Vitals are all stable. We have a [REDACTED]. Blood pressure is 110 over 60. 24 respirators, 100%. 22 for access. Probably be there in about 5 minutes. Okay, no tourniquet, right? Nope, no tourniquet. You said right thigh, upper leg, right? Yep, right and right. Thank you. Thanks.</t>
  </si>
  <si>
    <t>Hello UH. Hey UH, we got one for Rainbows. Who is this? Cleveland Medics 7. We have a 14 female GSW. One to the lower right back, one to the upper right thigh. Vitals are all stable. We have a heart rate of 109. [REDACTED]. 24 respirators, 100%. 22 for access. Probably be there in about 5 minutes. Okay, no tourniquet, right? Nope, no tourniquet. You said right thigh, upper leg, right? Yep, right and right. Thank you. Thanks.</t>
  </si>
  <si>
    <t>Hello UH. Hey UH, we got one for Rainbows. Who is this? Cleveland Medics 7. We have a 14 female GSW. One to the lower right back, one to the upper right thigh. Vitals are all stable. We have a heart rate of 109. Blood pressure is 110 over 60. [REDACTED], 100%. 22 for access. Probably be there in about 5 minutes. Okay, no tourniquet, right? Nope, no tourniquet. You said right thigh, upper leg, right? Yep, right and right. Thank you. Thanks.</t>
  </si>
  <si>
    <t>Hello UH. Hey UH, we got one for Rainbows. Who is this? Cleveland Medics 7. We have a 14 female [REDACTED]. [REDACTED]. Vitals are all stable. We have a heart rate of 109. Blood pressure is 110 over 60. 24 respirators, 100%. 22 for access. Probably be there in about 5 minutes. Okay, no tourniquet, right? Nope, no tourniquet. You said right thigh, upper leg, right? Yep, right and right. Thank you. Thanks.</t>
  </si>
  <si>
    <t>Hello, 2H. Hey, it's Cleveland, Medic 10. Go ahead. We got a 15-year-old female, two GSWs to the back. Unsure if she got shot twice or if this is a through and through. Just know that there's two wounds here. So far vitals are stable to the heart rate of 78, blood pressure 135 over 72. Rest was of 18. She's 95% on room air. We'll be there in about 10. Okay, 8 and 0-4, right? Yeah. All right, see you in 10. Thank you.</t>
  </si>
  <si>
    <t>15-year-old female two GSW's to the back. Unsure if she got shot twice or if this is a through and through. Heart rate 78 pressure 135/72 respiration 18, 95% on room air. A&amp;O times four.</t>
  </si>
  <si>
    <t>GSW to back</t>
  </si>
  <si>
    <t>The transcript mentions "two GSWs to the back" indicating gunshot wounds.</t>
  </si>
  <si>
    <t>['blood pressure 135 over 72']</t>
  </si>
  <si>
    <t>['Rest was of 18']</t>
  </si>
  <si>
    <t>['two GSWs to the back', 'shot twice', 'through and through', 'two wounds']</t>
  </si>
  <si>
    <t>Hello, 2H. Hey, it's Cleveland, Medic 10. Go ahead. We got a [REDACTED], two GSWs to the back. Unsure if she got shot twice or if this is a through and through. Just know that there's two wounds here. So far vitals are stable to the heart rate of 78, blood pressure 135 over 72. Rest was of 18. She's 95% on room air. We'll be there in about 10. Okay, 8 and 0-4, right? Yeah. All right, see you in 10. Thank you.</t>
  </si>
  <si>
    <t>Hello, 2H. Hey, it's Cleveland, Medic 10. Go ahead. We got a 15-year-old female, two GSWs to the back. Unsure if she got shot twice or if this is a through and through. Just know that there's two wounds here. So far vitals are stable to the [REDACTED], blood pressure 135 over 72. Rest was of 18. She's 95% on room air. We'll be there in about 10. Okay, 8 and 0-4, right? Yeah. All right, see you in 10. Thank you.</t>
  </si>
  <si>
    <t>Hello, 2H. Hey, it's Cleveland, Medic 10. Go ahead. We got a 15-year-old female, two GSWs to the back. Unsure if she got shot twice or if this is a through and through. Just know that there's two wounds here. So far vitals are stable to the heart rate of 78, [REDACTED]. Rest was of 18. She's 95% on room air. We'll be there in about 10. Okay, 8 and 0-4, right? Yeah. All right, see you in 10. Thank you.</t>
  </si>
  <si>
    <t>Hello, 2H. Hey, it's Cleveland, Medic 10. Go ahead. We got a 15-year-old female, two GSWs to the back. Unsure if she got shot twice or if this is a through and through. Just know that there's two wounds here. So far vitals are stable to the heart rate of 78, blood pressure 135 over 72. [REDACTED]. She's 95% on room air. We'll be there in about 10. Okay, 8 and 0-4, right? Yeah. All right, see you in 10. Thank you.</t>
  </si>
  <si>
    <t>Hello, 2H. Hey, it's Cleveland, Medic 10. Go ahead. We got a 15-year-old female, [REDACTED]. Unsure if she got [REDACTED] or if this is a [REDACTED]. Just know that there's [REDACTED] here. So far vitals are stable to the heart rate of 78, blood pressure 135 over 72. Rest was of 18. She's 95% on room air. We'll be there in about 10. Okay, 8 and 0-4, right? Yeah. All right, see you in 10. Thank you.</t>
  </si>
  <si>
    <t>Hey, we just got back from squad six with a four-year-old female that fell out of the seventh floor window. How far? Seventh floor. Seventh floor? Yep, seventh floor. What did you land on? I landed on grass. She is alert. We have a broken right upper arm and we have an open fracture to the right femur. Pupils are normal and reactive. We do have her restrained manually right now. Lung sounds are clear. Don't notice any massing in the abdominal region. And that's pretty much what we got for you. Pupils are normal and reactive. That patient's respirations are about 26. She does have a good brachial and radial pulse on the left side and good pedal pulses. And we should be there in about 15 minutes. Fifteen minutes. Four-year-old female. Vitals otherwise. So she's maintaining her own airway right now? She is maintaining her own airway at this time. We just got her stabilized as well as possible while we're on transport. And I'm going to see if we can get this femur fracture, get it addressing on that. But she does have positive pulses on the right upper arm. Left side. Okay. Okay. All right. I'll let them know. Thanks. Bye.</t>
  </si>
  <si>
    <t>Four-year-old female fell out of seventh floor window, landed on grass. Alert. Broken right upper arm open fracture right femur pupils normal, reactive. Restrained manually. Lungs clear. Positive pulses on right upper arm.</t>
  </si>
  <si>
    <t>Fall from seventh floor window</t>
  </si>
  <si>
    <t>The transcript explicitly states that the patient fell out of a seventh floor window.</t>
  </si>
  <si>
    <t>['four-year-old female', 'Four-year-old female']</t>
  </si>
  <si>
    <t>['respirations are about 26']</t>
  </si>
  <si>
    <t>['She is alert']</t>
  </si>
  <si>
    <t>['fell out of the seventh floor window']</t>
  </si>
  <si>
    <t>Hey, we just got back from squad six with a [REDACTED] that fell out of the seventh floor window. How far? Seventh floor. Seventh floor? Yep, seventh floor. What did you land on? I landed on grass. She is alert. We have a broken right upper arm and we have an open fracture to the right femur. Pupils are normal and reactive. We do have her restrained manually right now. Lung sounds are clear. Don't notice any massing in the abdominal region. And that's pretty much what we got for you. Pupils are normal and reactive. That patient's respirations are about 26. She does have a good brachial and radial pulse on the left side and good pedal pulses. And we should be there in about 15 minutes. Fifteen minutes. [REDACTED]. Vitals otherwise. So she's maintaining her own airway right now? She is maintaining her own airway at this time. We just got her stabilized as well as possible while we're on transport. And I'm going to see if we can get this femur fracture, get it addressing on that. But she does have positive pulses on the right upper arm. Left side. Okay. Okay. All right. I'll let them know. Thanks. Bye.</t>
  </si>
  <si>
    <t>Hey, we just got back from squad six with a four-year-old female that fell out of the seventh floor window. How far? Seventh floor. Seventh floor? Yep, seventh floor. What did you land on? I landed on grass. She is alert. We have a broken right upper arm and we have an open fracture to the right femur. Pupils are normal and reactive. We do have her restrained manually right now. Lung sounds are clear. Don't notice any massing in the abdominal region. And that's pretty much what we got for you. Pupils are normal and reactive. That patient's [REDACTED]. She does have a good brachial and radial pulse on the left side and good pedal pulses. And we should be there in about 15 minutes. Fifteen minutes. Four-year-old female. Vitals otherwise. So she's maintaining her own airway right now? She is maintaining her own airway at this time. We just got her stabilized as well as possible while we're on transport. And I'm going to see if we can get this femur fracture, get it addressing on that. But she does have positive pulses on the right upper arm. Left side. Okay. Okay. All right. I'll let them know. Thanks. Bye.</t>
  </si>
  <si>
    <t>Hey, we just got back from squad six with a four-year-old female that fell out of the seventh floor window. How far? Seventh floor. Seventh floor? Yep, seventh floor. What did you land on? I landed on grass. [REDACTED]. We have a broken right upper arm and we have an open fracture to the right femur. Pupils are normal and reactive. We do have her restrained manually right now. Lung sounds are clear. Don't notice any massing in the abdominal region. And that's pretty much what we got for you. Pupils are normal and reactive. That patient's respirations are about 26. She does have a good brachial and radial pulse on the left side and good pedal pulses. And we should be there in about 15 minutes. Fifteen minutes. Four-year-old female. Vitals otherwise. So she's maintaining her own airway right now? She is maintaining her own airway at this time. We just got her stabilized as well as possible while we're on transport. And I'm going to see if we can get this femur fracture, get it addressing on that. But she does have positive pulses on the right upper arm. Left side. Okay. Okay. All right. I'll let them know. Thanks. Bye.</t>
  </si>
  <si>
    <t>Hey, we just got back from squad six with a four-year-old female that [REDACTED]. How far? Seventh floor. Seventh floor? Yep, seventh floor. What did you land on? I landed on grass. She is alert. We have a broken right upper arm and we have an open fracture to the right femur. Pupils are normal and reactive. We do have her restrained manually right now. Lung sounds are clear. Don't notice any massing in the abdominal region. And that's pretty much what we got for you. Pupils are normal and reactive. That patient's respirations are about 26. She does have a good brachial and radial pulse on the left side and good pedal pulses. And we should be there in about 15 minutes. Fifteen minutes. Four-year-old female. Vitals otherwise. So she's maintaining her own airway right now? She is maintaining her own airway at this time. We just got her stabilized as well as possible while we're on transport. And I'm going to see if we can get this femur fracture, get it addressing on that. But she does have positive pulses on the right upper arm. Left side. Okay. Okay. All right. I'll let them know. Thanks. Bye.</t>
  </si>
  <si>
    <t>UH Danny. This is Cleveland 6 for the patient report. I cannot hear you at all. Hello. Hear me? Hello, yeah. Okay, this is Cleveland 6 for the patient report. Hey, what's going on? We have a 15-year-old male GSW. It's on the right side of his groin. There's an exit wound out the back of his thigh. His last blood pressure was 121 over 67, heart rate 86. 18 red birds, 99% of the rest. We're probably between 5 and 10 minutes off. And you said he's 15, correct? Yes, 15, 1.5. All right, we'll see you. All right.</t>
  </si>
  <si>
    <t>15-year-old male GSW right side of groin. Exit wound on back of thigh. Pressure 121/67, heart rate 86. 18 respirations. 99% room air.</t>
  </si>
  <si>
    <t>GSW to right groin</t>
  </si>
  <si>
    <t>The transcript mentions a gunshot wound (GSW) to the right side of the groin with an exit wound out the back of the thigh.</t>
  </si>
  <si>
    <t>['heart rate 86']</t>
  </si>
  <si>
    <t>['blood pressure was 121 over 67']</t>
  </si>
  <si>
    <t>['GSW', 'right side of his groin', 'exit wound out the back of his thigh']</t>
  </si>
  <si>
    <t>UH Danny. This is Cleveland 6 for the patient report. I cannot hear you at all. Hello. Hear me? Hello, yeah. Okay, this is Cleveland 6 for the patient report. Hey, what's going on? We have a 15-year-old male GSW. It's on the right side of his groin. There's an exit wound out the back of his thigh. His last blood pressure was 121 over 67, [REDACTED]. 18 red birds, 99% of the rest. We're probably between 5 and 10 minutes off. And you said he's 15, correct? Yes, 15, 1.5. All right, we'll see you. All right.</t>
  </si>
  <si>
    <t>UH Danny. This is Cleveland 6 for the patient report. I cannot hear you at all. Hello. Hear me? Hello, yeah. Okay, this is Cleveland 6 for the patient report. Hey, what's going on? We have a 15-year-old male GSW. It's on the right side of his groin. There's an exit wound out the back of his thigh. His last [REDACTED], heart rate 86. 18 red birds, 99% of the rest. We're probably between 5 and 10 minutes off. And you said he's 15, correct? Yes, 15, 1.5. All right, we'll see you. All right.</t>
  </si>
  <si>
    <t>UH Danny. This is Cleveland 6 for the patient report. I cannot hear you at all. Hello. Hear me? Hello, yeah. Okay, this is Cleveland 6 for the patient report. Hey, what's going on? We have a 15-year-old male [REDACTED]. It's on the [REDACTED]. There's an [REDACTED]. His last blood pressure was 121 over 67, heart rate 86. 18 red birds, 99% of the rest. We're probably between 5 and 10 minutes off. And you said he's 15, correct? Yes, 15, 1.5. All right, we'll see you. All right.</t>
  </si>
  <si>
    <t>UHDanny. Hey, this is Euclid Medic 41 calling Grace Report. Hey, what's going on? A 15-year-old female also in that MVA that we brought another patient to you from, complaining of chest slash abdominal pain, restrained passenger, airbag deployment, limb oriented, vitals are all stable, lung sounds are clear and equal, no crepitus deformity or anything else otherwise. You said she was restrained? Restrained with airbag deployment, front end damage, no problem with minor, problem with moderate. Okay, I had, because the other one was going to be a trauma, I think mainly too because of the leg injury. She was up ambulatory, everything like that. She has soreness in the chest from the airbag and seatbelt. All righty, and she is, you said she's vitally stable? Yes. Okay, all righty, we'll see, I'll see what they say. Okay. Just because I estimated, I think with the last guys, maybe 35, you guys' others grew. Okay. We'll see what they say, so. All right. We will see what they say. Thank you. Bye. Bye.</t>
  </si>
  <si>
    <t>15 year-old female MVA chest abdominal pain restrained, passenger airbag deployment oriented. Vitals are stable. Lung sounds clear no crepitus deformity. Ambulatory.</t>
  </si>
  <si>
    <t>MVA (Motor Vehicle Accident) with airbag deployment</t>
  </si>
  <si>
    <t>The transcript mentions a 15-year-old female involved in an MVA with airbag deployment and chest/abdominal pain.</t>
  </si>
  <si>
    <t>['limb oriented']</t>
  </si>
  <si>
    <t>['MVA', 'complaining of chest slash abdominal pain', 'restrained passenger', 'airbag deployment', 'front end damage', 'soreness in the chest from the airbag and seatbelt']</t>
  </si>
  <si>
    <t>UHDanny. Hey, this is Euclid Medic 41 calling Grace Report. Hey, what's going on? A [REDACTED] also in that MVA that we brought another patient to you from, complaining of chest slash abdominal pain, restrained passenger, airbag deployment, limb oriented, vitals are all stable, lung sounds are clear and equal, no crepitus deformity or anything else otherwise. You said she was restrained? Restrained with airbag deployment, front end damage, no problem with minor, problem with moderate. Okay, I had, because the other one was going to be a trauma, I think mainly too because of the leg injury. She was up ambulatory, everything like that. She has soreness in the chest from the airbag and seatbelt. All righty, and she is, you said she's vitally stable? Yes. Okay, all righty, we'll see, I'll see what they say. Okay. Just because I estimated, I think with the last guys, maybe 35, you guys' others grew. Okay. We'll see what they say, so. All right. We will see what they say. Thank you. Bye. Bye.</t>
  </si>
  <si>
    <t>UHDanny. Hey, this is Euclid Medic 41 calling Grace Report. Hey, what's going on? A 15-year-old female also in that MVA that we brought another patient to you from, complaining of chest slash abdominal pain, restrained passenger, airbag deployment, [REDACTED], vitals are all stable, lung sounds are clear and equal, no crepitus deformity or anything else otherwise. You said she was restrained? Restrained with airbag deployment, front end damage, no problem with minor, problem with moderate. Okay, I had, because the other one was going to be a trauma, I think mainly too because of the leg injury. She was up ambulatory, everything like that. She has soreness in the chest from the airbag and seatbelt. All righty, and she is, you said she's vitally stable? Yes. Okay, all righty, we'll see, I'll see what they say. Okay. Just because I estimated, I think with the last guys, maybe 35, you guys' others grew. Okay. We'll see what they say, so. All right. We will see what they say. Thank you. Bye. Bye.</t>
  </si>
  <si>
    <t>UHDanny. Hey, this is Euclid Medic 41 calling Grace Report. Hey, what's going on? A 15-year-old female also in that [REDACTED] that we brought another patient to you from, [REDACTED], [REDACTED], [REDACTED], limb oriented, vitals are all stable, lung sounds are clear and equal, no crepitus deformity or anything else otherwise. You said she was restrained? Restrained with [REDACTED], [REDACTED], no problem with minor, problem with moderate. Okay, I had, because the other one was going to be a trauma, I think mainly too because of the leg injury. She was up ambulatory, everything like that. She has [REDACTED]. All righty, and she is, you said she's vitally stable? Yes. Okay, all righty, we'll see, I'll see what they say. Okay. Just because I estimated, I think with the last guys, maybe 35, you guys' others grew. Okay. We'll see what they say, so. All right. We will see what they say. Thank you. Bye. Bye.</t>
  </si>
  <si>
    <t>UH. Hello, yes, this is Cleveland Medics 7. We are on our way with a 13-year-old male. Chief complaint, he was involved in an NBA. He has a deformity to his right leg and a lot of pain. Possible loss of consciousness. Was wearing his seatbelt. Airbags were deployed. Car is non-drivable. His vitals are as follow. Heart rate is 92. His pressure was 136 over 82. Respirators of 18. He's 95% on the room air. We should be there in about five minutes. Do you know how fast the car was going? Possibly around 25 miles per hour, a car into a tree. Tree. All righty. Is there any other people coming from this accident, do you know? Nope, just him. Okay. Are parents with him or no? Nope. Okay. Was he the only person in the vehicle? Yep. Got it. Okay. All right, thanks. Bye. Bye-bye.</t>
  </si>
  <si>
    <t>13 year-old male MVA deformity to right leg and lots of pain, possible LOC. Was wearing seatbelt airbags deployed. Heart rate 92 pressure 136/82, respirations 18 oxygen 95%. 25 mph car into tree.</t>
  </si>
  <si>
    <t>NBA (Motor Vehicle Accident) - car into a tree</t>
  </si>
  <si>
    <t>The transcript describes a motor vehicle accident where the car hit a tree, involving a 13-year-old male.</t>
  </si>
  <si>
    <t>['Heart rate is 92']</t>
  </si>
  <si>
    <t>['pressure was 136 over 82']</t>
  </si>
  <si>
    <t>['Respirators of 18']</t>
  </si>
  <si>
    <t>['Possible loss of consciousness']</t>
  </si>
  <si>
    <t>UH. Hello, yes, this is Cleveland Medics 7. We are on our way with a [REDACTED]. Chief complaint, he was involved in an NBA. He has a deformity to his right leg and a lot of pain. Possible loss of consciousness. Was wearing his seatbelt. Airbags were deployed. Car is non-drivable. His vitals are as follow. Heart rate is 92. His pressure was 136 over 82. Respirators of 18. He's 95% on the room air. We should be there in about five minutes. Do you know how fast the car was going? Possibly around 25 miles per hour, a car into a tree. Tree. All righty. Is there any other people coming from this accident, do you know? Nope, just him. Okay. Are parents with him or no? Nope. Okay. Was he the only person in the vehicle? Yep. Got it. Okay. All right, thanks. Bye. Bye-bye.</t>
  </si>
  <si>
    <t>UH. Hello, yes, this is Cleveland Medics 7. We are on our way with a 13-year-old male. Chief complaint, he was involved in an NBA. He has a deformity to his right leg and a lot of pain. Possible loss of consciousness. Was wearing his seatbelt. Airbags were deployed. Car is non-drivable. His vitals are as follow. [REDACTED]. His pressure was 136 over 82. Respirators of 18. He's 95% on the room air. We should be there in about five minutes. Do you know how fast the car was going? Possibly around 25 miles per hour, a car into a tree. Tree. All righty. Is there any other people coming from this accident, do you know? Nope, just him. Okay. Are parents with him or no? Nope. Okay. Was he the only person in the vehicle? Yep. Got it. Okay. All right, thanks. Bye. Bye-bye.</t>
  </si>
  <si>
    <t>UH. Hello, yes, this is Cleveland Medics 7. We are on our way with a 13-year-old male. Chief complaint, he was involved in an NBA. He has a deformity to his right leg and a lot of pain. Possible loss of consciousness. Was wearing his seatbelt. Airbags were deployed. Car is non-drivable. His vitals are as follow. Heart rate is 92. His [REDACTED]. Respirators of 18. He's 95% on the room air. We should be there in about five minutes. Do you know how fast the car was going? Possibly around 25 miles per hour, a car into a tree. Tree. All righty. Is there any other people coming from this accident, do you know? Nope, just him. Okay. Are parents with him or no? Nope. Okay. Was he the only person in the vehicle? Yep. Got it. Okay. All right, thanks. Bye. Bye-bye.</t>
  </si>
  <si>
    <t>UH. Hello, yes, this is Cleveland Medics 7. We are on our way with a 13-year-old male. Chief complaint, he was involved in an NBA. He has a deformity to his right leg and a lot of pain. Possible loss of consciousness. Was wearing his seatbelt. Airbags were deployed. Car is non-drivable. His vitals are as follow. Heart rate is 92. His pressure was 136 over 82. [REDACTED]. He's 95% on the room air. We should be there in about five minutes. Do you know how fast the car was going? Possibly around 25 miles per hour, a car into a tree. Tree. All righty. Is there any other people coming from this accident, do you know? Nope, just him. Okay. Are parents with him or no? Nope. Okay. Was he the only person in the vehicle? Yep. Got it. Okay. All right, thanks. Bye. Bye-bye.</t>
  </si>
  <si>
    <t>UH. Hello, yes, this is Cleveland Medics 7. We are on our way with a 13-year-old male. Chief complaint, he was involved in an NBA. He has a deformity to his right leg and a lot of pain. [REDACTED]. Was wearing his seatbelt. Airbags were deployed. Car is non-drivable. His vitals are as follow. Heart rate is 92. His pressure was 136 over 82. Respirators of 18. He's 95% on the room air. We should be there in about five minutes. Do you know how fast the car was going? Possibly around 25 miles per hour, a car into a tree. Tree. All righty. Is there any other people coming from this accident, do you know? Nope, just him. Okay. Are parents with him or no? Nope. Okay. Was he the only person in the vehicle? Yep. Got it. Okay. All right, thanks. Bye. Bye-bye.</t>
  </si>
  <si>
    <t>UH. Hey, I'm looking for PBR. Alright, I can take a report for you, or do you need a med control? No, we're coming to you with a 15-year-old female. She's complained that she was in a significant MOI of a motor vehicle accident. I'm going to call a trauma alert on this. The car was stolen, she was running from the cops, crashed into the pole at about... How fast were you going when you crashed into that pole? Okay. Yeah, fast enough. The wheels fell off, there's significant damage to the front end of the car and everything like that. She's A&amp;O times four. She's just got some bumps, scratches, and everything. Did not hit her head. We do have a seat collar on her right now. Current boil times are 79 on the pulse, 98% SBO2, 137 over 75 on the blood pressure. Other than that, we're going to be in your facility about... 10 minutes. 10 minutes. What squad are you? Warrensville Heights, squad one. Warrensville Heights? Yep. Alright, was she wearing a seatbelt? What's that? Uh, yeah, no. No. Do you know, is she the only person coming out of this? Yeah. The other one's going to help her out. Okay. Alright, thanks. Alright, bye-bye.</t>
  </si>
  <si>
    <t>15-year-old female significant MOI of motor vehicle accident. Car was stolen, running from cops, crashed into the pole. Wheels fell off, significant damage to front end of car. Alert and oriented, bumps scratches. Did not hit head. See collar on. 79 pulse 98% 02, 137/75 blood pressure.</t>
  </si>
  <si>
    <t>Motor vehicle accident (MVA) crashing into a pole</t>
  </si>
  <si>
    <t>The report mentions a 15-year-old female involved in a significant motor vehicle accident where the car crashed into a pole.</t>
  </si>
  <si>
    <t>['79 on the pulse']</t>
  </si>
  <si>
    <t>['137 over 75 on the blood pressure']</t>
  </si>
  <si>
    <t>['A&amp;O times four']</t>
  </si>
  <si>
    <t>UH. Hey, I'm looking for PBR. Alright, I can take a report for you, or do you need a med control? No, we're coming to you with a [REDACTED]. She's complained that she was in a significant MOI of a motor vehicle accident. I'm going to call a trauma alert on this. The car was stolen, she was running from the cops, crashed into the pole at about... How fast were you going when you crashed into that pole? Okay. Yeah, fast enough. The wheels fell off, there's significant damage to the front end of the car and everything like that. She's A&amp;O times four. She's just got some bumps, scratches, and everything. Did not hit her head. We do have a seat collar on her right now. Current boil times are 79 on the pulse, 98% SBO2, 137 over 75 on the blood pressure. Other than that, we're going to be in your facility about... 10 minutes. 10 minutes. What squad are you? Warrensville Heights, squad one. Warrensville Heights? Yep. Alright, was she wearing a seatbelt? What's that? Uh, yeah, no. No. Do you know, is she the only person coming out of this? Yeah. The other one's going to help her out. Okay. Alright, thanks. Alright, bye-bye.</t>
  </si>
  <si>
    <t>UH. Hey, I'm looking for PBR. Alright, I can take a report for you, or do you need a med control? No, we're coming to you with a 15-year-old female. She's complained that she was in a significant MOI of a motor vehicle accident. I'm going to call a trauma alert on this. The car was stolen, she was running from the cops, crashed into the pole at about... How fast were you going when you crashed into that pole? Okay. Yeah, fast enough. The wheels fell off, there's significant damage to the front end of the car and everything like that. She's A&amp;O times four. She's just got some bumps, scratches, and everything. Did not hit her head. We do have a seat collar on her right now. Current boil times are [REDACTED], 98% SBO2, 137 over 75 on the blood pressure. Other than that, we're going to be in your facility about... 10 minutes. 10 minutes. What squad are you? Warrensville Heights, squad one. Warrensville Heights? Yep. Alright, was she wearing a seatbelt? What's that? Uh, yeah, no. No. Do you know, is she the only person coming out of this? Yeah. The other one's going to help her out. Okay. Alright, thanks. Alright, bye-bye.</t>
  </si>
  <si>
    <t>UH. Hey, I'm looking for PBR. Alright, I can take a report for you, or do you need a med control? No, we're coming to you with a 15-year-old female. She's complained that she was in a significant MOI of a motor vehicle accident. I'm going to call a trauma alert on this. The car was stolen, she was running from the cops, crashed into the pole at about... How fast were you going when you crashed into that pole? Okay. Yeah, fast enough. The wheels fell off, there's significant damage to the front end of the car and everything like that. She's A&amp;O times four. She's just got some bumps, scratches, and everything. Did not hit her head. We do have a seat collar on her right now. Current boil times are 79 on the pulse, 98% SBO2, [REDACTED]. Other than that, we're going to be in your facility about... 10 minutes. 10 minutes. What squad are you? Warrensville Heights, squad one. Warrensville Heights? Yep. Alright, was she wearing a seatbelt? What's that? Uh, yeah, no. No. Do you know, is she the only person coming out of this? Yeah. The other one's going to help her out. Okay. Alright, thanks. Alright, bye-bye.</t>
  </si>
  <si>
    <t>UH. Hey, I'm looking for PBR. Alright, I can take a report for you, or do you need a med control? No, we're coming to you with a 15-year-old female. She's complained that she was in a significant MOI of a motor vehicle accident. I'm going to call a trauma alert on this. The car was stolen, she was running from the cops, crashed into the pole at about... How fast were you going when you crashed into that pole? Okay. Yeah, fast enough. The wheels fell off, there's significant damage to the front end of the car and everything like that. She's [REDACTED]. She's just got some bumps, scratches, and everything. Did not hit her head. We do have a seat collar on her right now. Current boil times are 79 on the pulse, 98% SBO2, 137 over 75 on the blood pressure. Other than that, we're going to be in your facility about... 10 minutes. 10 minutes. What squad are you? Warrensville Heights, squad one. Warrensville Heights? Yep. Alright, was she wearing a seatbelt? What's that? Uh, yeah, no. No. Do you know, is she the only person coming out of this? Yeah. The other one's going to help her out. Okay. Alright, thanks. Alright, bye-bye.</t>
  </si>
  <si>
    <t>UH. You're going in and out, go ahead. Is this the kids side? Rainbows? I'm having trouble. Did you say it's just rainbows? I can take your report here, but I'm having trouble hearing you. Okay, can you hear me now? Yes, perfect. Okay, sorry. I must have hit a dead spot. So this is Warrenville Heights. I got a four-year-old female. The story's really unclear. Stop me at any time if you stop hearing me. The story's really unclear. There was another family member watching the child. She said she was asleep. The child climbed out of the apartment onto the balcony and fell three stories. When we got there on scene, the patient wasn't outside on the ground. So I don't know if this family member woke up and then grabbed her and took her back upstairs. But by surprise, she was dead. The standards started saying which apartment it was. We went up there. The only thing I could find on her, and she states she's got a hematoma to her forehead. She says her head hurts. She's awfully quiet. I don't know if she's scared or whatnot. But I couldn't find any other painful stimuli on palpation. She knows her name. She knows she's in an ambulance. Heart rate's 92. She's breathing 98%. 22 respirations. Blood pressure's 131 over 69. Okay. We'll be there in about seven minutes. All right. We'll say that's greater or equal to about 20 feet, just based off of the... Three stories, 10, 30. Okay. Yeah, 10 feet a story. Sounds like they'll see you in the trauma bay. Is that about 10 minutes? Yeah, seven minutes or so. Okay. All right. Yep. Bye.</t>
  </si>
  <si>
    <t>Four year-old female story unclear. Family watching child said she was asleep. Child climbed out apartment and fell 3 stories. When we got to seen, patient wasn't outside on the ground. Hematoma to forehead head hurts quiet don't know if she is scared or what not. Heart rate 92 breathing 98%, 22 respirations, blood pressure 131/69.</t>
  </si>
  <si>
    <t>Fall from balcony</t>
  </si>
  <si>
    <t>The transcript describes a four-year-old female who climbed out of an apartment onto a balcony and fell three stories.</t>
  </si>
  <si>
    <t>['four-year-old female']</t>
  </si>
  <si>
    <t>["Heart rate's 92"]</t>
  </si>
  <si>
    <t>["Blood pressure's 131 over 69"]</t>
  </si>
  <si>
    <t>['22 respirations']</t>
  </si>
  <si>
    <t>["She's awfully quiet", 'She knows her name', "She knows she's in an ambulance"]</t>
  </si>
  <si>
    <t>UH. You're going in and out, go ahead. Is this the kids side? Rainbows? I'm having trouble. Did you say it's just rainbows? I can take your report here, but I'm having trouble hearing you. Okay, can you hear me now? Yes, perfect. Okay, sorry. I must have hit a dead spot. So this is Warrenville Heights. I got a [REDACTED]. The story's really unclear. Stop me at any time if you stop hearing me. The story's really unclear. There was another family member watching the child. She said she was asleep. The child climbed out of the apartment onto the balcony and fell three stories. When we got there on scene, the patient wasn't outside on the ground. So I don't know if this family member woke up and then grabbed her and took her back upstairs. But by surprise, she was dead. The standards started saying which apartment it was. We went up there. The only thing I could find on her, and she states she's got a hematoma to her forehead. She says her head hurts. She's awfully quiet. I don't know if she's scared or whatnot. But I couldn't find any other painful stimuli on palpation. She knows her name. She knows she's in an ambulance. Heart rate's 92. She's breathing 98%. 22 respirations. Blood pressure's 131 over 69. Okay. We'll be there in about seven minutes. All right. We'll say that's greater or equal to about 20 feet, just based off of the... Three stories, 10, 30. Okay. Yeah, 10 feet a story. Sounds like they'll see you in the trauma bay. Is that about 10 minutes? Yeah, seven minutes or so. Okay. All right. Yep. Bye.</t>
  </si>
  <si>
    <t>UH. You're going in and out, go ahead. Is this the kids side? Rainbows? I'm having trouble. Did you say it's just rainbows? I can take your report here, but I'm having trouble hearing you. Okay, can you hear me now? Yes, perfect. Okay, sorry. I must have hit a dead spot. So this is Warrenville Heights. I got a four-year-old female. The story's really unclear. Stop me at any time if you stop hearing me. The story's really unclear. There was another family member watching the child. She said she was asleep. The child climbed out of the apartment onto the balcony and fell three stories. When we got there on scene, the patient wasn't outside on the ground. So I don't know if this family member woke up and then grabbed her and took her back upstairs. But by surprise, she was dead. The standards started saying which apartment it was. We went up there. The only thing I could find on her, and she states she's got a hematoma to her forehead. She says her head hurts. She's awfully quiet. I don't know if she's scared or whatnot. But I couldn't find any other painful stimuli on palpation. She knows her name. She knows she's in an ambulance. [REDACTED]. She's breathing 98%. 22 respirations. Blood pressure's 131 over 69. Okay. We'll be there in about seven minutes. All right. We'll say that's greater or equal to about 20 feet, just based off of the... Three stories, 10, 30. Okay. Yeah, 10 feet a story. Sounds like they'll see you in the trauma bay. Is that about 10 minutes? Yeah, seven minutes or so. Okay. All right. Yep. Bye.</t>
  </si>
  <si>
    <t>UH. You're going in and out, go ahead. Is this the kids side? Rainbows? I'm having trouble. Did you say it's just rainbows? I can take your report here, but I'm having trouble hearing you. Okay, can you hear me now? Yes, perfect. Okay, sorry. I must have hit a dead spot. So this is Warrenville Heights. I got a four-year-old female. The story's really unclear. Stop me at any time if you stop hearing me. The story's really unclear. There was another family member watching the child. She said she was asleep. The child climbed out of the apartment onto the balcony and fell three stories. When we got there on scene, the patient wasn't outside on the ground. So I don't know if this family member woke up and then grabbed her and took her back upstairs. But by surprise, she was dead. The standards started saying which apartment it was. We went up there. The only thing I could find on her, and she states she's got a hematoma to her forehead. She says her head hurts. She's awfully quiet. I don't know if she's scared or whatnot. But I couldn't find any other painful stimuli on palpation. She knows her name. She knows she's in an ambulance. Heart rate's 92. She's breathing 98%. 22 respirations. [REDACTED]. Okay. We'll be there in about seven minutes. All right. We'll say that's greater or equal to about 20 feet, just based off of the... Three stories, 10, 30. Okay. Yeah, 10 feet a story. Sounds like they'll see you in the trauma bay. Is that about 10 minutes? Yeah, seven minutes or so. Okay. All right. Yep. Bye.</t>
  </si>
  <si>
    <t>UH. You're going in and out, go ahead. Is this the kids side? Rainbows? I'm having trouble. Did you say it's just rainbows? I can take your report here, but I'm having trouble hearing you. Okay, can you hear me now? Yes, perfect. Okay, sorry. I must have hit a dead spot. So this is Warrenville Heights. I got a four-year-old female. The story's really unclear. Stop me at any time if you stop hearing me. The story's really unclear. There was another family member watching the child. She said she was asleep. The child climbed out of the apartment onto the balcony and fell three stories. When we got there on scene, the patient wasn't outside on the ground. So I don't know if this family member woke up and then grabbed her and took her back upstairs. But by surprise, she was dead. The standards started saying which apartment it was. We went up there. The only thing I could find on her, and she states she's got a hematoma to her forehead. She says her head hurts. She's awfully quiet. I don't know if she's scared or whatnot. But I couldn't find any other painful stimuli on palpation. She knows her name. She knows she's in an ambulance. Heart rate's 92. She's breathing 98%. [REDACTED]. Blood pressure's 131 over 69. Okay. We'll be there in about seven minutes. All right. We'll say that's greater or equal to about 20 feet, just based off of the... Three stories, 10, 30. Okay. Yeah, 10 feet a story. Sounds like they'll see you in the trauma bay. Is that about 10 minutes? Yeah, seven minutes or so. Okay. All right. Yep. Bye.</t>
  </si>
  <si>
    <t>UH. You're going in and out, go ahead. Is this the kids side? Rainbows? I'm having trouble. Did you say it's just rainbows? I can take your report here, but I'm having trouble hearing you. Okay, can you hear me now? Yes, perfect. Okay, sorry. I must have hit a dead spot. So this is Warrenville Heights. I got a four-year-old female. The story's really unclear. Stop me at any time if you stop hearing me. The story's really unclear. There was another family member watching the child. She said she was asleep. The child climbed out of the apartment onto the balcony and fell three stories. When we got there on scene, the patient wasn't outside on the ground. So I don't know if this family member woke up and then grabbed her and took her back upstairs. But by surprise, she was dead. The standards started saying which apartment it was. We went up there. The only thing I could find on her, and she states she's got a hematoma to her forehead. She says her head hurts. [REDACTED]. I don't know if she's scared or whatnot. But I couldn't find any other painful stimuli on palpation. [REDACTED]. [REDACTED]. Heart rate's 92. She's breathing 98%. 22 respirations. Blood pressure's 131 over 69. Okay. We'll be there in about seven minutes. All right. We'll say that's greater or equal to about 20 feet, just based off of the... Three stories, 10, 30. Okay. Yeah, 10 feet a story. Sounds like they'll see you in the trauma bay. Is that about 10 minutes? Yeah, seven minutes or so. Okay. All right. Yep. Bye.</t>
  </si>
  <si>
    <t>UH. How you doing UH Cleveland Medics 10? Good. Bring you a nine male chief complaint GSW. As of right now we got two wounds. We got one through and through left upper thigh above the knee and then one graze on basically the left hip. As of right now he's A&amp;L type 4, body type stable, got access to him, gauged left arm. He's chillin. Other than that we should be at your facility in the next five minutes. Any other questions? Nope, see you then.</t>
  </si>
  <si>
    <t>Nine-year-old male GSW two wounds through and through left upper thigh above knee, grays on left hip alert, and oriented times four, he's chilling.</t>
  </si>
  <si>
    <t>GSW to left upper thigh and hip</t>
  </si>
  <si>
    <t>The transcript mentions a gunshot wound (GSW) to the left upper thigh and a graze on the left hip.</t>
  </si>
  <si>
    <t>['nine male']</t>
  </si>
  <si>
    <t>['A&amp;L type 4', "he's chillin"]</t>
  </si>
  <si>
    <t>['GSW', 'two wounds', 'one through and through left upper thigh above the knee', 'one graze on basically the left hip']</t>
  </si>
  <si>
    <t>UH. How you doing UH Cleveland Medics 10? Good. Bring you a [REDACTED] chief complaint GSW. As of right now we got two wounds. We got one through and through left upper thigh above the knee and then one graze on basically the left hip. As of right now he's A&amp;L type 4, body type stable, got access to him, gauged left arm. He's chillin. Other than that we should be at your facility in the next five minutes. Any other questions? Nope, see you then.</t>
  </si>
  <si>
    <t>UH. How you doing UH Cleveland Medics 10? Good. Bring you a nine male chief complaint GSW. As of right now we got two wounds. We got one through and through left upper thigh above the knee and then one graze on basically the left hip. As of right now he's [REDACTED], body type stable, got access to him, gauged left arm. He's chillin. Other than that we should be at your facility in the next five minutes. Any other questions? Nope, see you then.</t>
  </si>
  <si>
    <t>UH. How you doing UH Cleveland Medics 10? Good. Bring you a nine male chief complaint [REDACTED]. As of right now we got [REDACTED]. We got [REDACTED] and then [REDACTED]. As of right now he's A&amp;L type 4, body type stable, got access to him, gauged left arm. He's chillin. Other than that we should be at your facility in the next five minutes. Any other questions? Nope, see you then.</t>
  </si>
  <si>
    <t>U-H. Hey, U-H, Cleveland EMS calling, Medic 22. All right. With a patient report. All right. We have a GSW to the arm. It was wrapped up prior to arrival. It's got a bullet hole. It looks like it's, where is it at, buddy? It's just below the elbow. I didn't want to unwrap it to look at it. But his vitals are stable. We got 128 on the heart rate. 122 over 74 blood pressure. 97 SAT. We put him on some oxygen and we gave him 100 mics of some fentanyl to kind of ease the pain a little bit. And that's about it. We got a bag TKO'd right now by a little bit. And we should see, give us about five minutes. It takes about five minutes. He's stable. How old? He's 17. All right. Okay. We'll see you in a little bit. Yep. See you in five. Bye-bye. Bye. .</t>
  </si>
  <si>
    <t>L2, 17 y/o, Vitals(122/74, 128, RR not provided), GCS: not provided, MOI (GSW to arm), ETA: 5 minutes</t>
  </si>
  <si>
    <t>GSW to arm wrapped prior to arrival bullet hole. Below the elbow. 128 heart rate, 122/74 blood pressure, 97%. 100 mics of fentanyl. 17 years old.</t>
  </si>
  <si>
    <t>GSW to the arm</t>
  </si>
  <si>
    <t>The transcript explicitly mentions a gunshot wound (GSW) to the arm.</t>
  </si>
  <si>
    <t>["He's 17"]</t>
  </si>
  <si>
    <t>['128 on the heart rate']</t>
  </si>
  <si>
    <t>['122 over 74 blood pressure']</t>
  </si>
  <si>
    <t>U-H. Hey, U-H, Cleveland EMS calling, Medic 22. All right. With a patient report. All right. We have a GSW to the arm. It was wrapped up prior to arrival. It's got a bullet hole. It looks like it's, where is it at, buddy? It's just below the elbow. I didn't want to unwrap it to look at it. But his vitals are stable. We got 128 on the heart rate. 122 over 74 blood pressure. 97 SAT. We put him on some oxygen and we gave him 100 mics of some fentanyl to kind of ease the pain a little bit. And that's about it. We got a bag TKO'd right now by a little bit. And we should see, give us about five minutes. It takes about five minutes. He's stable. How old? [REDACTED]. All right. Okay. We'll see you in a little bit. Yep. See you in five. Bye-bye. Bye. .</t>
  </si>
  <si>
    <t>U-H. Hey, U-H, Cleveland EMS calling, Medic 22. All right. With a patient report. All right. We have a GSW to the arm. It was wrapped up prior to arrival. It's got a bullet hole. It looks like it's, where is it at, buddy? It's just below the elbow. I didn't want to unwrap it to look at it. But his vitals are stable. We got [REDACTED]. 122 over 74 blood pressure. 97 SAT. We put him on some oxygen and we gave him 100 mics of some fentanyl to kind of ease the pain a little bit. And that's about it. We got a bag TKO'd right now by a little bit. And we should see, give us about five minutes. It takes about five minutes. He's stable. How old? He's 17. All right. Okay. We'll see you in a little bit. Yep. See you in five. Bye-bye. Bye. .</t>
  </si>
  <si>
    <t>U-H. Hey, U-H, Cleveland EMS calling, Medic 22. All right. With a patient report. All right. We have a GSW to the arm. It was wrapped up prior to arrival. It's got a bullet hole. It looks like it's, where is it at, buddy? It's just below the elbow. I didn't want to unwrap it to look at it. But his vitals are stable. We got 128 on the heart rate. [REDACTED]. 97 SAT. We put him on some oxygen and we gave him 100 mics of some fentanyl to kind of ease the pain a little bit. And that's about it. We got a bag TKO'd right now by a little bit. And we should see, give us about five minutes. It takes about five minutes. He's stable. How old? He's 17. All right. Okay. We'll see you in a little bit. Yep. See you in five. Bye-bye. Bye. .</t>
  </si>
  <si>
    <t>UH. Hi, this is Cleveland EMS Dispatch. Yep. Medic 4 is on the way with a 13 year old female. She has multiple GSWs to her lower extremities. They should be there 5-6 minutes. Awake alert? Trauma? I believe she's awake and breathing. No, I don't think so. Alright, thank you. Thanks.</t>
  </si>
  <si>
    <t>13-year-old female multiple gunshot wound to lower extremity awaken breathing.</t>
  </si>
  <si>
    <t>GSWs to lower extremities</t>
  </si>
  <si>
    <t>The transcript mentions "multiple GSWs to her lower extremities" as the cause of injury.</t>
  </si>
  <si>
    <t>['13 year old female']</t>
  </si>
  <si>
    <t>['multiple GSWs to her lower extremities']</t>
  </si>
  <si>
    <t>UH. Hi, this is Cleveland EMS Dispatch. Yep. Medic 4 is on the way with a [REDACTED]. She has multiple GSWs to her lower extremities. They should be there 5-6 minutes. Awake alert? Trauma? I believe she's awake and breathing. No, I don't think so. Alright, thank you. Thanks.</t>
  </si>
  <si>
    <t>UH. Hi, this is Cleveland EMS Dispatch. Yep. Medic 4 is on the way with a 13 year old female. She has [REDACTED]. They should be there 5-6 minutes. Awake alert? Trauma? I believe she's awake and breathing. No, I don't think so. Alright, thank you. Thanks.</t>
  </si>
  <si>
    <t>31 for fire. UH. Hey, UH. It's a Cleveland medic for I have a five-year-old male who's riding a bike and was struck by a car pulling out of a driveway. No loss of consciousness. He has some abrasions to his chest and his back. No neck or back pain, but he is complaining of pain to his chest and abdomen. Last pressure was 105 over 64. Heart rate's 100, and he is 98% room air. Acting and reacting normally for his age. We got 22 in his left AC, and we're like 15 minutes away. Okay, and you said no LLC, correct? No LLC. Thank you. Yep. Bye.</t>
  </si>
  <si>
    <t>Five year-old male riding bike, struck by car pulling out of driveway. No loss of consciousness, abrasions to chest and back, no neck or back pain. Pain to chest and abdomen. Pressure 105/64 heart rate 100, 98% room air, acting normal no LOC.</t>
  </si>
  <si>
    <t>Struck by a car while riding a bike</t>
  </si>
  <si>
    <t>The transcript clearly states the child was struck by a car while riding a bike.</t>
  </si>
  <si>
    <t>['Last pressure was 105 over 64']</t>
  </si>
  <si>
    <t>['Acting and reacting normally for his age']</t>
  </si>
  <si>
    <t>['riding a bike and was struck by a car pulling out of a driveway']</t>
  </si>
  <si>
    <t>31 for fire. UH. Hey, UH. It's a Cleveland medic for I have a [REDACTED] who's riding a bike and was struck by a car pulling out of a driveway. No loss of consciousness. He has some abrasions to his chest and his back. No neck or back pain, but he is complaining of pain to his chest and abdomen. Last pressure was 105 over 64. Heart rate's 100, and he is 98% room air. Acting and reacting normally for his age. We got 22 in his left AC, and we're like 15 minutes away. Okay, and you said no LLC, correct? No LLC. Thank you. Yep. Bye.</t>
  </si>
  <si>
    <t>31 for fire. UH. Hey, UH. It's a Cleveland medic for I have a five-year-old male who's riding a bike and was struck by a car pulling out of a driveway. No loss of consciousness. He has some abrasions to his chest and his back. No neck or back pain, but he is complaining of pain to his chest and abdomen. Last pressure was 105 over 64. [REDACTED], and he is 98% room air. Acting and reacting normally for his age. We got 22 in his left AC, and we're like 15 minutes away. Okay, and you said no LLC, correct? No LLC. Thank you. Yep. Bye.</t>
  </si>
  <si>
    <t>31 for fire. UH. Hey, UH. It's a Cleveland medic for I have a five-year-old male who's riding a bike and was struck by a car pulling out of a driveway. No loss of consciousness. He has some abrasions to his chest and his back. No neck or back pain, but he is complaining of pain to his chest and abdomen. [REDACTED]. Heart rate's 100, and he is 98% room air. Acting and reacting normally for his age. We got 22 in his left AC, and we're like 15 minutes away. Okay, and you said no LLC, correct? No LLC. Thank you. Yep. Bye.</t>
  </si>
  <si>
    <t>31 for fire. UH. Hey, UH. It's a Cleveland medic for I have a five-year-old male who's riding a bike and was struck by a car pulling out of a driveway. No loss of consciousness. He has some abrasions to his chest and his back. No neck or back pain, but he is complaining of pain to his chest and abdomen. Last pressure was 105 over 64. Heart rate's 100, and he is 98% room air. [REDACTED]. We got 22 in his left AC, and we're like 15 minutes away. Okay, and you said no LLC, correct? No LLC. Thank you. Yep. Bye.</t>
  </si>
  <si>
    <t>31 for fire. UH. Hey, UH. It's a Cleveland medic for I have a five-year-old male who's [REDACTED]. No loss of consciousness. He has some abrasions to his chest and his back. No neck or back pain, but he is complaining of pain to his chest and abdomen. Last pressure was 105 over 64. Heart rate's 100, and he is 98% room air. Acting and reacting normally for his age. We got 22 in his left AC, and we're like 15 minutes away. Okay, and you said no LLC, correct? No LLC. Thank you. Yep. Bye.</t>
  </si>
  <si>
    <t>UH. That was spring. Hello, UH. UH Chad from Beechwood, how are ya? Beechwood, what you got? I got you a 10 year old male, I guess we'll call him a penetrating trauma to the right chest. He was laying in his mom's bed just watching TV and she had some knitting, crocheting items that were there. He impaled himself on the right side of his right chest. You're breaking up. He impaled himself with what? A crocheting needle. Okay. The needle itself is a 14 gauge needle, about 2 inches long. It's maybe the 7th or 8th of the intercostal. Hold on, hold on, back up. I'm getting every third word now. You said it's about a 14 gauge size and how long is it? About 2 inches long. And how much is in his chest? It is almost entirely in. So it's maybe an inch and maybe an inch and 3 quarters, just a little bit of the needle part of it left. It does have a handle on it. It does have a hook at the end of it. The part inside? Yes, the part's inside. Okay. We're not sure if it, you know, how it went in, if it just went more superficial or if it actually went, you know, in the intercostal space, whatever. He's not complaining of any trouble breathing. Pain is only a 2. Lung sounds are clear, heart tones are fine. His vitals are all good. He's 128 over 80. Heart rate of 100, showing a sinus on the monitor. O2 in room air is 99%. Blood sugar was 128. He's not complaining of anything besides just that pain there. His IVs hurt him a little bit worse. But we're probably about 10 minutes out yet. Alright, I'll run it by their doc, see what kind of, what they want to do with that. Okay, sounds good. Bye, thanks. Bye.</t>
  </si>
  <si>
    <t>10-year-old male penetrating trauma, right chest knitting items, impaled himself on right side of chest, 14 gauge needle about 2 inches long seventh or eighth intercostal. Not complaining of any trouble breathing pain is a two lungs are clear vitals good, 128/80 heart rate of 100. o2 99% blood sugar 128.</t>
  </si>
  <si>
    <t>Penetrating trauma to the right chest with a crocheting needle</t>
  </si>
  <si>
    <t>The transcript describes a 10-year-old male who impaled himself on a crocheting needle in the right chest.</t>
  </si>
  <si>
    <t>['10 year old male']</t>
  </si>
  <si>
    <t>['Heart rate of 100']</t>
  </si>
  <si>
    <t>["He's 128 over 80"]</t>
  </si>
  <si>
    <t>['penetrating trauma to the right chest', 'He impaled himself on the right side of his right chest', 'He impaled himself with what? A crocheting needle']</t>
  </si>
  <si>
    <t>UH. That was spring. Hello, UH. UH Chad from Beechwood, how are ya? Beechwood, what you got? I got you a [REDACTED], I guess we'll call him a penetrating trauma to the right chest. He was laying in his mom's bed just watching TV and she had some knitting, crocheting items that were there. He impaled himself on the right side of his right chest. You're breaking up. He impaled himself with what? A crocheting needle. Okay. The needle itself is a 14 gauge needle, about 2 inches long. It's maybe the 7th or 8th of the intercostal. Hold on, hold on, back up. I'm getting every third word now. You said it's about a 14 gauge size and how long is it? About 2 inches long. And how much is in his chest? It is almost entirely in. So it's maybe an inch and maybe an inch and 3 quarters, just a little bit of the needle part of it left. It does have a handle on it. It does have a hook at the end of it. The part inside? Yes, the part's inside. Okay. We're not sure if it, you know, how it went in, if it just went more superficial or if it actually went, you know, in the intercostal space, whatever. He's not complaining of any trouble breathing. Pain is only a 2. Lung sounds are clear, heart tones are fine. His vitals are all good. He's 128 over 80. Heart rate of 100, showing a sinus on the monitor. O2 in room air is 99%. Blood sugar was 128. He's not complaining of anything besides just that pain there. His IVs hurt him a little bit worse. But we're probably about 10 minutes out yet. Alright, I'll run it by their doc, see what kind of, what they want to do with that. Okay, sounds good. Bye, thanks. Bye.</t>
  </si>
  <si>
    <t>UH. That was spring. Hello, UH. UH Chad from Beechwood, how are ya? Beechwood, what you got? I got you a 10 year old male, I guess we'll call him a penetrating trauma to the right chest. He was laying in his mom's bed just watching TV and she had some knitting, crocheting items that were there. He impaled himself on the right side of his right chest. You're breaking up. He impaled himself with what? A crocheting needle. Okay. The needle itself is a 14 gauge needle, about 2 inches long. It's maybe the 7th or 8th of the intercostal. Hold on, hold on, back up. I'm getting every third word now. You said it's about a 14 gauge size and how long is it? About 2 inches long. And how much is in his chest? It is almost entirely in. So it's maybe an inch and maybe an inch and 3 quarters, just a little bit of the needle part of it left. It does have a handle on it. It does have a hook at the end of it. The part inside? Yes, the part's inside. Okay. We're not sure if it, you know, how it went in, if it just went more superficial or if it actually went, you know, in the intercostal space, whatever. He's not complaining of any trouble breathing. Pain is only a 2. Lung sounds are clear, heart tones are fine. His vitals are all good. He's 128 over 80. [REDACTED], showing a sinus on the monitor. O2 in room air is 99%. Blood sugar was 128. He's not complaining of anything besides just that pain there. His IVs hurt him a little bit worse. But we're probably about 10 minutes out yet. Alright, I'll run it by their doc, see what kind of, what they want to do with that. Okay, sounds good. Bye, thanks. Bye.</t>
  </si>
  <si>
    <t>UH. That was spring. Hello, UH. UH Chad from Beechwood, how are ya? Beechwood, what you got? I got you a 10 year old male, I guess we'll call him a penetrating trauma to the right chest. He was laying in his mom's bed just watching TV and she had some knitting, crocheting items that were there. He impaled himself on the right side of his right chest. You're breaking up. He impaled himself with what? A crocheting needle. Okay. The needle itself is a 14 gauge needle, about 2 inches long. It's maybe the 7th or 8th of the intercostal. Hold on, hold on, back up. I'm getting every third word now. You said it's about a 14 gauge size and how long is it? About 2 inches long. And how much is in his chest? It is almost entirely in. So it's maybe an inch and maybe an inch and 3 quarters, just a little bit of the needle part of it left. It does have a handle on it. It does have a hook at the end of it. The part inside? Yes, the part's inside. Okay. We're not sure if it, you know, how it went in, if it just went more superficial or if it actually went, you know, in the intercostal space, whatever. He's not complaining of any trouble breathing. Pain is only a 2. Lung sounds are clear, heart tones are fine. His vitals are all good. [REDACTED]. Heart rate of 100, showing a sinus on the monitor. O2 in room air is 99%. Blood sugar was 128. He's not complaining of anything besides just that pain there. His IVs hurt him a little bit worse. But we're probably about 10 minutes out yet. Alright, I'll run it by their doc, see what kind of, what they want to do with that. Okay, sounds good. Bye, thanks. Bye.</t>
  </si>
  <si>
    <t>UH. That was spring. Hello, UH. UH Chad from Beechwood, how are ya? Beechwood, what you got? I got you a 10 year old male, I guess we'll call him a [REDACTED]. He was laying in his mom's bed just watching TV and she had some knitting, crocheting items that were there. [REDACTED]. You're breaking up. [REDACTED]. Okay. The needle itself is a 14 gauge needle, about 2 inches long. It's maybe the 7th or 8th of the intercostal. Hold on, hold on, back up. I'm getting every third word now. You said it's about a 14 gauge size and how long is it? About 2 inches long. And how much is in his chest? It is almost entirely in. So it's maybe an inch and maybe an inch and 3 quarters, just a little bit of the needle part of it left. It does have a handle on it. It does have a hook at the end of it. The part inside? Yes, the part's inside. Okay. We're not sure if it, you know, how it went in, if it just went more superficial or if it actually went, you know, in the intercostal space, whatever. He's not complaining of any trouble breathing. Pain is only a 2. Lung sounds are clear, heart tones are fine. His vitals are all good. He's 128 over 80. Heart rate of 100, showing a sinus on the monitor. O2 in room air is 99%. Blood sugar was 128. He's not complaining of anything besides just that pain there. His IVs hurt him a little bit worse. But we're probably about 10 minutes out yet. Alright, I'll run it by their doc, see what kind of, what they want to do with that. Okay, sounds good. Bye, thanks. Bye.</t>
  </si>
  <si>
    <t>Yeah, it's Zach. Hey, it's Cleveland Medicine. We got a 12-year-old female, GSW to the chest and to the back. Pretty sure it's the exit and entry wound. But those are stable. Had a heart rate of 120. Blood pressure, last one we got was 150 over 100. Breast is at 18. And she is 100% once in O2. We'll be there in about five minutes. We're on the chest. The right side of the chest. Okay, see you soon. All right, thanks. Bye.</t>
  </si>
  <si>
    <t>12 year-old female gunshot wound to chest and back exit and entry wound, stable, heart rate 120 pressure 150/100 breath is at 18 100% 02 right side of chest</t>
  </si>
  <si>
    <t>GSW to chest</t>
  </si>
  <si>
    <t>The transcript mentions a gunshot wound (GSW) to the chest and back, indicating entry and exit wounds.</t>
  </si>
  <si>
    <t>['heart rate of 120']</t>
  </si>
  <si>
    <t>['blood pressure, last one we got was 150 over 100']</t>
  </si>
  <si>
    <t>['GSW to the chest and to the back', 'exit and entry wound']</t>
  </si>
  <si>
    <t>Yeah, it's Zach. Hey, it's Cleveland Medicine. We got a [REDACTED], GSW to the chest and to the back. Pretty sure it's the exit and entry wound. But those are stable. Had a heart rate of 120. Blood pressure, last one we got was 150 over 100. Breast is at 18. And she is 100% once in O2. We'll be there in about five minutes. We're on the chest. The right side of the chest. Okay, see you soon. All right, thanks. Bye.</t>
  </si>
  <si>
    <t>Yeah, it's Zach. Hey, it's Cleveland Medicine. We got a 12-year-old female, GSW to the chest and to the back. Pretty sure it's the exit and entry wound. But those are stable. Had a [REDACTED]. Blood pressure, last one we got was 150 over 100. Breast is at 18. And she is 100% once in O2. We'll be there in about five minutes. We're on the chest. The right side of the chest. Okay, see you soon. All right, thanks. Bye.</t>
  </si>
  <si>
    <t>Yeah, it's Zach. Hey, it's Cleveland Medicine. We got a 12-year-old female, [REDACTED]. Pretty sure it's the [REDACTED]. But those are stable. Had a heart rate of 120. Blood pressure, last one we got was 150 over 100. Breast is at 18. And she is 100% once in O2. We'll be there in about five minutes. We're on the chest. The right side of the chest. Okay, see you soon. All right, thanks. Bye.</t>
  </si>
  <si>
    <t>Hey, this is the GorpioLite Squad 2 calling for pediatric trauma. We have a two-year-old male that was ran over in the driveway. We got him in the back of the squad. He's actually kind of lethargic. He has trauma to his left eye. It looks like he might have a basal skull fracture. Other than that, full trauma assessment. No other extremities appear to be broken. Lung sounds are clear bilaterally, equal chest rise, and got him on the monitor right now. He's sinus attack at 156 feet, 100% on room air. First blood pressure is 124 over 82. Our second pressure 112 over 84. We'll be looking for vascular access and renal replacement. We'll be looking for vascular access and renal replacement. We should be there, say, probably six to eight minutes. All right, thanks.</t>
  </si>
  <si>
    <t>Two year-old male ran over in driveway, lethargic trauma to left eye basal skull fracture, lungs clear, sinus tack 156 100% on room air pressure 124/82 second pressure 112/84</t>
  </si>
  <si>
    <t>Ran over in the driveway</t>
  </si>
  <si>
    <t>The transcript states the child was "ran over in the driveway."</t>
  </si>
  <si>
    <t>['sinus attack at 156 feet']</t>
  </si>
  <si>
    <t>['First blood pressure is 124 over 82', 'second pressure 112 over 84']</t>
  </si>
  <si>
    <t>['ran over in the driveway']</t>
  </si>
  <si>
    <t>Hey, this is the GorpioLite Squad 2 calling for pediatric trauma. We have a [REDACTED] that was ran over in the driveway. We got him in the back of the squad. He's actually kind of lethargic. He has trauma to his left eye. It looks like he might have a basal skull fracture. Other than that, full trauma assessment. No other extremities appear to be broken. Lung sounds are clear bilaterally, equal chest rise, and got him on the monitor right now. He's sinus attack at 156 feet, 100% on room air. First blood pressure is 124 over 82. Our second pressure 112 over 84. We'll be looking for vascular access and renal replacement. We'll be looking for vascular access and renal replacement. We should be there, say, probably six to eight minutes. All right, thanks.</t>
  </si>
  <si>
    <t>Hey, this is the GorpioLite Squad 2 calling for pediatric trauma. We have a two-year-old male that was ran over in the driveway. We got him in the back of the squad. He's actually kind of lethargic. He has trauma to his left eye. It looks like he might have a basal skull fracture. Other than that, full trauma assessment. No other extremities appear to be broken. Lung sounds are clear bilaterally, equal chest rise, and got him on the monitor right now. He's [REDACTED], 100% on room air. First blood pressure is 124 over 82. Our second pressure 112 over 84. We'll be looking for vascular access and renal replacement. We'll be looking for vascular access and renal replacement. We should be there, say, probably six to eight minutes. All right, thanks.</t>
  </si>
  <si>
    <t>Hey, this is the GorpioLite Squad 2 calling for pediatric trauma. We have a two-year-old male that was ran over in the driveway. We got him in the back of the squad. He's actually kind of lethargic. He has trauma to his left eye. It looks like he might have a basal skull fracture. Other than that, full trauma assessment. No other extremities appear to be broken. Lung sounds are clear bilaterally, equal chest rise, and got him on the monitor right now. He's sinus attack at 156 feet, 100% on room air. [REDACTED]. Our [REDACTED]. We'll be looking for vascular access and renal replacement. We'll be looking for vascular access and renal replacement. We should be there, say, probably six to eight minutes. All right, thanks.</t>
  </si>
  <si>
    <t>Hey, this is the GorpioLite Squad 2 calling for pediatric trauma. We have a two-year-old male that was ran over in the driveway. We got him in the back of the squad. He's actually [REDACTED]. He has trauma to his left eye. It looks like he might have a basal skull fracture. Other than that, full trauma assessment. No other extremities appear to be broken. Lung sounds are clear bilaterally, equal chest rise, and got him on the monitor right now. He's sinus attack at 156 feet, 100% on room air. First blood pressure is 124 over 82. Our second pressure 112 over 84. We'll be looking for vascular access and renal replacement. We'll be looking for vascular access and renal replacement. We should be there, say, probably six to eight minutes. All right, thanks.</t>
  </si>
  <si>
    <t>Hey, this is the GorpioLite Squad 2 calling for pediatric trauma. We have a two-year-old male that was [REDACTED]. We got him in the back of the squad. He's actually kind of lethargic. He has trauma to his left eye. It looks like he might have a basal skull fracture. Other than that, full trauma assessment. No other extremities appear to be broken. Lung sounds are clear bilaterally, equal chest rise, and got him on the monitor right now. He's sinus attack at 156 feet, 100% on room air. First blood pressure is 124 over 82. Our second pressure 112 over 84. We'll be looking for vascular access and renal replacement. We'll be looking for vascular access and renal replacement. We should be there, say, probably six to eight minutes. All right, thanks.</t>
  </si>
  <si>
    <t>You're reached Danny. Hey you wait this is Cleveland Medics 7. We're coming to you guys with a 15 year old female. Excuse me she's coming from an MVA. She actually flipped her vehicle up on his side 25-30 miles an hour. She was unrestrained but was able to self-execute from the vehicle. Only complaint is left ankle pain. No LOC, no blood thinners, no medical history. Airbag did go off but no intrusion noted into the vehicle. Other than that vital signs were okay. 126.83 heart rate of 103, respiration 16, 99%. We'll be at your guys's facility in probably about eight minutes. You said she's 15? 15, one five. And she did end up flipping? Yeah it was standing on his side. Yeah it was standing on his side yeah. They're probably gonna make her trauma then. Okay. Down impede just saying. Because they're more like particular on their trauma stuff. Okay. Alright we'll see you in a little bit. Bye bye.</t>
  </si>
  <si>
    <t>15 year-old female MVA flipped vehicle 25 to 30 miles an hour, unrestrained, self extricate. Left ankle pain no LOC no thinners no history. Air bug did go off, no intrusion. 126/83 heart rate 103 respiration 16, 99%.</t>
  </si>
  <si>
    <t>MVA with vehicle flipped on its side</t>
  </si>
  <si>
    <t>The transcript mentions the patient flipped her vehicle onto its side during the accident.</t>
  </si>
  <si>
    <t>['15 year old female', "she's 15", '15, one five']</t>
  </si>
  <si>
    <t>['heart rate of 103']</t>
  </si>
  <si>
    <t>['126.83']</t>
  </si>
  <si>
    <t>['respiration 16']</t>
  </si>
  <si>
    <t>You're reached Danny. Hey you wait this is Cleveland Medics 7. We're coming to you guys with a [REDACTED]. Excuse me she's coming from an MVA. She actually flipped her vehicle up on his side 25-30 miles an hour. She was unrestrained but was able to self-execute from the vehicle. Only complaint is left ankle pain. No LOC, no blood thinners, no medical history. Airbag did go off but no intrusion noted into the vehicle. Other than that vital signs were okay. 126.83 heart rate of 103, respiration 16, 99%. We'll be at your guys's facility in probably about eight minutes. You said [REDACTED]? [REDACTED]. And she did end up flipping? Yeah it was standing on his side. Yeah it was standing on his side yeah. They're probably gonna make her trauma then. Okay. Down impede just saying. Because they're more like particular on their trauma stuff. Okay. Alright we'll see you in a little bit. Bye bye.</t>
  </si>
  <si>
    <t>You're reached Danny. Hey you wait this is Cleveland Medics 7. We're coming to you guys with a 15 year old female. Excuse me she's coming from an MVA. She actually flipped her vehicle up on his side 25-30 miles an hour. She was unrestrained but was able to self-execute from the vehicle. Only complaint is left ankle pain. No LOC, no blood thinners, no medical history. Airbag did go off but no intrusion noted into the vehicle. Other than that vital signs were okay. 126.83 [REDACTED], respiration 16, 99%. We'll be at your guys's facility in probably about eight minutes. You said she's 15? 15, one five. And she did end up flipping? Yeah it was standing on his side. Yeah it was standing on his side yeah. They're probably gonna make her trauma then. Okay. Down impede just saying. Because they're more like particular on their trauma stuff. Okay. Alright we'll see you in a little bit. Bye bye.</t>
  </si>
  <si>
    <t>You're reached Danny. Hey you wait this is Cleveland Medics 7. We're coming to you guys with a 15 year old female. Excuse me she's coming from an MVA. She actually flipped her vehicle up on his side 25-30 miles an hour. She was unrestrained but was able to self-execute from the vehicle. Only complaint is left ankle pain. No LOC, no blood thinners, no medical history. Airbag did go off but no intrusion noted into the vehicle. Other than that vital signs were okay. [REDACTED] heart rate of 103, respiration 16, 99%. We'll be at your guys's facility in probably about eight minutes. You said she's 15? 15, one five. And she did end up flipping? Yeah it was standing on his side. Yeah it was standing on his side yeah. They're probably gonna make her trauma then. Okay. Down impede just saying. Because they're more like particular on their trauma stuff. Okay. Alright we'll see you in a little bit. Bye bye.</t>
  </si>
  <si>
    <t>You're reached Danny. Hey you wait this is Cleveland Medics 7. We're coming to you guys with a 15 year old female. Excuse me she's coming from an MVA. She actually flipped her vehicle up on his side 25-30 miles an hour. She was unrestrained but was able to self-execute from the vehicle. Only complaint is left ankle pain. No LOC, no blood thinners, no medical history. Airbag did go off but no intrusion noted into the vehicle. Other than that vital signs were okay. 126.83 heart rate of 103, [REDACTED], 99%. We'll be at your guys's facility in probably about eight minutes. You said she's 15? 15, one five. And she did end up flipping? Yeah it was standing on his side. Yeah it was standing on his side yeah. They're probably gonna make her trauma then. Okay. Down impede just saying. Because they're more like particular on their trauma stuff. Okay. Alright we'll see you in a little bit. Bye bye.</t>
  </si>
  <si>
    <t>Hello, this is Cleveland Squad 142. I'm bringing you a 13 year old male coming from NVA Carver Pedestrian. He was on his bike, he got hit on the back tire, fell face first. He is bleeding from the lip, no LLC, just chipped tooth. And we have C collar placed, he's having pain on his left hip. That's rating at a five. Blood pressure is 140 over 71, the heart rate of 91, the S with two levels of 99, we're about five to six minutes off. How old is he again? 13 year old male. One three for P's, and you know approximately how fast the car was going? No, he said they were just going fast and they were drunk. Okay, and you said you haven't seen collar, no LLC. You said he had an abrasion to his face and lip. Yeah, just a flip side. He's busted and he has a chipped tooth. And then he's having pain on his left hip. All right, my friend, no deformities or anything like that? No. Then I'm assuming no helmet. No helmet, no. All right, my friend, ETA? Five, six minutes off. All right, thank you. All right, see you. Bye.</t>
  </si>
  <si>
    <t>13-year-old male on bike hit on back tire, fell face first bleeding from lip no LOC chipped tooth. See collar placed. Pain on left hip. Pressure 140/71 heart rate 91 o2 99. Yeah, abrasion to face and lip. No helmet.</t>
  </si>
  <si>
    <t>NVA Carver Pedestrian</t>
  </si>
  <si>
    <t>The transcript mentions a 13-year-old male involved in a non-vehicular accident (NVA) as a pedestrian on a bike, hit by a car.</t>
  </si>
  <si>
    <t>['heart rate of 91']</t>
  </si>
  <si>
    <t>['Blood pressure is 140 over 71']</t>
  </si>
  <si>
    <t>Hello, this is Cleveland Squad 142. I'm bringing you a 13 year old male coming from NVA Carver Pedestrian. He was on his bike, he got hit on the back tire, fell face first. He is bleeding from the lip, no LLC, just chipped tooth. And we have C collar placed, he's having pain on his left hip. That's rating at a five. Blood pressure is 140 over 71, the [REDACTED], the S with two levels of 99, we're about five to six minutes off. How old is he again? 13 year old male. One three for P's, and you know approximately how fast the car was going? No, he said they were just going fast and they were drunk. Okay, and you said you haven't seen collar, no LLC. You said he had an abrasion to his face and lip. Yeah, just a flip side. He's busted and he has a chipped tooth. And then he's having pain on his left hip. All right, my friend, no deformities or anything like that? No. Then I'm assuming no helmet. No helmet, no. All right, my friend, ETA? Five, six minutes off. All right, thank you. All right, see you. Bye.</t>
  </si>
  <si>
    <t>Hello, this is Cleveland Squad 142. I'm bringing you a 13 year old male coming from NVA Carver Pedestrian. He was on his bike, he got hit on the back tire, fell face first. He is bleeding from the lip, no LLC, just chipped tooth. And we have C collar placed, he's having pain on his left hip. That's rating at a five. [REDACTED], the heart rate of 91, the S with two levels of 99, we're about five to six minutes off. How old is he again? 13 year old male. One three for P's, and you know approximately how fast the car was going? No, he said they were just going fast and they were drunk. Okay, and you said you haven't seen collar, no LLC. You said he had an abrasion to his face and lip. Yeah, just a flip side. He's busted and he has a chipped tooth. And then he's having pain on his left hip. All right, my friend, no deformities or anything like that? No. Then I'm assuming no helmet. No helmet, no. All right, my friend, ETA? Five, six minutes off. All right, thank you. All right, see you. Bye.</t>
  </si>
  <si>
    <t>UH. Hi, this is UFoodMedic41 with a pediatric report. Alright. We're coming at you with a four-year-old male who fell out of a two-story window onto a chair about 12 feet-ish. No loss of consciousness. He knocked two of his front teeth out. He's A and O times four talking bird. He's not talking with us now, but he's following us around. Pupils are reactive. False 120 centimeter on the mirror. And we're not able to get pressure to cycle, but he's . Any loss of consciousness? No loss of consciousness. No? A window onto a chair, yeah? Yeah. Okay. And then any injuries? Just besides his two front teeth being knocked out. Nothing we can see right now. Okay. And we do have a C- call on him at the moment. We're not sure if he's going to keep it on or not, but for right now he has one. Okay. And an ETA? ETA about eight minutes. Eight minutes? Okay. And you said probably like 12 feet? Yeah, around 12 feet, two stories. Okay. Alright. Alright, we'll see you soon. Yep. Bye. Bye.</t>
  </si>
  <si>
    <t>Four-year-old male fall out of two-story window onto a chair, 12 feet. No loss of consciousness, knocked out front teeth. Alert and oriented times four. Not talking with us now. Pupils are reactive pulse 120. No loss of consciousness see collar.</t>
  </si>
  <si>
    <t>Fall from a two-story window onto a chair</t>
  </si>
  <si>
    <t>The report describes a four-year-old male who fell from a two-story window, approximately 12 feet, onto a chair.</t>
  </si>
  <si>
    <t>['four-year-old male']</t>
  </si>
  <si>
    <t>UH. Hi, this is UFoodMedic41 with a pediatric report. Alright. We're coming at you with a [REDACTED] who fell out of a two-story window onto a chair about 12 feet-ish. No loss of consciousness. He knocked two of his front teeth out. He's A and O times four talking bird. He's not talking with us now, but he's following us around. Pupils are reactive. False 120 centimeter on the mirror. And we're not able to get pressure to cycle, but he's . Any loss of consciousness? No loss of consciousness. No? A window onto a chair, yeah? Yeah. Okay. And then any injuries? Just besides his two front teeth being knocked out. Nothing we can see right now. Okay. And we do have a C- call on him at the moment. We're not sure if he's going to keep it on or not, but for right now he has one. Okay. And an ETA? ETA about eight minutes. Eight minutes? Okay. And you said probably like 12 feet? Yeah, around 12 feet, two stories. Okay. Alright. Alright, we'll see you soon. Yep. Bye. Bye.</t>
  </si>
  <si>
    <t>UH. Hi, this is UFoodMedic41 with a pediatric report. Alright. We're coming at you with a four-year-old male who [REDACTED]. No loss of consciousness. He knocked two of his front teeth out. He's A and O times four talking bird. He's not talking with us now, but he's following us around. Pupils are reactive. False 120 centimeter on the mirror. And we're not able to get pressure to cycle, but he's . Any loss of consciousness? No loss of consciousness. No? [REDACTED], yeah? Yeah. Okay. And then any injuries? Just besides his two front teeth being knocked out. Nothing we can see right now. Okay. And we do have a C- call on him at the moment. We're not sure if he's going to keep it on or not, but for right now he has one. Okay. And an ETA? ETA about eight minutes. Eight minutes? Okay. And you said probably like 12 feet? Yeah, [REDACTED]. Okay. Alright. Alright, we'll see you soon. Yep. Bye. Bye.</t>
  </si>
  <si>
    <t>Hey, it's Dani. Hey, this is Kaitlyn Hall. I'm from Peetside. Hey, we're getting a kid flown in and we want to page out a full activation. Okay. Is it from another hospital? Is it from another hospital or from a scene? It's a scene run, flying. How old? One year old, head trauma, seizure activity, 15 minute ETA, full activation, please. Okay, gotcha. Do you just want me, you want to wait for the helicopter? No, go ahead and page it out so we can, with the 15 minute ETA. All right, is it male or female? Male or female? Male, I think. And is it, did you say MVC or what? No, a fall with head trauma and seizure activity. Gotcha. All right, I'll page it out right now. Thank you. Bye.</t>
  </si>
  <si>
    <t>One-year-old head, trauma, seizure, activity male fall.</t>
  </si>
  <si>
    <t>Fall with head trauma</t>
  </si>
  <si>
    <t>The transcript mentions a fall resulting in head trauma and seizure activity.</t>
  </si>
  <si>
    <t>['One year old']</t>
  </si>
  <si>
    <t>Hey, it's Dani. Hey, this is Kaitlyn Hall. I'm from Peetside. Hey, we're getting a kid flown in and we want to page out a full activation. Okay. Is it from another hospital? Is it from another hospital or from a scene? It's a scene run, flying. How old? [REDACTED], head trauma, seizure activity, 15 minute ETA, full activation, please. Okay, gotcha. Do you just want me, you want to wait for the helicopter? No, go ahead and page it out so we can, with the 15 minute ETA. All right, is it male or female? Male or female? Male, I think. And is it, did you say MVC or what? No, a fall with head trauma and seizure activity. Gotcha. All right, I'll page it out right now. Thank you. Bye.</t>
  </si>
  <si>
    <t>Hello, UH. Hey, UH. It's Cleveland EMS Dispatch. How are you? Good. What's up? I actually have... Can I give you for Rainbow as well? Sure. Okay. We have a Medic 20 coming with an 11-month-old male involved in an MVA. He was restrained. Obvious head injuries. Seizing and is still seizing. Oh. Edivan was administered. Unsuccessful IO times two. 15 liters on a 9-breather. Heart rate of 124. And they got about 6-minute ETA. They also have mom with them. It has some injuries as well, but is ambulatory. All right. She'll follow the child, I assume, first. Okay. Thank you. I'll let them know. Thank you. All right. Bye-bye. All right. Support you.</t>
  </si>
  <si>
    <t>L1, 0 y/o, Vitals(BP: N/A, HR: 124, RR: N/A), GCS: N/A, MOI (MVA with obvious head injuries and ongoing seizure), ETA: 6 minutes</t>
  </si>
  <si>
    <t>11 month old male MVA restrained obvious head injuries seizing and still seizing. Ativan administered. Unsuccessful I/O times two. 15 L on nonrebreather. Heart rate of 124, Mom with them, ambulatory.</t>
  </si>
  <si>
    <t>The transcript mentions an 11-month-old male involved in an MVA with head injuries.</t>
  </si>
  <si>
    <t>['11-month-old male']</t>
  </si>
  <si>
    <t>['Heart rate of 124']</t>
  </si>
  <si>
    <t>Hello, UH. Hey, UH. It's Cleveland EMS Dispatch. How are you? Good. What's up? I actually have... Can I give you for Rainbow as well? Sure. Okay. We have a Medic 20 coming with an [REDACTED] involved in an MVA. He was restrained. Obvious head injuries. Seizing and is still seizing. Oh. Edivan was administered. Unsuccessful IO times two. 15 liters on a 9-breather. Heart rate of 124. And they got about 6-minute ETA. They also have mom with them. It has some injuries as well, but is ambulatory. All right. She'll follow the child, I assume, first. Okay. Thank you. I'll let them know. Thank you. All right. Bye-bye. All right. Support you.</t>
  </si>
  <si>
    <t>Hello, UH. Hey, UH. It's Cleveland EMS Dispatch. How are you? Good. What's up? I actually have... Can I give you for Rainbow as well? Sure. Okay. We have a Medic 20 coming with an 11-month-old male involved in an MVA. He was restrained. Obvious head injuries. Seizing and is still seizing. Oh. Edivan was administered. Unsuccessful IO times two. 15 liters on a 9-breather. [REDACTED]. And they got about 6-minute ETA. They also have mom with them. It has some injuries as well, but is ambulatory. All right. She'll follow the child, I assume, first. Okay. Thank you. I'll let them know. Thank you. All right. Bye-bye. All right. Support you.</t>
  </si>
  <si>
    <t>UH. UH, Cleveland Medical 11 wants to pay your report. Go ahead. We're bringing you, we're bringing Rainbows, a two year old kid that was an unrestrained passenger in a two car high speed MVA with extensive damage. We're not exactly sure if she was ejected. She's only, the only injury that I see is a laceration inside her mouth. She is arousable. Her heart rate was 132. Her pressure was 106 over 70. We're also bringing you a, hold on, a 32 year old female who is an unrestrained driver of the same car with extensive damage. Okay. Extreme damage. She's complaining of leg pain, no LOC. Her pressure is 96 over 76. Heart rate is 130. We'll be there in about five minutes. Alright, we're going to make her a limited and then we'll call a PGE and they'll probably make that one of them. Okay? Yep. See you, babe. Bye. Okay.</t>
  </si>
  <si>
    <t>Two year-old kid on restrained passenger in high speed MVA with extensive damage. Unsure ejection. Laceration inside mouth. Arousable. Heart rate 132 pressure 106/7 zero. Also 32-year-old female un restrained driver in same car with extensive damage. Leg pain no LOC. Pressure 96/76, heart rate 130.</t>
  </si>
  <si>
    <t>Two car high speed MVA</t>
  </si>
  <si>
    <t>The report mentions a two car high speed motor vehicle accident (MVA) with extensive damage.</t>
  </si>
  <si>
    <t>['two year old kid']</t>
  </si>
  <si>
    <t>['heart rate was 132']</t>
  </si>
  <si>
    <t>['pressure was 106 over 70']</t>
  </si>
  <si>
    <t>['She is arousable']</t>
  </si>
  <si>
    <t>UH. UH, Cleveland Medical 11 wants to pay your report. Go ahead. We're bringing you, we're bringing Rainbows, a [REDACTED] that was an unrestrained passenger in a two car high speed MVA with extensive damage. We're not exactly sure if she was ejected. She's only, the only injury that I see is a laceration inside her mouth. She is arousable. Her heart rate was 132. Her pressure was 106 over 70. We're also bringing you a, hold on, a 32 year old female who is an unrestrained driver of the same car with extensive damage. Okay. Extreme damage. She's complaining of leg pain, no LOC. Her pressure is 96 over 76. Heart rate is 130. We'll be there in about five minutes. Alright, we're going to make her a limited and then we'll call a PGE and they'll probably make that one of them. Okay? Yep. See you, babe. Bye. Okay.</t>
  </si>
  <si>
    <t>UH. UH, Cleveland Medical 11 wants to pay your report. Go ahead. We're bringing you, we're bringing Rainbows, a two year old kid that was an unrestrained passenger in a two car high speed MVA with extensive damage. We're not exactly sure if she was ejected. She's only, the only injury that I see is a laceration inside her mouth. She is arousable. Her [REDACTED]. Her pressure was 106 over 70. We're also bringing you a, hold on, a 32 year old female who is an unrestrained driver of the same car with extensive damage. Okay. Extreme damage. She's complaining of leg pain, no LOC. Her pressure is 96 over 76. Heart rate is 130. We'll be there in about five minutes. Alright, we're going to make her a limited and then we'll call a PGE and they'll probably make that one of them. Okay? Yep. See you, babe. Bye. Okay.</t>
  </si>
  <si>
    <t>UH. UH, Cleveland Medical 11 wants to pay your report. Go ahead. We're bringing you, we're bringing Rainbows, a two year old kid that was an unrestrained passenger in a two car high speed MVA with extensive damage. We're not exactly sure if she was ejected. She's only, the only injury that I see is a laceration inside her mouth. She is arousable. Her heart rate was 132. Her [REDACTED]. We're also bringing you a, hold on, a 32 year old female who is an unrestrained driver of the same car with extensive damage. Okay. Extreme damage. She's complaining of leg pain, no LOC. Her pressure is 96 over 76. Heart rate is 130. We'll be there in about five minutes. Alright, we're going to make her a limited and then we'll call a PGE and they'll probably make that one of them. Okay? Yep. See you, babe. Bye. Okay.</t>
  </si>
  <si>
    <t>UH. UH, Cleveland Medical 11 wants to pay your report. Go ahead. We're bringing you, we're bringing Rainbows, a two year old kid that was an unrestrained passenger in a two car high speed MVA with extensive damage. We're not exactly sure if she was ejected. She's only, the only injury that I see is a laceration inside her mouth. [REDACTED]. Her heart rate was 132. Her pressure was 106 over 70. We're also bringing you a, hold on, a 32 year old female who is an unrestrained driver of the same car with extensive damage. Okay. Extreme damage. She's complaining of leg pain, no LOC. Her pressure is 96 over 76. Heart rate is 130. We'll be there in about five minutes. Alright, we're going to make her a limited and then we'll call a PGE and they'll probably make that one of them. Okay? Yep. See you, babe. Bye. Okay.</t>
  </si>
  <si>
    <t>Good job. UH. Hey, it's leaving 26. I'm going to have three kids from my car accident. Good. All three kids are coming from the car with severe front end damage. Airbags deployed. All were seated in the back seat unrestrained. Kids are saying this car was going really fast when it happened. Unknown LOC. We got a 10-year-old female. She's possibly got a broken left wrist. That's a complaint that an invisible injury for her. Other than that, she's acting age appropriate. We have a 5-year-old female. She's complaining about hip pain. I'm sorry, 8-year-old female. She's complaining about hip pain and right arm pain as well. No obvious injuries. Acting age appropriate. And then we have a 5-year-old male. He's going to have a pretty significant lack to the left lower leg and a couple abrasions throughout both legs as well. Acting age appropriate. No other obvious injuries for him. We're going to be there in about six. The seven minutes. Okay. They'll all be 11 minutes. Okay. Yeah, they're all going to be just two-collar E. You're probably going to need help bringing them in. Okay. We'll see which can get you. Thank you. Bye. Okay.</t>
  </si>
  <si>
    <t>Three kids severe front end damage airbags deployed all seated in backseat on restrained. Really fast. Unknown LOC. 10 year-old female possible broken left wrist. Five year-old female hip pain. Eight year-old female sorry. Hip pain and right arm pain. Five year-old male significant lack to left lower leg and a couple abrasions throughout both legs.</t>
  </si>
  <si>
    <t>Car accident with severe front end damage</t>
  </si>
  <si>
    <t>The transcript mentions a car accident with severe front end damage and airbags deployed.</t>
  </si>
  <si>
    <t>['10-year-old female', '8-year-old female', '5-year-old male']</t>
  </si>
  <si>
    <t>['acting age appropriate', 'acting age appropriate', 'acting age appropriate']</t>
  </si>
  <si>
    <t>Good job. UH. Hey, it's leaving 26. I'm going to have three kids from my car accident. Good. All three kids are coming from the car with severe front end damage. Airbags deployed. All were seated in the back seat unrestrained. Kids are saying this car was going really fast when it happened. Unknown LOC. We got a [REDACTED]. She's possibly got a broken left wrist. That's a complaint that an invisible injury for her. Other than that, she's acting age appropriate. We have a 5-year-old female. She's complaining about hip pain. I'm sorry, [REDACTED]. She's complaining about hip pain and right arm pain as well. No obvious injuries. Acting age appropriate. And then we have a [REDACTED]. He's going to have a pretty significant lack to the left lower leg and a couple abrasions throughout both legs as well. Acting age appropriate. No other obvious injuries for him. We're going to be there in about six. The seven minutes. Okay. They'll all be 11 minutes. Okay. Yeah, they're all going to be just two-collar E. You're probably going to need help bringing them in. Okay. We'll see which can get you. Thank you. Bye. Okay.</t>
  </si>
  <si>
    <t>UH. Hi, this is Troy 4554 Medic Squad. You guys ready for a report? Yeah, go ahead. We're coming to you with an 8-year-old female. She was involved in a three-car MPA and her father is attending us in the back of the squad. Heart rate right now is 85, SpO2 99%, blood pressure 130 over 69. Her only complaints are lower left quadrant abdominal pain and her right foot, big toe, has a little bit of blood around it and she has a little rash to the right side of her neck from the seatbelt. And we should be able to do you guys in about half an hour or so. Half an hour. Yeah. I'm sorry, what squad were you guys? Troy. Troy, okay. Yep. All right. Do you know how fast they were going? How fast do you think you were going? How fast do you think you were going? Okay. The father estimates about 45 miles an hour and it was a side swipe. Okay. All right. Are there any other problems? No. Okay. Do you have any other patients coming to us that you know of? Her father is going to be seen in the adult ER. Okay. But everyone else got transported to Geauga. Is he going to go over with her first and then come back and be seen or are you guys dropping him off with us, with the adult side? Hang on. Okay. We'll drop the father. Okay. Okay. We'll drop the father. Okay. We'll drop the father off first and then we'll bring her in. Okay. Can I get just some info on him? Yeah. One second. Let me pull it up. All right. He's a 42-year-old male. No complaints of any injuries. He was seat belted. Airbags did deploy in the vehicle. No loss of consciousness. Did not hit his head. No drugs or alcohol. And yeah, he was a driver. So, yeah. Okay. Any blood thinners? Negative. Okay. We're going to have too much trouble. Vitals are good? I did not get vitals on him. If you want me to get vitals before we drop him off, I can do that. No. You're good. All right. We'll see you in 30. Thanks. All right. Thanks. Bye. I'm sorry. Bye. Bye. Bye. Bye. Bye. Bye. Bye. Bye. Bye. Bye. Bye. Bye. Bye. Bye. Bye. Bye. Bye. Bye. Bye.</t>
  </si>
  <si>
    <t>Eight-year-old female involved in three car MVA. Heart rate 8502 99% pressure 130/69. Left lower quadrant abdominal pain and right foot complaint. Little rash to right side of her neck from seatbelt. 45 mph sideswipe. Airbags did deploy no loss of consciousness. 42 year-old male father, seatbelted.</t>
  </si>
  <si>
    <t>Three-car MPA (Motor Vehicle Accident)</t>
  </si>
  <si>
    <t>The transcript mentions the 8-year-old female was involved in a three-car MPA, which stands for Motor Vehicle Accident.</t>
  </si>
  <si>
    <t>['8-year-old female']</t>
  </si>
  <si>
    <t>['Heart rate right now is 85']</t>
  </si>
  <si>
    <t>['blood pressure 130 over 69']</t>
  </si>
  <si>
    <t>UH. Hi, this is Troy 4554 Medic Squad. You guys ready for a report? Yeah, go ahead. We're coming to you with an [REDACTED]. She was involved in a three-car MPA and her father is attending us in the back of the squad. Heart rate right now is 85, SpO2 99%, blood pressure 130 over 69. Her only complaints are lower left quadrant abdominal pain and her right foot, big toe, has a little bit of blood around it and she has a little rash to the right side of her neck from the seatbelt. And we should be able to do you guys in about half an hour or so. Half an hour. Yeah. I'm sorry, what squad were you guys? Troy. Troy, okay. Yep. All right. Do you know how fast they were going? How fast do you think you were going? How fast do you think you were going? Okay. The father estimates about 45 miles an hour and it was a side swipe. Okay. All right. Are there any other problems? No. Okay. Do you have any other patients coming to us that you know of? Her father is going to be seen in the adult ER. Okay. But everyone else got transported to Geauga. Is he going to go over with her first and then come back and be seen or are you guys dropping him off with us, with the adult side? Hang on. Okay. We'll drop the father. Okay. Okay. We'll drop the father. Okay. We'll drop the father off first and then we'll bring her in. Okay. Can I get just some info on him? Yeah. One second. Let me pull it up. All right. He's a 42-year-old male. No complaints of any injuries. He was seat belted. Airbags did deploy in the vehicle. No loss of consciousness. Did not hit his head. No drugs or alcohol. And yeah, he was a driver. So, yeah. Okay. Any blood thinners? Negative. Okay. We're going to have too much trouble. Vitals are good? I did not get vitals on him. If you want me to get vitals before we drop him off, I can do that. No. You're good. All right. We'll see you in 30. Thanks. All right. Thanks. Bye. I'm sorry. Bye. Bye. Bye. Bye. Bye. Bye. Bye. Bye. Bye. Bye. Bye. Bye. Bye. Bye. Bye. Bye. Bye. Bye. Bye.</t>
  </si>
  <si>
    <t>UH. Hi, this is Troy 4554 Medic Squad. You guys ready for a report? Yeah, go ahead. We're coming to you with an 8-year-old female. She was involved in a three-car MPA and her father is attending us in the back of the squad. [REDACTED], SpO2 99%, blood pressure 130 over 69. Her only complaints are lower left quadrant abdominal pain and her right foot, big toe, has a little bit of blood around it and she has a little rash to the right side of her neck from the seatbelt. And we should be able to do you guys in about half an hour or so. Half an hour. Yeah. I'm sorry, what squad were you guys? Troy. Troy, okay. Yep. All right. Do you know how fast they were going? How fast do you think you were going? How fast do you think you were going? Okay. The father estimates about 45 miles an hour and it was a side swipe. Okay. All right. Are there any other problems? No. Okay. Do you have any other patients coming to us that you know of? Her father is going to be seen in the adult ER. Okay. But everyone else got transported to Geauga. Is he going to go over with her first and then come back and be seen or are you guys dropping him off with us, with the adult side? Hang on. Okay. We'll drop the father. Okay. Okay. We'll drop the father. Okay. We'll drop the father off first and then we'll bring her in. Okay. Can I get just some info on him? Yeah. One second. Let me pull it up. All right. He's a 42-year-old male. No complaints of any injuries. He was seat belted. Airbags did deploy in the vehicle. No loss of consciousness. Did not hit his head. No drugs or alcohol. And yeah, he was a driver. So, yeah. Okay. Any blood thinners? Negative. Okay. We're going to have too much trouble. Vitals are good? I did not get vitals on him. If you want me to get vitals before we drop him off, I can do that. No. You're good. All right. We'll see you in 30. Thanks. All right. Thanks. Bye. I'm sorry. Bye. Bye. Bye. Bye. Bye. Bye. Bye. Bye. Bye. Bye. Bye. Bye. Bye. Bye. Bye. Bye. Bye. Bye. Bye.</t>
  </si>
  <si>
    <t>UH. Hi, this is Troy 4554 Medic Squad. You guys ready for a report? Yeah, go ahead. We're coming to you with an 8-year-old female. She was involved in a three-car MPA and her father is attending us in the back of the squad. Heart rate right now is 85, SpO2 99%, [REDACTED]. Her only complaints are lower left quadrant abdominal pain and her right foot, big toe, has a little bit of blood around it and she has a little rash to the right side of her neck from the seatbelt. And we should be able to do you guys in about half an hour or so. Half an hour. Yeah. I'm sorry, what squad were you guys? Troy. Troy, okay. Yep. All right. Do you know how fast they were going? How fast do you think you were going? How fast do you think you were going? Okay. The father estimates about 45 miles an hour and it was a side swipe. Okay. All right. Are there any other problems? No. Okay. Do you have any other patients coming to us that you know of? Her father is going to be seen in the adult ER. Okay. But everyone else got transported to Geauga. Is he going to go over with her first and then come back and be seen or are you guys dropping him off with us, with the adult side? Hang on. Okay. We'll drop the father. Okay. Okay. We'll drop the father. Okay. We'll drop the father off first and then we'll bring her in. Okay. Can I get just some info on him? Yeah. One second. Let me pull it up. All right. He's a 42-year-old male. No complaints of any injuries. He was seat belted. Airbags did deploy in the vehicle. No loss of consciousness. Did not hit his head. No drugs or alcohol. And yeah, he was a driver. So, yeah. Okay. Any blood thinners? Negative. Okay. We're going to have too much trouble. Vitals are good? I did not get vitals on him. If you want me to get vitals before we drop him off, I can do that. No. You're good. All right. We'll see you in 30. Thanks. All right. Thanks. Bye. I'm sorry. Bye. Bye. Bye. Bye. Bye. Bye. Bye. Bye. Bye. Bye. Bye. Bye. Bye. Bye. Bye. Bye. Bye. Bye. Bye.</t>
  </si>
  <si>
    <t>UH. Hello? The regular one might work. Hello, UH. Hey, it's Shager. Hey, what's up? What you got? Hey, can you hear me? Yeah, I can hear you good. Shager, I just come with a four year old male, four, zero four. Okay. Going to Rainbow. Fell from a ten feet, about ten feet. It's like a bridge or a dam. He fell into like rocks and dirt. He said he's got head pain. He does have a golf ball sized laceration on the back of his head. He's got head pain. Looks like underneath his eyes are starting to bruise a little bit. He is also complaining of right ear pain. No deformities, nothing coming out of the ears at this moment. He's alert and oriented. Mom's with us. They're clean. You're welcome. Vitals are stable. We got a pressure 135 over 87. 99 on repair. And a pulse around 130. Probably be there in eight minutes. Okay. You said he does have bruising under the eyes? It looks, yeah, mom said he's got some dark spots. I think his eyes. Mom said it's not normal. Thinks it's a little darker than normal. Okay. Almost looks like the left one more than the right. Okay. You're eight minutes out? Yeah. Do you know if he lost consciousness when he fell? Parents said they don't think he did. He did kind of, he zoned out for a minute, maybe 30 seconds to a minute. He was pretty calm. Yeah. He's kind of staring off into space. Like with you guys? No. Right after it happened. Okay. All right. I'll let him know. Thanks. All right. Thanks. Bye.</t>
  </si>
  <si>
    <t>Four year-old male fell 10 feet onto rocks and dirt, head pain, golf ball laceration on back of head. Right ear pain, no deformities. Alert and oriented. Pressure 135/87, 99 on room air, pulse 130. Bruising under the eyes. Zoned out for a minute, 30 seconds.</t>
  </si>
  <si>
    <t>Fall from a ten feet, about ten feet, like a bridge or a dam</t>
  </si>
  <si>
    <t>The transcript describes a four-year-old male who fell from a height of about ten feet onto rocks and dirt.</t>
  </si>
  <si>
    <t>['a pulse around 130']</t>
  </si>
  <si>
    <t>['a pressure 135 over 87']</t>
  </si>
  <si>
    <t>["He's alert and oriented", 'he zoned out for a minute, maybe 30 seconds to a minute', "He's kind of staring off into space"]</t>
  </si>
  <si>
    <t>['Fell from a ten feet, about ten feet', 'He fell into like rocks and dirt']</t>
  </si>
  <si>
    <t>UH. Hello? The regular one might work. Hello, UH. Hey, it's Shager. Hey, what's up? What you got? Hey, can you hear me? Yeah, I can hear you good. Shager, I just come with a four year old male, four, zero four. Okay. Going to Rainbow. Fell from a ten feet, about ten feet. It's like a bridge or a dam. He fell into like rocks and dirt. He said he's got head pain. He does have a golf ball sized laceration on the back of his head. He's got head pain. Looks like underneath his eyes are starting to bruise a little bit. He is also complaining of right ear pain. No deformities, nothing coming out of the ears at this moment. He's alert and oriented. Mom's with us. They're clean. You're welcome. Vitals are stable. We got a pressure 135 over 87. 99 on repair. And [REDACTED]. Probably be there in eight minutes. Okay. You said he does have bruising under the eyes? It looks, yeah, mom said he's got some dark spots. I think his eyes. Mom said it's not normal. Thinks it's a little darker than normal. Okay. Almost looks like the left one more than the right. Okay. You're eight minutes out? Yeah. Do you know if he lost consciousness when he fell? Parents said they don't think he did. He did kind of, he zoned out for a minute, maybe 30 seconds to a minute. He was pretty calm. Yeah. He's kind of staring off into space. Like with you guys? No. Right after it happened. Okay. All right. I'll let him know. Thanks. All right. Thanks. Bye.</t>
  </si>
  <si>
    <t>UH. Hello? The regular one might work. Hello, UH. Hey, it's Shager. Hey, what's up? What you got? Hey, can you hear me? Yeah, I can hear you good. Shager, I just come with a four year old male, four, zero four. Okay. Going to Rainbow. Fell from a ten feet, about ten feet. It's like a bridge or a dam. He fell into like rocks and dirt. He said he's got head pain. He does have a golf ball sized laceration on the back of his head. He's got head pain. Looks like underneath his eyes are starting to bruise a little bit. He is also complaining of right ear pain. No deformities, nothing coming out of the ears at this moment. He's alert and oriented. Mom's with us. They're clean. You're welcome. Vitals are stable. We got [REDACTED]. 99 on repair. And a pulse around 130. Probably be there in eight minutes. Okay. You said he does have bruising under the eyes? It looks, yeah, mom said he's got some dark spots. I think his eyes. Mom said it's not normal. Thinks it's a little darker than normal. Okay. Almost looks like the left one more than the right. Okay. You're eight minutes out? Yeah. Do you know if he lost consciousness when he fell? Parents said they don't think he did. He did kind of, he zoned out for a minute, maybe 30 seconds to a minute. He was pretty calm. Yeah. He's kind of staring off into space. Like with you guys? No. Right after it happened. Okay. All right. I'll let him know. Thanks. All right. Thanks. Bye.</t>
  </si>
  <si>
    <t>UH. Hello? The regular one might work. Hello, UH. Hey, it's Shager. Hey, what's up? What you got? Hey, can you hear me? Yeah, I can hear you good. Shager, I just come with a four year old male, four, zero four. Okay. Going to Rainbow. Fell from a ten feet, about ten feet. It's like a bridge or a dam. He fell into like rocks and dirt. He said he's got head pain. He does have a golf ball sized laceration on the back of his head. He's got head pain. Looks like underneath his eyes are starting to bruise a little bit. He is also complaining of right ear pain. No deformities, nothing coming out of the ears at this moment. [REDACTED]. Mom's with us. They're clean. You're welcome. Vitals are stable. We got a pressure 135 over 87. 99 on repair. And a pulse around 130. Probably be there in eight minutes. Okay. You said he does have bruising under the eyes? It looks, yeah, mom said he's got some dark spots. I think his eyes. Mom said it's not normal. Thinks it's a little darker than normal. Okay. Almost looks like the left one more than the right. Okay. You're eight minutes out? Yeah. Do you know if he lost consciousness when he fell? Parents said they don't think he did. He did kind of, [REDACTED]. He was pretty calm. Yeah. [REDACTED]. Like with you guys? No. Right after it happened. Okay. All right. I'll let him know. Thanks. All right. Thanks. Bye.</t>
  </si>
  <si>
    <t>UH. Hello? The regular one might work. Hello, UH. Hey, it's Shager. Hey, what's up? What you got? Hey, can you hear me? Yeah, I can hear you good. Shager, I just come with a four year old male, four, zero four. Okay. Going to Rainbow. [REDACTED]. It's like a bridge or a dam. [REDACTED]. He said he's got head pain. He does have a golf ball sized laceration on the back of his head. He's got head pain. Looks like underneath his eyes are starting to bruise a little bit. He is also complaining of right ear pain. No deformities, nothing coming out of the ears at this moment. He's alert and oriented. Mom's with us. They're clean. You're welcome. Vitals are stable. We got a pressure 135 over 87. 99 on repair. And a pulse around 130. Probably be there in eight minutes. Okay. You said he does have bruising under the eyes? It looks, yeah, mom said he's got some dark spots. I think his eyes. Mom said it's not normal. Thinks it's a little darker than normal. Okay. Almost looks like the left one more than the right. Okay. You're eight minutes out? Yeah. Do you know if he lost consciousness when he fell? Parents said they don't think he did. He did kind of, he zoned out for a minute, maybe 30 seconds to a minute. He was pretty calm. Yeah. He's kind of staring off into space. Like with you guys? No. Right after it happened. Okay. All right. I'll let him know. Thanks. All right. Thanks. Bye.</t>
  </si>
  <si>
    <t>Hello, CH. Hey, this is one of those one-con trauma team. Warrensville, where you go? We have a 14-year-old male, he was involved with an NVA. Car hit a pole. I don't know how much the car was going. Damage to the car, the engine left the actual, yeah the engine left the front compartment. Driver did get ejected. Our patient states he did lose consciousness. He did lose a couple teeth, upper front tooth and then a side tooth. He's anal times two with us right now. Left set of vitals. Blood pressure was 118, 68, 98% room error. Heart rate is 68 in regular. No complaints. We did decolumn. I guess he was able to self-execute. He was execcuted before we got there. I thought you said he was ejected. No, the driver was ejected. Oh, he was. Yeah, he was the passenger. Oh, gotcha. Yeah, he was the passenger. Oh, gotcha. Okay. I'm sorry. Okay. He said he was not wearing a seat belt. Okay. All right, how far out are you guys? I'd say probably eight. Eight. All right, I'll call the rainbows and we'll get to it. It's gonna be obviously a trauma activation. Yeah. Thank you. You said he's anal two right now? Anal times three. He's a little more anorexic. Yeah, he can answer all the questions appropriately. He's a little, little grotty. Okay, sounds good. Bye.</t>
  </si>
  <si>
    <t>14-year-old male involved in MVA, car hit pole. Engine left front compartment, driver did get ejected. Did lose consciousness, did lose teeth, alert and oriented times two. Blood pressure 118/68, 98% room air, heart rate 68 regular. Patient self extricated he was the passenger. Not wearing seatbelt. Groggy.</t>
  </si>
  <si>
    <t>NVA (Car hit a pole)</t>
  </si>
  <si>
    <t>The transcript describes a 14-year-old male involved in a motor vehicle accident where the car hit a pole.</t>
  </si>
  <si>
    <t>['14-year-old male']</t>
  </si>
  <si>
    <t>['Blood pressure was 118, 68']</t>
  </si>
  <si>
    <t>['involved with an NVA', 'Car hit a pole', 'Driver did get ejected', 'he was the passenger', 'he was not wearing a seat belt']</t>
  </si>
  <si>
    <t>Hello, CH. Hey, this is one of those one-con trauma team. Warrensville, where you go? We have a [REDACTED], he was involved with an NVA. Car hit a pole. I don't know how much the car was going. Damage to the car, the engine left the actual, yeah the engine left the front compartment. Driver did get ejected. Our patient states he did lose consciousness. He did lose a couple teeth, upper front tooth and then a side tooth. He's anal times two with us right now. Left set of vitals. Blood pressure was 118, 68, 98% room error. Heart rate is 68 in regular. No complaints. We did decolumn. I guess he was able to self-execute. He was execcuted before we got there. I thought you said he was ejected. No, the driver was ejected. Oh, he was. Yeah, he was the passenger. Oh, gotcha. Yeah, he was the passenger. Oh, gotcha. Okay. I'm sorry. Okay. He said he was not wearing a seat belt. Okay. All right, how far out are you guys? I'd say probably eight. Eight. All right, I'll call the rainbows and we'll get to it. It's gonna be obviously a trauma activation. Yeah. Thank you. You said he's anal two right now? Anal times three. He's a little more anorexic. Yeah, he can answer all the questions appropriately. He's a little, little grotty. Okay, sounds good. Bye.</t>
  </si>
  <si>
    <t>Hello, CH. Hey, this is one of those one-con trauma team. Warrensville, where you go? We have a 14-year-old male, he was involved with an NVA. Car hit a pole. I don't know how much the car was going. Damage to the car, the engine left the actual, yeah the engine left the front compartment. Driver did get ejected. Our patient states he did lose consciousness. He did lose a couple teeth, upper front tooth and then a side tooth. He's anal times two with us right now. Left set of vitals. [REDACTED], 98% room error. Heart rate is 68 in regular. No complaints. We did decolumn. I guess he was able to self-execute. He was execcuted before we got there. I thought you said he was ejected. No, the driver was ejected. Oh, he was. Yeah, he was the passenger. Oh, gotcha. Yeah, he was the passenger. Oh, gotcha. Okay. I'm sorry. Okay. He said he was not wearing a seat belt. Okay. All right, how far out are you guys? I'd say probably eight. Eight. All right, I'll call the rainbows and we'll get to it. It's gonna be obviously a trauma activation. Yeah. Thank you. You said he's anal two right now? Anal times three. He's a little more anorexic. Yeah, he can answer all the questions appropriately. He's a little, little grotty. Okay, sounds good. Bye.</t>
  </si>
  <si>
    <t>Hello, CH. Hey, this is one of those one-con trauma team. Warrensville, where you go? We have a 14-year-old male, he was [REDACTED]. [REDACTED]. I don't know how much the car was going. Damage to the car, the engine left the actual, yeah the engine left the front compartment. [REDACTED]. Our patient states he did lose consciousness. He did lose a couple teeth, upper front tooth and then a side tooth. He's anal times two with us right now. Left set of vitals. Blood pressure was 118, 68, 98% room error. Heart rate is 68 in regular. No complaints. We did decolumn. I guess he was able to self-execute. He was execcuted before we got there. I thought you said he was ejected. No, the driver was ejected. Oh, he was. Yeah, [REDACTED]. Oh, gotcha. Yeah, [REDACTED]. Oh, gotcha. Okay. I'm sorry. Okay. He said [REDACTED]. Okay. All right, how far out are you guys? I'd say probably eight. Eight. All right, I'll call the rainbows and we'll get to it. It's gonna be obviously a trauma activation. Yeah. Thank you. You said he's anal two right now? Anal times three. He's a little more anorexic. Yeah, he can answer all the questions appropriately. He's a little, little grotty. Okay, sounds good. Bye.</t>
  </si>
  <si>
    <t>Hello, this is UH. Hey, UH, this is Cleveland EMS Medic 26. I've got an 11-year-old male coming to you, pedestrian struck, vehicle that struck the patient. He was going maybe 10 to 15 miles an hour. He's currently in all times for agencies and tech. He's putting up a right arm and right leg pain. No deformities or crepitus noted. He does have some abrasions to the forehead, nose, and cheeks, and below the left eye. I got a 20 in the left AC right now. I'm trying to get some vitals, but currently he's trying to stack on our monitor about 100. Give us an ETA of about seven to eight minutes. Any questions or comments? Any LLC involved? No LLC. Thank you very much. See you in a few. Bye. All right. Uh-huh.</t>
  </si>
  <si>
    <t>11-year-old male pedestrian struck by vehicle 10 to 15 mph. No deformities or crepitus, abrasions to forehead, nose and cheeks and below left eye. Sinus tack 100. No LLC.</t>
  </si>
  <si>
    <t>The transcript mentions an 11-year-old male pedestrian struck by a vehicle traveling at 10 to 15 miles per hour.</t>
  </si>
  <si>
    <t>['trying to stack on our monitor about 100']</t>
  </si>
  <si>
    <t>['currently in all times for agencies and tech']</t>
  </si>
  <si>
    <t>['pedestrian struck, vehicle that struck the patient', 'He was going maybe 10 to 15 miles an hour']</t>
  </si>
  <si>
    <t>Hello, this is UH. Hey, UH, this is Cleveland EMS Medic 26. I've got an [REDACTED] coming to you, pedestrian struck, vehicle that struck the patient. He was going maybe 10 to 15 miles an hour. He's currently in all times for agencies and tech. He's putting up a right arm and right leg pain. No deformities or crepitus noted. He does have some abrasions to the forehead, nose, and cheeks, and below the left eye. I got a 20 in the left AC right now. I'm trying to get some vitals, but currently he's trying to stack on our monitor about 100. Give us an ETA of about seven to eight minutes. Any questions or comments? Any LLC involved? No LLC. Thank you very much. See you in a few. Bye. All right. Uh-huh.</t>
  </si>
  <si>
    <t>Hello, this is UH. Hey, UH, this is Cleveland EMS Medic 26. I've got an 11-year-old male coming to you, pedestrian struck, vehicle that struck the patient. He was going maybe 10 to 15 miles an hour. He's currently in all times for agencies and tech. He's putting up a right arm and right leg pain. No deformities or crepitus noted. He does have some abrasions to the forehead, nose, and cheeks, and below the left eye. I got a 20 in the left AC right now. I'm trying to get some vitals, but currently he's [REDACTED]. Give us an ETA of about seven to eight minutes. Any questions or comments? Any LLC involved? No LLC. Thank you very much. See you in a few. Bye. All right. Uh-huh.</t>
  </si>
  <si>
    <t>Hello, this is UH. Hey, UH, this is Cleveland EMS Medic 26. I've got an 11-year-old male coming to you, pedestrian struck, vehicle that struck the patient. He was going maybe 10 to 15 miles an hour. He's [REDACTED]. He's putting up a right arm and right leg pain. No deformities or crepitus noted. He does have some abrasions to the forehead, nose, and cheeks, and below the left eye. I got a 20 in the left AC right now. I'm trying to get some vitals, but currently he's trying to stack on our monitor about 100. Give us an ETA of about seven to eight minutes. Any questions or comments? Any LLC involved? No LLC. Thank you very much. See you in a few. Bye. All right. Uh-huh.</t>
  </si>
  <si>
    <t>Hello, this is UH. Hey, UH, this is Cleveland EMS Medic 26. I've got an 11-year-old male coming to you, [REDACTED]. [REDACTED]. He's currently in all times for agencies and tech. He's putting up a right arm and right leg pain. No deformities or crepitus noted. He does have some abrasions to the forehead, nose, and cheeks, and below the left eye. I got a 20 in the left AC right now. I'm trying to get some vitals, but currently he's trying to stack on our monitor about 100. Give us an ETA of about seven to eight minutes. Any questions or comments? Any LLC involved? No LLC. Thank you very much. See you in a few. Bye. All right. Uh-huh.</t>
  </si>
  <si>
    <t>Okay. UH Danny. Hey, this is Cleveland 30. Hey. Hey, we've got a 13-male MVA, high mechanism intrusion noted to driver's side and front end, restrained backseat passenger side. He's got seatbelt marks across his lower abdomen, abrasion to his left eye, abrasion to his left arm, vomited prior to our arrival. So, complaining of just feeling out of it. Was nauseous no longer. No loss of consciousness. Pupils are pearl. Vitals are stable. 98 heart rate. 115 over 72. 100% remear. 158 glucose. He said he was in the backseat. Was there anyone else in the car with him? Yeah, so mom, driver. Medic 1 is going to be transporting her. Okay. So, high speed, I'm presuming. Yeah, the pole was knocked over. Both cars are totaled. Okay, car versus pole. All right. Car versus pole and car versus car, yeah. The whole driver's side was completely, like, intruded. Oh. Yeah, like, it was a pretty high mechanism. How far are you out? We'll be there in, like, six minutes. Okay. And I'm going to make... I have a P trauma, just so you know. Yeah, no, that sounds good. Okay. All right, we'll see you soon. Bye. Thanks a lot.</t>
  </si>
  <si>
    <t>13-year-old male MVA high mechanism intrusion to driver side front. Seatbelt marks across lower abdomen, abrasion to left eye left arm, vomited prior to arrival. Feeling out of it. No loss of consciousness. Pupils are pearl. Vitals 98 heart rate 115/72, 100% room air, 158 glucose. Car versus pole, both cars totaled.</t>
  </si>
  <si>
    <t>MVA with high mechanism intrusion</t>
  </si>
  <si>
    <t>The transcript describes a motor vehicle accident (MVA) with significant intrusion on the driver's side and front end, indicating a high mechanism of injury.</t>
  </si>
  <si>
    <t>['98 heart rate']</t>
  </si>
  <si>
    <t>['115 over 72']</t>
  </si>
  <si>
    <t>['complaining of just feeling out of it', 'Was nauseous no longer', 'No loss of consciousness']</t>
  </si>
  <si>
    <t>Okay. UH Danny. Hey, this is Cleveland 30. Hey. Hey, we've got a [REDACTED] MVA, high mechanism intrusion noted to driver's side and front end, restrained backseat passenger side. He's got seatbelt marks across his lower abdomen, abrasion to his left eye, abrasion to his left arm, vomited prior to our arrival. So, complaining of just feeling out of it. Was nauseous no longer. No loss of consciousness. Pupils are pearl. Vitals are stable. 98 heart rate. 115 over 72. 100% remear. 158 glucose. He said he was in the backseat. Was there anyone else in the car with him? Yeah, so mom, driver. Medic 1 is going to be transporting her. Okay. So, high speed, I'm presuming. Yeah, the pole was knocked over. Both cars are totaled. Okay, car versus pole. All right. Car versus pole and car versus car, yeah. The whole driver's side was completely, like, intruded. Oh. Yeah, like, it was a pretty high mechanism. How far are you out? We'll be there in, like, six minutes. Okay. And I'm going to make... I have a P trauma, just so you know. Yeah, no, that sounds good. Okay. All right, we'll see you soon. Bye. Thanks a lot.</t>
  </si>
  <si>
    <t>Okay. UH Danny. Hey, this is Cleveland 30. Hey. Hey, we've got a 13-male MVA, high mechanism intrusion noted to driver's side and front end, restrained backseat passenger side. He's got seatbelt marks across his lower abdomen, abrasion to his left eye, abrasion to his left arm, vomited prior to our arrival. So, complaining of just feeling out of it. Was nauseous no longer. No loss of consciousness. Pupils are pearl. Vitals are stable. [REDACTED]. 115 over 72. 100% remear. 158 glucose. He said he was in the backseat. Was there anyone else in the car with him? Yeah, so mom, driver. Medic 1 is going to be transporting her. Okay. So, high speed, I'm presuming. Yeah, the pole was knocked over. Both cars are totaled. Okay, car versus pole. All right. Car versus pole and car versus car, yeah. The whole driver's side was completely, like, intruded. Oh. Yeah, like, it was a pretty high mechanism. How far are you out? We'll be there in, like, six minutes. Okay. And I'm going to make... I have a P trauma, just so you know. Yeah, no, that sounds good. Okay. All right, we'll see you soon. Bye. Thanks a lot.</t>
  </si>
  <si>
    <t>Okay. UH Danny. Hey, this is Cleveland 30. Hey. Hey, we've got a 13-male MVA, high mechanism intrusion noted to driver's side and front end, restrained backseat passenger side. He's got seatbelt marks across his lower abdomen, abrasion to his left eye, abrasion to his left arm, vomited prior to our arrival. So, complaining of just feeling out of it. Was nauseous no longer. No loss of consciousness. Pupils are pearl. Vitals are stable. 98 heart rate. [REDACTED]. 100% remear. 158 glucose. He said he was in the backseat. Was there anyone else in the car with him? Yeah, so mom, driver. Medic 1 is going to be transporting her. Okay. So, high speed, I'm presuming. Yeah, the pole was knocked over. Both cars are totaled. Okay, car versus pole. All right. Car versus pole and car versus car, yeah. The whole driver's side was completely, like, intruded. Oh. Yeah, like, it was a pretty high mechanism. How far are you out? We'll be there in, like, six minutes. Okay. And I'm going to make... I have a P trauma, just so you know. Yeah, no, that sounds good. Okay. All right, we'll see you soon. Bye. Thanks a lot.</t>
  </si>
  <si>
    <t>Okay. UH Danny. Hey, this is Cleveland 30. Hey. Hey, we've got a 13-male MVA, high mechanism intrusion noted to driver's side and front end, restrained backseat passenger side. He's got seatbelt marks across his lower abdomen, abrasion to his left eye, abrasion to his left arm, vomited prior to our arrival. So, [REDACTED]. [REDACTED]. [REDACTED]. Pupils are pearl. Vitals are stable. 98 heart rate. 115 over 72. 100% remear. 158 glucose. He said he was in the backseat. Was there anyone else in the car with him? Yeah, so mom, driver. Medic 1 is going to be transporting her. Okay. So, high speed, I'm presuming. Yeah, the pole was knocked over. Both cars are totaled. Okay, car versus pole. All right. Car versus pole and car versus car, yeah. The whole driver's side was completely, like, intruded. Oh. Yeah, like, it was a pretty high mechanism. How far are you out? We'll be there in, like, six minutes. Okay. And I'm going to make... I have a P trauma, just so you know. Yeah, no, that sounds good. Okay. All right, we'll see you soon. Bye. Thanks a lot.</t>
  </si>
  <si>
    <t>Hello, it's UH. Hey, this is Cleveland 7. We're en route with a 3-year-old female. She was an unrestrained front passenger in the... Hold on, hold on. You broke up. You're breaking up. Hello? Okay. 3-year-old female, unrestrained front seat passenger. Three. Three, right. Yeah, go ahead. Front seat passenger, main impact was on the passenger side. Blood pressure is 100 over 70. Heart rate is 130. Sinus on the monitor. She's got a confusion to her right cheek. Responsive to pain. Alert as far as we can tell. We should be there in about 10 minutes. What did they hit? How fast? It was on the highway, so high speed. Okay. All right. And you said she's alert? Yes. No LOC as far as we know? No LOC as far as we're aware. All right. We'll make that a little pediatric. All right. See you in a few. Thanks, Beth.</t>
  </si>
  <si>
    <t>Three-year-old female and restrained front passenger. Main impact on passenger side. Blood pressure 100/70 heart rate 130 contusion to right cheek, responsive to pain alert, no LOC, high speed.</t>
  </si>
  <si>
    <t>High-speed MVC with unrestrained passenger</t>
  </si>
  <si>
    <t>The transcript describes a 3-year-old female who was an unrestrained front seat passenger in a vehicle that had a main impact on the passenger side while on the highway, indicating a high-speed motor vehicle collision.</t>
  </si>
  <si>
    <t>['Blood pressure is 100 over 70']</t>
  </si>
  <si>
    <t>['unrestrained front passenger', 'unrestrained front seat passenger', 'main impact was on the passenger side', 'It was on the highway, so high speed']</t>
  </si>
  <si>
    <t>Hello, it's UH. Hey, this is Cleveland 7. We're en route with a 3-year-old female. She was an unrestrained front passenger in the... Hold on, hold on. You broke up. You're breaking up. Hello? Okay. 3-year-old female, unrestrained front seat passenger. Three. Three, right. Yeah, go ahead. Front seat passenger, main impact was on the passenger side. Blood pressure is 100 over 70. [REDACTED]. Sinus on the monitor. She's got a confusion to her right cheek. Responsive to pain. Alert as far as we can tell. We should be there in about 10 minutes. What did they hit? How fast? It was on the highway, so high speed. Okay. All right. And you said she's alert? Yes. No LOC as far as we know? No LOC as far as we're aware. All right. We'll make that a little pediatric. All right. See you in a few. Thanks, Beth.</t>
  </si>
  <si>
    <t>Hello, it's UH. Hey, this is Cleveland 7. We're en route with a 3-year-old female. She was an unrestrained front passenger in the... Hold on, hold on. You broke up. You're breaking up. Hello? Okay. 3-year-old female, unrestrained front seat passenger. Three. Three, right. Yeah, go ahead. Front seat passenger, main impact was on the passenger side. [REDACTED]. Heart rate is 130. Sinus on the monitor. She's got a confusion to her right cheek. Responsive to pain. Alert as far as we can tell. We should be there in about 10 minutes. What did they hit? How fast? It was on the highway, so high speed. Okay. All right. And you said she's alert? Yes. No LOC as far as we know? No LOC as far as we're aware. All right. We'll make that a little pediatric. All right. See you in a few. Thanks, Beth.</t>
  </si>
  <si>
    <t>Hello, it's UH. Hey, this is Cleveland 7. We're en route with a 3-year-old female. She was an [REDACTED] in the... Hold on, hold on. You broke up. You're breaking up. Hello? Okay. 3-year-old female, [REDACTED]. Three. Three, right. Yeah, go ahead. Front seat passenger, [REDACTED]. Blood pressure is 100 over 70. Heart rate is 130. Sinus on the monitor. She's got a confusion to her right cheek. Responsive to pain. Alert as far as we can tell. We should be there in about 10 minutes. What did they hit? How fast? [REDACTED]. Okay. All right. And you said she's alert? Yes. No LOC as far as we know? No LOC as far as we're aware. All right. We'll make that a little pediatric. All right. See you in a few. Thanks, Beth.</t>
  </si>
  <si>
    <t>You had to back. Hey, this is C-11. We're coming in with two people from NVA. One is going to be a one-year-old female. She was in the front seat of the car, was thrown to the back seat. No obvious injuries, no LLC. Heart rate is 180, 96%, about 34 rushes. The mom, how old are you? 27-year-old female. She was in the front seat, unrestrained, no LLC. Possible right ankle injury. You have to select it. 91 heart rate, 136 over 86. She's at 98% room air. We will be there about five minutes. Sorry, how fast were they going? She said that they weren't going that fast, maybe about 20 miles per hour, but they were hit from the back. Okay. Is this related to the one at 36? Is this bringing me? Yep. Okay. Were they hit by the same car? They were all in the same car. All in the same car. Yeah. Okay. So, the piece will probably be a trauma mechanism. You don't think the adult needs to be on that, do you? Can you say that one more time? Do you think the adult needs to be a trauma? No. I was going to have her go in a wheelchair when we got there. That sounds good. But I do have the baby on the back for it because she was thrown to the back. They'll probably make her a trauma just based on mechanisms. Okay. All right. Sounds good. Plan for that. What was your ETA? Five? About five to ten. Okay. We'll see you shortly. All right. Bye. Bye.</t>
  </si>
  <si>
    <t>all airbags. Three year-old boy restrained backseat, not in any type of car seat. Right sided face pain, minor abrasion to eye and right side cheek. Little tired before we got there, just woke up. Heart rate 106, 99% on room air, alert right now. 20 mph hit from back.</t>
  </si>
  <si>
    <t>NVA (hit from the back)</t>
  </si>
  <si>
    <t>The transcript mentions a non-vehicular accident where the car was hit from the back.</t>
  </si>
  <si>
    <t>['136 over 86']</t>
  </si>
  <si>
    <t>['about 34 rushes']</t>
  </si>
  <si>
    <t>You had to back. Hey, this is C-11. We're coming in with two people from NVA. One is going to be a one-year-old female. She was in the front seat of the car, was thrown to the back seat. No obvious injuries, no LLC. Heart rate is 180, 96%, [REDACTED]. The mom, how old are you? 27-year-old female. She was in the front seat, unrestrained, no LLC. Possible right ankle injury. You have to select it. 91 heart rate, 136 over 86. She's at 98% room air. We will be there about five minutes. Sorry, how fast were they going? She said that they weren't going that fast, maybe about 20 miles per hour, but they were hit from the back. Okay. Is this related to the one at 36? Is this bringing me? Yep. Okay. Were they hit by the same car? They were all in the same car. All in the same car. Yeah. Okay. So, the piece will probably be a trauma mechanism. You don't think the adult needs to be on that, do you? Can you say that one more time? Do you think the adult needs to be a trauma? No. I was going to have her go in a wheelchair when we got there. That sounds good. But I do have the baby on the back for it because she was thrown to the back. They'll probably make her a trauma just based on mechanisms. Okay. All right. Sounds good. Plan for that. What was your ETA? Five? About five to ten. Okay. We'll see you shortly. All right. Bye. Bye.</t>
  </si>
  <si>
    <t>Hi Zach, this is Cleveland 36. I have two potential traumas coming to you. Sorry, you have what? Two potential traumas. Okay. I think probably more due to MOI. Sure. So we have a Pede and then we have a 56 year old. Which one do you want first? Okay, 56 year old female. She was the restrained driver. They were going limited speed. She thinks about 15 to 20. They were turning a corner but they were hit by a vehicle that was being chased. So high speed of chase. They have pretty severe damage on intrusion in the back side of their vehicle through the trunk. She is having right-sided face pain. She has a little bump right there that she's complaining of and chest pain. Hold on honey. And chest pain. Vitals are 155 over 99. She's sinus on the monitor. 88 heart rate. Okay. She's alert and oriented. No blood thinners. No loss of consciousness. Okay. You said restrained, correct? Excuse me? You said restrained driver? Yes, restrained driver. Airbags? Yes, all airbags. Front airbags and side airbags. Okay. How much intrusion do you think? Probably the whole, it was the back driver side corner. Kind of through the trunk. Not into the back seat but just the back. I don't think it was the back seat. So I guess not intrusion but the whole back side. You think she needs to be a trauma? Just through the mechanism. That's the only thing I would, you know, I don't know how fast that other car was going. Okay. But I mean I guess I'll leave that up to you guys. So then we have a three-year-old boy who was restrained in the back seat but not in any type of left seat. Was he behind you honey? Behind a, who we're also bringing. He has some right-sided face pain with some minor abrasion on his eye and right-sided cheek. And mom says that he was saying he was a little tired before we got there but they were saying he just woke up. So unsure if it's due to incident or due to you know prior sleep. Heart rate was 106, 99 percent on room air. He's alert right Right now I'm holding on to them just with a little ice pack, trying to get to them. And we should be there in about five minutes. Okay. The people definitely, no, they'll both be traumas. So one adult trauma and one PEDS trauma. Yeah. Okay. Okay. We'll see you soon. We'll see you in a few. Thanks. Bye.</t>
  </si>
  <si>
    <t>aa all airbags. Three year-old boy restrained backseat, not in any type of car seat. Right sided face pain, minor abrasion to eye and right side cheek. Little tired before we got there, just woke up. Heart rate 106, 99% on room air, alert right now.</t>
  </si>
  <si>
    <t>MVC involving a vehicle being chased</t>
  </si>
  <si>
    <t>The transcript describes a collision where a vehicle was hit by another vehicle that was being chased, indicating a high-speed impact.</t>
  </si>
  <si>
    <t>['56 year old female', 'three-year-old boy']</t>
  </si>
  <si>
    <t>['88 heart rate', 'Heart rate was 106']</t>
  </si>
  <si>
    <t>['155 over 99']</t>
  </si>
  <si>
    <t>["She's alert and oriented", "He's alert right"]</t>
  </si>
  <si>
    <t>Hi Zach, this is Cleveland 36. I have two potential traumas coming to you. Sorry, you have what? Two potential traumas. Okay. I think probably more due to MOI. Sure. So we have a Pede and then we have a 56 year old. Which one do you want first? Okay, [REDACTED]. She was the restrained driver. They were going limited speed. She thinks about 15 to 20. They were turning a corner but they were hit by a vehicle that was being chased. So high speed of chase. They have pretty severe damage on intrusion in the back side of their vehicle through the trunk. She is having right-sided face pain. She has a little bump right there that she's complaining of and chest pain. Hold on honey. And chest pain. Vitals are 155 over 99. She's sinus on the monitor. 88 heart rate. Okay. She's alert and oriented. No blood thinners. No loss of consciousness. Okay. You said restrained, correct? Excuse me? You said restrained driver? Yes, restrained driver. Airbags? Yes, all airbags. Front airbags and side airbags. Okay. How much intrusion do you think? Probably the whole, it was the back driver side corner. Kind of through the trunk. Not into the back seat but just the back. I don't think it was the back seat. So I guess not intrusion but the whole back side. You think she needs to be a trauma? Just through the mechanism. That's the only thing I would, you know, I don't know how fast that other car was going. Okay. But I mean I guess I'll leave that up to you guys. So then we have a [REDACTED] who was restrained in the back seat but not in any type of left seat. Was he behind you honey? Behind a, who we're also bringing. He has some right-sided face pain with some minor abrasion on his eye and right-sided cheek. And mom says that he was saying he was a little tired before we got there but they were saying he just woke up. So unsure if it's due to incident or due to you know prior sleep. Heart rate was 106, 99 percent on room air. He's alert right Right now I'm holding on to them just with a little ice pack, trying to get to them. And we should be there in about five minutes. Okay. The people definitely, no, they'll both be traumas. So one adult trauma and one PEDS trauma. Yeah. Okay. Okay. We'll see you soon. We'll see you in a few. Thanks. Bye.</t>
  </si>
  <si>
    <t>Hi Zach, this is Cleveland 36. I have two potential traumas coming to you. Sorry, you have what? Two potential traumas. Okay. I think probably more due to MOI. Sure. So we have a Pede and then we have a 56 year old. Which one do you want first? Okay, 56 year old female. She was the restrained driver. They were going limited speed. She thinks about 15 to 20. They were turning a corner but they were hit by a vehicle that was being chased. So high speed of chase. They have pretty severe damage on intrusion in the back side of their vehicle through the trunk. She is having right-sided face pain. She has a little bump right there that she's complaining of and chest pain. Hold on honey. And chest pain. Vitals are 155 over 99. She's sinus on the monitor. [REDACTED]. Okay. She's alert and oriented. No blood thinners. No loss of consciousness. Okay. You said restrained, correct? Excuse me? You said restrained driver? Yes, restrained driver. Airbags? Yes, all airbags. Front airbags and side airbags. Okay. How much intrusion do you think? Probably the whole, it was the back driver side corner. Kind of through the trunk. Not into the back seat but just the back. I don't think it was the back seat. So I guess not intrusion but the whole back side. You think she needs to be a trauma? Just through the mechanism. That's the only thing I would, you know, I don't know how fast that other car was going. Okay. But I mean I guess I'll leave that up to you guys. So then we have a three-year-old boy who was restrained in the back seat but not in any type of left seat. Was he behind you honey? Behind a, who we're also bringing. He has some right-sided face pain with some minor abrasion on his eye and right-sided cheek. And mom says that he was saying he was a little tired before we got there but they were saying he just woke up. So unsure if it's due to incident or due to you know prior sleep. [REDACTED], 99 percent on room air. He's alert right Right now I'm holding on to them just with a little ice pack, trying to get to them. And we should be there in about five minutes. Okay. The people definitely, no, they'll both be traumas. So one adult trauma and one PEDS trauma. Yeah. Okay. Okay. We'll see you soon. We'll see you in a few. Thanks. Bye.</t>
  </si>
  <si>
    <t>Hi Zach, this is Cleveland 36. I have two potential traumas coming to you. Sorry, you have what? Two potential traumas. Okay. I think probably more due to MOI. Sure. So we have a Pede and then we have a 56 year old. Which one do you want first? Okay, 56 year old female. She was the restrained driver. They were going limited speed. She thinks about 15 to 20. They were turning a corner but they were hit by a vehicle that was being chased. So high speed of chase. They have pretty severe damage on intrusion in the back side of their vehicle through the trunk. She is having right-sided face pain. She has a little bump right there that she's complaining of and chest pain. Hold on honey. And chest pain. Vitals are [REDACTED]. She's sinus on the monitor. 88 heart rate. Okay. She's alert and oriented. No blood thinners. No loss of consciousness. Okay. You said restrained, correct? Excuse me? You said restrained driver? Yes, restrained driver. Airbags? Yes, all airbags. Front airbags and side airbags. Okay. How much intrusion do you think? Probably the whole, it was the back driver side corner. Kind of through the trunk. Not into the back seat but just the back. I don't think it was the back seat. So I guess not intrusion but the whole back side. You think she needs to be a trauma? Just through the mechanism. That's the only thing I would, you know, I don't know how fast that other car was going. Okay. But I mean I guess I'll leave that up to you guys. So then we have a three-year-old boy who was restrained in the back seat but not in any type of left seat. Was he behind you honey? Behind a, who we're also bringing. He has some right-sided face pain with some minor abrasion on his eye and right-sided cheek. And mom says that he was saying he was a little tired before we got there but they were saying he just woke up. So unsure if it's due to incident or due to you know prior sleep. Heart rate was 106, 99 percent on room air. He's alert right Right now I'm holding on to them just with a little ice pack, trying to get to them. And we should be there in about five minutes. Okay. The people definitely, no, they'll both be traumas. So one adult trauma and one PEDS trauma. Yeah. Okay. Okay. We'll see you soon. We'll see you in a few. Thanks. Bye.</t>
  </si>
  <si>
    <t>Hi Zach, this is Cleveland 36. I have two potential traumas coming to you. Sorry, you have what? Two potential traumas. Okay. I think probably more due to MOI. Sure. So we have a Pede and then we have a 56 year old. Which one do you want first? Okay, 56 year old female. She was the restrained driver. They were going limited speed. She thinks about 15 to 20. They were turning a corner but they were hit by a vehicle that was being chased. So high speed of chase. They have pretty severe damage on intrusion in the back side of their vehicle through the trunk. She is having right-sided face pain. She has a little bump right there that she's complaining of and chest pain. Hold on honey. And chest pain. Vitals are 155 over 99. She's sinus on the monitor. 88 heart rate. Okay. [REDACTED]. No blood thinners. No loss of consciousness. Okay. You said restrained, correct? Excuse me? You said restrained driver? Yes, restrained driver. Airbags? Yes, all airbags. Front airbags and side airbags. Okay. How much intrusion do you think? Probably the whole, it was the back driver side corner. Kind of through the trunk. Not into the back seat but just the back. I don't think it was the back seat. So I guess not intrusion but the whole back side. You think she needs to be a trauma? Just through the mechanism. That's the only thing I would, you know, I don't know how fast that other car was going. Okay. But I mean I guess I'll leave that up to you guys. So then we have a three-year-old boy who was restrained in the back seat but not in any type of left seat. Was he behind you honey? Behind a, who we're also bringing. He has some right-sided face pain with some minor abrasion on his eye and right-sided cheek. And mom says that he was saying he was a little tired before we got there but they were saying he just woke up. So unsure if it's due to incident or due to you know prior sleep. Heart rate was 106, 99 percent on room air. [REDACTED] Right now I'm holding on to them just with a little ice pack, trying to get to them. And we should be there in about five minutes. Okay. The people definitely, no, they'll both be traumas. So one adult trauma and one PEDS trauma. Yeah. Okay. Okay. We'll see you soon. We'll see you in a few. Thanks. Bye.</t>
  </si>
  <si>
    <t>U-H. It's Cleveland 7. Got a 15-1-5 female. Chief complaint, restrained back-key passenger in a role at the RMA. No loss of consciousness. And a 4-G-6-15 self-extricated that ran from the crash. Complaining of neck pain, right arm pain, right leg pain. Vitals, blood pressure 132.80, heart rate 132. 98% room air. She's taller. I got a line. We're about five out. All right. We'll see you in five. Thanks. Thanks.</t>
  </si>
  <si>
    <t>15-year-old female restrained back passenger MVA. No loss of consciousness GCS 15 self extricated, neck, pain, right arm pain right leg pain. Pressure 132/80 heart rate 132, 98% room air.</t>
  </si>
  <si>
    <t>MVC rollover</t>
  </si>
  <si>
    <t>The transcript mentions a "restrained back-key passenger in a role" and a "self-extricated that ran from the crash," indicating a motor vehicle collision with a rollover.</t>
  </si>
  <si>
    <t>['15-1-5 female']</t>
  </si>
  <si>
    <t>['heart rate 132']</t>
  </si>
  <si>
    <t>['blood pressure 132.80']</t>
  </si>
  <si>
    <t>['restrained back-key passenger in a role at the RMA', 'self-extricated that ran from the crash']</t>
  </si>
  <si>
    <t>U-H. It's Cleveland 7. Got a [REDACTED]. Chief complaint, restrained back-key passenger in a role at the RMA. No loss of consciousness. And a 4-G-6-15 self-extricated that ran from the crash. Complaining of neck pain, right arm pain, right leg pain. Vitals, blood pressure 132.80, heart rate 132. 98% room air. She's taller. I got a line. We're about five out. All right. We'll see you in five. Thanks. Thanks.</t>
  </si>
  <si>
    <t>U-H. It's Cleveland 7. Got a 15-1-5 female. Chief complaint, restrained back-key passenger in a role at the RMA. No loss of consciousness. And a 4-G-6-15 self-extricated that ran from the crash. Complaining of neck pain, right arm pain, right leg pain. Vitals, blood pressure 132.80, [REDACTED]. 98% room air. She's taller. I got a line. We're about five out. All right. We'll see you in five. Thanks. Thanks.</t>
  </si>
  <si>
    <t>U-H. It's Cleveland 7. Got a 15-1-5 female. Chief complaint, restrained back-key passenger in a role at the RMA. No loss of consciousness. And a 4-G-6-15 self-extricated that ran from the crash. Complaining of neck pain, right arm pain, right leg pain. Vitals, [REDACTED], heart rate 132. 98% room air. She's taller. I got a line. We're about five out. All right. We'll see you in five. Thanks. Thanks.</t>
  </si>
  <si>
    <t>U-H. It's Cleveland 7. Got a 15-1-5 female. Chief complaint, [REDACTED]. No loss of consciousness. And a 4-G-6-15 [REDACTED]. Complaining of neck pain, right arm pain, right leg pain. Vitals, blood pressure 132.80, heart rate 132. 98% room air. She's taller. I got a line. We're about five out. All right. We'll see you in five. Thanks. Thanks.</t>
  </si>
  <si>
    <t>UH, this is Dave. And then hit the bottom. Hey, this is page two. Wait, who is this? This is Cleveland 31. That's fine. This is Cleveland 31. We're bringing in the other patient from Medic 17. It's going to be a PEADS trauma. It's a 15, 1-5 female. Unrestrained rollover, unknown rate of speed. I'd say moderate to heavy damage. Self-extricated. We got her immobilized. She's got some complaints to left hip, like thigh pain. No deformity. MSPs are good. We're giving her 50 mics right now. She sinus at 80, 98% on room air. Got an end tidal at 35. What was her last pressure? 125 over 77 was her last pressure. We'll be there in like six, seven minutes. All right, thank you.</t>
  </si>
  <si>
    <t>15-year-old female un restrained rollover unknown rate of speed. Heavy damage. Self extricated. Complaints to left hip, no deformity. 50 Mike's. And title 35 pressure 125/77.</t>
  </si>
  <si>
    <t>Unrestrained rollover</t>
  </si>
  <si>
    <t>The transcript mentions an "unrestrained rollover" as the cause of injury.</t>
  </si>
  <si>
    <t>['15, 1-5 female']</t>
  </si>
  <si>
    <t>['She sinus at 80']</t>
  </si>
  <si>
    <t>['125 over 77 was her last pressure']</t>
  </si>
  <si>
    <t>UH, this is Dave. And then hit the bottom. Hey, this is page two. Wait, who is this? This is Cleveland 31. That's fine. This is Cleveland 31. We're bringing in the other patient from Medic 17. It's going to be a PEADS trauma. It's a [REDACTED]. Unrestrained rollover, unknown rate of speed. I'd say moderate to heavy damage. Self-extricated. We got her immobilized. She's got some complaints to left hip, like thigh pain. No deformity. MSPs are good. We're giving her 50 mics right now. She sinus at 80, 98% on room air. Got an end tidal at 35. What was her last pressure? 125 over 77 was her last pressure. We'll be there in like six, seven minutes. All right, thank you.</t>
  </si>
  <si>
    <t>UH, this is Dave. And then hit the bottom. Hey, this is page two. Wait, who is this? This is Cleveland 31. That's fine. This is Cleveland 31. We're bringing in the other patient from Medic 17. It's going to be a PEADS trauma. It's a 15, 1-5 female. Unrestrained rollover, unknown rate of speed. I'd say moderate to heavy damage. Self-extricated. We got her immobilized. She's got some complaints to left hip, like thigh pain. No deformity. MSPs are good. We're giving her 50 mics right now. [REDACTED], 98% on room air. Got an end tidal at 35. What was her last pressure? 125 over 77 was her last pressure. We'll be there in like six, seven minutes. All right, thank you.</t>
  </si>
  <si>
    <t>UH, this is Dave. And then hit the bottom. Hey, this is page two. Wait, who is this? This is Cleveland 31. That's fine. This is Cleveland 31. We're bringing in the other patient from Medic 17. It's going to be a PEADS trauma. It's a 15, 1-5 female. Unrestrained rollover, unknown rate of speed. I'd say moderate to heavy damage. Self-extricated. We got her immobilized. She's got some complaints to left hip, like thigh pain. No deformity. MSPs are good. We're giving her 50 mics right now. She sinus at 80, 98% on room air. Got an end tidal at 35. What was her last pressure? [REDACTED]. We'll be there in like six, seven minutes. All right, thank you.</t>
  </si>
  <si>
    <t>UH. Hey, Aesthetic 1. I got a pediatric trauma. It's gonna be an approximate five-year-old male. He was unrestrained in a vehicle, car versus pole. Heavy damage to the vehicle. There was about eight to ten inches of intrusion into the engine compartment, ripped the wheels off the vehicle when they hit the pole. Airbag deployment. He was unrestrained, no car seat. He is awake, he's alert, he was acting age-appropriately. He does have some abrasions to the top of his head. State that he does have a headache from that. No other injuries that we're able to see. He's currently 97 over 66, heart rate's 88, 98% roomier, clear and equal in all fields on his lungs. And we'll be there in like seven to eight minutes. Do you have any questions? Nope, we'll see you when you get here. All righty, thanks. Thanks.</t>
  </si>
  <si>
    <t>Five-year-old male unrestrained in vehicle, car versus pole. Heavy damage, 8 to 10 inches of intrusion to engine compartment, ripped wheels off. Airbag deployed, un restrained, no car seat. Awake and alert, acting age-appropriate. Abrasions to top of head, headache. 97/66, heart rate 88, 98% room air clear lungs.</t>
  </si>
  <si>
    <t>The transcript describes a vehicle collision with a pole involving a pediatric patient.</t>
  </si>
  <si>
    <t>['approximate five-year-old male']</t>
  </si>
  <si>
    <t>["heart rate's 88"]</t>
  </si>
  <si>
    <t>['97 over 66']</t>
  </si>
  <si>
    <t>["He is awake, he's alert, he was acting age-appropriately"]</t>
  </si>
  <si>
    <t>UH. Hey, Aesthetic 1. I got a pediatric trauma. It's gonna be an [REDACTED]. He was unrestrained in a vehicle, car versus pole. Heavy damage to the vehicle. There was about eight to ten inches of intrusion into the engine compartment, ripped the wheels off the vehicle when they hit the pole. Airbag deployment. He was unrestrained, no car seat. He is awake, he's alert, he was acting age-appropriately. He does have some abrasions to the top of his head. State that he does have a headache from that. No other injuries that we're able to see. He's currently 97 over 66, heart rate's 88, 98% roomier, clear and equal in all fields on his lungs. And we'll be there in like seven to eight minutes. Do you have any questions? Nope, we'll see you when you get here. All righty, thanks. Thanks.</t>
  </si>
  <si>
    <t>UH. Hey, Aesthetic 1. I got a pediatric trauma. It's gonna be an approximate five-year-old male. He was unrestrained in a vehicle, car versus pole. Heavy damage to the vehicle. There was about eight to ten inches of intrusion into the engine compartment, ripped the wheels off the vehicle when they hit the pole. Airbag deployment. He was unrestrained, no car seat. He is awake, he's alert, he was acting age-appropriately. He does have some abrasions to the top of his head. State that he does have a headache from that. No other injuries that we're able to see. He's currently 97 over 66, [REDACTED], 98% roomier, clear and equal in all fields on his lungs. And we'll be there in like seven to eight minutes. Do you have any questions? Nope, we'll see you when you get here. All righty, thanks. Thanks.</t>
  </si>
  <si>
    <t>UH. Hey, Aesthetic 1. I got a pediatric trauma. It's gonna be an approximate five-year-old male. He was unrestrained in a vehicle, car versus pole. Heavy damage to the vehicle. There was about eight to ten inches of intrusion into the engine compartment, ripped the wheels off the vehicle when they hit the pole. Airbag deployment. He was unrestrained, no car seat. He is awake, he's alert, he was acting age-appropriately. He does have some abrasions to the top of his head. State that he does have a headache from that. No other injuries that we're able to see. He's currently [REDACTED], heart rate's 88, 98% roomier, clear and equal in all fields on his lungs. And we'll be there in like seven to eight minutes. Do you have any questions? Nope, we'll see you when you get here. All righty, thanks. Thanks.</t>
  </si>
  <si>
    <t>UH. Hey, Aesthetic 1. I got a pediatric trauma. It's gonna be an approximate five-year-old male. He was unrestrained in a vehicle, car versus pole. Heavy damage to the vehicle. There was about eight to ten inches of intrusion into the engine compartment, ripped the wheels off the vehicle when they hit the pole. Airbag deployment. He was unrestrained, no car seat. [REDACTED]. He does have some abrasions to the top of his head. State that he does have a headache from that. No other injuries that we're able to see. He's currently 97 over 66, heart rate's 88, 98% roomier, clear and equal in all fields on his lungs. And we'll be there in like seven to eight minutes. Do you have any questions? Nope, we'll see you when you get here. All righty, thanks. Thanks.</t>
  </si>
  <si>
    <t>UH. Hey, this is Cleveland 36. We have a P we're bringing in. Okay, what you got? We have a three-year-old male. He was a car backed into him at a low-rated speed. I guess it was unwitnessed. So he didn't lose consciousness. He does have a deformity in the tib-tib area on the right leg. Like, no other injuries that we see. Vitals were 130. Heart rate 102 over 72. Blood pressure 28 respirations. And 100% under the air. And then we're probably about, like, five minutes out. What was the respiration? 28. 28. You said you think it was a low-rated speed? Did the car, like, back over him, it sounds like? That I'm not sure about. I don't think so. It just, like, backed into him. And then I think they said, like, his, like, legs buckled. And what? His legs buckled. Oh, okay. Yeah. All right. We'll see you in five minutes. All right. Yep. Thanks. Bye. Bye. Bye.</t>
  </si>
  <si>
    <t>L2, 3 y/o, Vitals(102/72, 130, 28), GCS: , MOI (car backed into him at low speed), ETA: 5 minutes</t>
  </si>
  <si>
    <t>Three-year-old male car backed into him at low rate of speed. Deformity in fib area on right leg. Vitals 130 heart rate 102/72 blood pressure 28 respirations 100% room air. Legs buckled.</t>
  </si>
  <si>
    <t>Car backed into child</t>
  </si>
  <si>
    <t>The transcript describes a car backing into a three-year-old male at low speed, causing a leg deformity.</t>
  </si>
  <si>
    <t>['three-year-old male']</t>
  </si>
  <si>
    <t>['Heart rate 102']</t>
  </si>
  <si>
    <t>["he didn't lose consciousness"]</t>
  </si>
  <si>
    <t>UH. Hey, this is Cleveland 36. We have a P we're bringing in. Okay, what you got? We have a [REDACTED]. He was a car backed into him at a low-rated speed. I guess it was unwitnessed. So he didn't lose consciousness. He does have a deformity in the tib-tib area on the right leg. Like, no other injuries that we see. Vitals were 130. Heart rate 102 over 72. Blood pressure 28 respirations. And 100% under the air. And then we're probably about, like, five minutes out. What was the respiration? 28. 28. You said you think it was a low-rated speed? Did the car, like, back over him, it sounds like? That I'm not sure about. I don't think so. It just, like, backed into him. And then I think they said, like, his, like, legs buckled. And what? His legs buckled. Oh, okay. Yeah. All right. We'll see you in five minutes. All right. Yep. Thanks. Bye. Bye. Bye.</t>
  </si>
  <si>
    <t>UH. Hey, this is Cleveland 36. We have a P we're bringing in. Okay, what you got? We have a three-year-old male. He was a car backed into him at a low-rated speed. I guess it was unwitnessed. So he didn't lose consciousness. He does have a deformity in the tib-tib area on the right leg. Like, no other injuries that we see. Vitals were 130. [REDACTED] over 72. Blood pressure 28 respirations. And 100% under the air. And then we're probably about, like, five minutes out. What was the respiration? 28. 28. You said you think it was a low-rated speed? Did the car, like, back over him, it sounds like? That I'm not sure about. I don't think so. It just, like, backed into him. And then I think they said, like, his, like, legs buckled. And what? His legs buckled. Oh, okay. Yeah. All right. We'll see you in five minutes. All right. Yep. Thanks. Bye. Bye. Bye.</t>
  </si>
  <si>
    <t>UH. Hey, this is Cleveland 36. We have a P we're bringing in. Okay, what you got? We have a three-year-old male. He was a car backed into him at a low-rated speed. I guess it was unwitnessed. So [REDACTED]. He does have a deformity in the tib-tib area on the right leg. Like, no other injuries that we see. Vitals were 130. Heart rate 102 over 72. Blood pressure 28 respirations. And 100% under the air. And then we're probably about, like, five minutes out. What was the respiration? 28. 28. You said you think it was a low-rated speed? Did the car, like, back over him, it sounds like? That I'm not sure about. I don't think so. It just, like, backed into him. And then I think they said, like, his, like, legs buckled. And what? His legs buckled. Oh, okay. Yeah. All right. We'll see you in five minutes. All right. Yep. Thanks. Bye. Bye. Bye.</t>
  </si>
  <si>
    <t>University. Hey, this is Cleveland 22. I'm bringing you a GSW. I got a 15 year old, 15 year old male. He was shot on the right side of the cheek. He's a little oriented with us now, but he did lose consciousness. Not really able to talk to the pain. I have a BP of 124 over 72. Heart rate is 113. Respirators are at 16 and he's 99 on room air. I have an 18 in the left AC. That's iffy. I'm about to get another one for you before we get there. We're about five minutes out. Okay. And he's 15, one five, correct? One five. Okay. And is it like through and through on the cheek or just like a, I was only able to see one. One so far. So, all right. Thanks.</t>
  </si>
  <si>
    <t>15-year-old male shot on right side of cheek. Loss of consciousness a little oriented with us now. Unable to talk due to pain. Blood pressure 124/72 heart rate 113 respiration 16, 99 room air.</t>
  </si>
  <si>
    <t>GSW to right cheek</t>
  </si>
  <si>
    <t>The transcript clearly states the patient was shot on the right side of the cheek.</t>
  </si>
  <si>
    <t>['Heart rate is 113']</t>
  </si>
  <si>
    <t>['BP of 124 over 72']</t>
  </si>
  <si>
    <t>['Respirators are at 16']</t>
  </si>
  <si>
    <t>['GSW', 'shot on the right side of the cheek']</t>
  </si>
  <si>
    <t>University. Hey, this is Cleveland 22. I'm bringing you a GSW. I got a 15 year old, 15 year old male. He was shot on the right side of the cheek. He's a little oriented with us now, but he did lose consciousness. Not really able to talk to the pain. I have a BP of 124 over 72. [REDACTED]. Respirators are at 16 and he's 99 on room air. I have an 18 in the left AC. That's iffy. I'm about to get another one for you before we get there. We're about five minutes out. Okay. And he's 15, one five, correct? One five. Okay. And is it like through and through on the cheek or just like a, I was only able to see one. One so far. So, all right. Thanks.</t>
  </si>
  <si>
    <t>University. Hey, this is Cleveland 22. I'm bringing you a GSW. I got a 15 year old, 15 year old male. He was shot on the right side of the cheek. He's a little oriented with us now, but he did lose consciousness. Not really able to talk to the pain. I have a [REDACTED]. Heart rate is 113. Respirators are at 16 and he's 99 on room air. I have an 18 in the left AC. That's iffy. I'm about to get another one for you before we get there. We're about five minutes out. Okay. And he's 15, one five, correct? One five. Okay. And is it like through and through on the cheek or just like a, I was only able to see one. One so far. So, all right. Thanks.</t>
  </si>
  <si>
    <t>University. Hey, this is Cleveland 22. I'm bringing you a GSW. I got a 15 year old, 15 year old male. He was shot on the right side of the cheek. He's a little oriented with us now, but he did lose consciousness. Not really able to talk to the pain. I have a BP of 124 over 72. Heart rate is 113. [REDACTED] and he's 99 on room air. I have an 18 in the left AC. That's iffy. I'm about to get another one for you before we get there. We're about five minutes out. Okay. And he's 15, one five, correct? One five. Okay. And is it like through and through on the cheek or just like a, I was only able to see one. One so far. So, all right. Thanks.</t>
  </si>
  <si>
    <t>University. Hey, this is Cleveland 22. I'm bringing you a [REDACTED]. I got a 15 year old, 15 year old male. He was [REDACTED]. He's a little oriented with us now, but he did lose consciousness. Not really able to talk to the pain. I have a BP of 124 over 72. Heart rate is 113. Respirators are at 16 and he's 99 on room air. I have an 18 in the left AC. That's iffy. I'm about to get another one for you before we get there. We're about five minutes out. Okay. And he's 15, one five, correct? One five. Okay. And is it like through and through on the cheek or just like a, I was only able to see one. One so far. So, all right. Thanks.</t>
  </si>
  <si>
    <t>UH. Hi, this is Willoughby squad 1422 calling in a patient report for rainbows. All right. We got a 15 year old male walking this across the street. He got hit by a car. He does not know if he lost consciousness. It sounds like he may have. He's a lower inordinate times four. Main complaint, right shoulder pain and swelling on the back of his ribs and his right collarbone. His lung sounds are clear and equal. Heart rate is 99% under a mare. BP is 134 over 96. We got his arm in a sling. We have an ET of about 20 minutes. Any questions? Do you know how fast the car was going? He does not know. Not know. Okay. Nope. All his MSPs are intact. He's walking around. Okay. Right shoulder pain. Okay. Thank you. Yep. We'll see you in 20.</t>
  </si>
  <si>
    <t>15-year-old male hit by car. Does not know if he lost consciousness. Alert and oriented times four. Right shoulder pain and swelling on back of his ribs and right collarbone. Lungs are clear. Heart rate 99% on room air blood pressure 134/96,  in sling.</t>
  </si>
  <si>
    <t>The report states the patient was "walking across the street" and "got hit by a car."</t>
  </si>
  <si>
    <t>['BP is 134 over 96']</t>
  </si>
  <si>
    <t>['He does not know if he lost consciousness', "He's a lower inordinate times four", 'All his MSPs are intact', "He's walking around"]</t>
  </si>
  <si>
    <t>UH. Hi, this is Willoughby squad 1422 calling in a patient report for rainbows. All right. We got a [REDACTED] walking this across the street. He got hit by a car. He does not know if he lost consciousness. It sounds like he may have. He's a lower inordinate times four. Main complaint, right shoulder pain and swelling on the back of his ribs and his right collarbone. His lung sounds are clear and equal. Heart rate is 99% under a mare. BP is 134 over 96. We got his arm in a sling. We have an ET of about 20 minutes. Any questions? Do you know how fast the car was going? He does not know. Not know. Okay. Nope. All his MSPs are intact. He's walking around. Okay. Right shoulder pain. Okay. Thank you. Yep. We'll see you in 20.</t>
  </si>
  <si>
    <t>UH. Hi, this is Willoughby squad 1422 calling in a patient report for rainbows. All right. We got a 15 year old male walking this across the street. He got hit by a car. He does not know if he lost consciousness. It sounds like he may have. He's a lower inordinate times four. Main complaint, right shoulder pain and swelling on the back of his ribs and his right collarbone. His lung sounds are clear and equal. Heart rate is 99% under a mare. [REDACTED]. We got his arm in a sling. We have an ET of about 20 minutes. Any questions? Do you know how fast the car was going? He does not know. Not know. Okay. Nope. All his MSPs are intact. He's walking around. Okay. Right shoulder pain. Okay. Thank you. Yep. We'll see you in 20.</t>
  </si>
  <si>
    <t>UH. Hi, this is Willoughby squad 1422 calling in a patient report for rainbows. All right. We got a 15 year old male walking this across the street. He got hit by a car. [REDACTED]. It sounds like he may have. [REDACTED]. Main complaint, right shoulder pain and swelling on the back of his ribs and his right collarbone. His lung sounds are clear and equal. Heart rate is 99% under a mare. BP is 134 over 96. We got his arm in a sling. We have an ET of about 20 minutes. Any questions? Do you know how fast the car was going? He does not know. Not know. Okay. Nope. [REDACTED]. [REDACTED]. Okay. Right shoulder pain. Okay. Thank you. Yep. We'll see you in 20.</t>
  </si>
  <si>
    <t>Hey, UH, this is Willoughby. All right, Willoughby, what do you got? This is Willoughby, 1422. We're en route to you guys with a 15-1 5-year-old male. Chief complaint, jumped out of a moving car about 35 miles an hour. I'm calling a trauma alert on this. Repeat, trauma alert. Was driving, was riding in the backseat with his mom. His parents were getting into a fight. He opened the side door and jumped out. He does have a 3-4 inch laceration on the right side of his head. Road rash on the left side of his body. Some cuts and some gravel embedded in the right side of his hand. We're getting it bandaged up now. No loss of consciousness. C-collar refused. He is stating he has some right wrist pain. We're going to be putting that in a vacuum splint at the moment. Like I said, C-collar's refused. He's anal times four. Letters are as follows. Heart rate is 104 and regular on the monitor. SpO2 is 100. Percent room air. Pressure is 153 over 97. We're going to be taking off from Willoughby. We're going to be there in 20 to 30 minutes depending on traffic. Any questions or orders at this time? So his GCS is 15? Correct. All right. And there's no loss of consciousness. Okay. That sounds good. Thank you. Thank you. If we can, we'd like to have a social worker in the room. He might want to have somebody to talk to about this if that's possible. Yeah, they'll have someone down there. Awesome. Thank you very much. We'll see you in 20 to 30. Okay, thanks. Bye. Bye. Bye. Bye.</t>
  </si>
  <si>
    <t>15-year-old male jumped out of moving car 35 miles an hour, 4 inch laceration on right side of head road rash no loss of consciousness wrist pain alert, oriented heart rate 10402 is 100 pressure is 153/97 GCS 15.</t>
  </si>
  <si>
    <t>Jumped out of a moving car</t>
  </si>
  <si>
    <t>The transcript states the patient "jumped out of a moving car about 35 miles an hour."</t>
  </si>
  <si>
    <t>['15-1 5-year-old male']</t>
  </si>
  <si>
    <t>['Pressure is 153 over 97']</t>
  </si>
  <si>
    <t>['jumped out of a moving car about 35 miles an hour', 'He opened the side door and jumped out']</t>
  </si>
  <si>
    <t>Hey, UH, this is Willoughby. All right, Willoughby, what do you got? This is Willoughby, 1422. We're en route to you guys with a [REDACTED]. Chief complaint, jumped out of a moving car about 35 miles an hour. I'm calling a trauma alert on this. Repeat, trauma alert. Was driving, was riding in the backseat with his mom. His parents were getting into a fight. He opened the side door and jumped out. He does have a 3-4 inch laceration on the right side of his head. Road rash on the left side of his body. Some cuts and some gravel embedded in the right side of his hand. We're getting it bandaged up now. No loss of consciousness. C-collar refused. He is stating he has some right wrist pain. We're going to be putting that in a vacuum splint at the moment. Like I said, C-collar's refused. He's anal times four. Letters are as follows. Heart rate is 104 and regular on the monitor. SpO2 is 100. Percent room air. Pressure is 153 over 97. We're going to be taking off from Willoughby. We're going to be there in 20 to 30 minutes depending on traffic. Any questions or orders at this time? So his GCS is 15? Correct. All right. And there's no loss of consciousness. Okay. That sounds good. Thank you. Thank you. If we can, we'd like to have a social worker in the room. He might want to have somebody to talk to about this if that's possible. Yeah, they'll have someone down there. Awesome. Thank you very much. We'll see you in 20 to 30. Okay, thanks. Bye. Bye. Bye. Bye.</t>
  </si>
  <si>
    <t>Hey, UH, this is Willoughby. All right, Willoughby, what do you got? This is Willoughby, 1422. We're en route to you guys with a 15-1 5-year-old male. Chief complaint, jumped out of a moving car about 35 miles an hour. I'm calling a trauma alert on this. Repeat, trauma alert. Was driving, was riding in the backseat with his mom. His parents were getting into a fight. He opened the side door and jumped out. He does have a 3-4 inch laceration on the right side of his head. Road rash on the left side of his body. Some cuts and some gravel embedded in the right side of his hand. We're getting it bandaged up now. No loss of consciousness. C-collar refused. He is stating he has some right wrist pain. We're going to be putting that in a vacuum splint at the moment. Like I said, C-collar's refused. He's anal times four. Letters are as follows. Heart rate is 104 and regular on the monitor. SpO2 is 100. Percent room air. [REDACTED]. We're going to be taking off from Willoughby. We're going to be there in 20 to 30 minutes depending on traffic. Any questions or orders at this time? So his GCS is 15? Correct. All right. And there's no loss of consciousness. Okay. That sounds good. Thank you. Thank you. If we can, we'd like to have a social worker in the room. He might want to have somebody to talk to about this if that's possible. Yeah, they'll have someone down there. Awesome. Thank you very much. We'll see you in 20 to 30. Okay, thanks. Bye. Bye. Bye. Bye.</t>
  </si>
  <si>
    <t>Hey, UH, this is Willoughby. All right, Willoughby, what do you got? This is Willoughby, 1422. We're en route to you guys with a 15-1 5-year-old male. Chief complaint, [REDACTED]. I'm calling a trauma alert on this. Repeat, trauma alert. Was driving, was riding in the backseat with his mom. His parents were getting into a fight. [REDACTED]. He does have a 3-4 inch laceration on the right side of his head. Road rash on the left side of his body. Some cuts and some gravel embedded in the right side of his hand. We're getting it bandaged up now. No loss of consciousness. C-collar refused. He is stating he has some right wrist pain. We're going to be putting that in a vacuum splint at the moment. Like I said, C-collar's refused. He's anal times four. Letters are as follows. Heart rate is 104 and regular on the monitor. SpO2 is 100. Percent room air. Pressure is 153 over 97. We're going to be taking off from Willoughby. We're going to be there in 20 to 30 minutes depending on traffic. Any questions or orders at this time? So his GCS is 15? Correct. All right. And there's no loss of consciousness. Okay. That sounds good. Thank you. Thank you. If we can, we'd like to have a social worker in the room. He might want to have somebody to talk to about this if that's possible. Yeah, they'll have someone down there. Awesome. Thank you very much. We'll see you in 20 to 30. Okay, thanks. Bye. Bye. Bye. Bye.</t>
  </si>
  <si>
    <t>UH. UH, this is Garfield, Squad 1. What squad again? We are bringing to you a nine-year-old male patient. He was struck on his bicycle this evening by a vehicle. He was crossing the road. Car hit him. Front end damage to the vehicle consists of some hood damage, tire imprint left on the front bumper. The child has been awake, alert and oriented, conscious. GCS 15 the entire time. All the complaints he has is to the lower right knees. Head to toe assessment doesn't really show anything. Shows maybe some road rash here and there on the knees. There's a little bit to the right elbow that we bandaged up. He didn't have any neck or back pain at this time. We do have a C collar in place. We do have a 22 in the left AC as well. Poorly just showed sinus attack. Vital signs of stable blood pressure is 113 over 60. Current heart rate is 113. Respirators about 18. Non-labored. He's 100% on room air. The mother is not with us. She's gonna meet us from work. He did not have a helmet on either. But like I said, I mean head to toe really we don't see anything. There's no other bleeding. Pupils are pearl. You know I don't see any trauma around the head. He's not complaining of anything. He's doing a hell of a job. What squad are you getting? Garfield. Garfield. Yep. All right probably from, do you have a good idea how fast the car was going? The car, yeah he said he was doing 25. All right so with the mechanism they're probably still gonna hit us with a trauma there. So nine-year-old male struck on a while riding his bike. Car was going about 25 miles an hour. Some road rash. Some damage to the hood of the car. Vitals are stable just a little tacky and some knee pain and road rash. 22 in the left AC and GCS 15 and what's your ETA? I'd say we'll beat you guys. Probably seven to ten. All right my man see you in a bit. Thanks. Bye.</t>
  </si>
  <si>
    <t>Nine-year-old male struck on bicycle by vehicle hood damage on front bumper child awake alert and oriented GCS 15 complaints to right knee maybe some road rash. See collar in place blood pressure is 113/60 heart rate 113 respirations 18 100% room air. No bleeding pupils are pearl. 25 mph.</t>
  </si>
  <si>
    <t>Struck by vehicle while riding a bicycle</t>
  </si>
  <si>
    <t>The transcript describes a nine-year-old male who was hit by a car while crossing the road on his bicycle.</t>
  </si>
  <si>
    <t>['nine-year-old male', 'nine-year-old male']</t>
  </si>
  <si>
    <t>['blood pressure is 113 over 60']</t>
  </si>
  <si>
    <t>['awake, alert and oriented, conscious']</t>
  </si>
  <si>
    <t>UH. UH, this is Garfield, Squad 1. What squad again? We are bringing to you a [REDACTED] patient. He was struck on his bicycle this evening by a vehicle. He was crossing the road. Car hit him. Front end damage to the vehicle consists of some hood damage, tire imprint left on the front bumper. The child has been awake, alert and oriented, conscious. GCS 15 the entire time. All the complaints he has is to the lower right knees. Head to toe assessment doesn't really show anything. Shows maybe some road rash here and there on the knees. There's a little bit to the right elbow that we bandaged up. He didn't have any neck or back pain at this time. We do have a C collar in place. We do have a 22 in the left AC as well. Poorly just showed sinus attack. Vital signs of stable blood pressure is 113 over 60. Current heart rate is 113. Respirators about 18. Non-labored. He's 100% on room air. The mother is not with us. She's gonna meet us from work. He did not have a helmet on either. But like I said, I mean head to toe really we don't see anything. There's no other bleeding. Pupils are pearl. You know I don't see any trauma around the head. He's not complaining of anything. He's doing a hell of a job. What squad are you getting? Garfield. Garfield. Yep. All right probably from, do you have a good idea how fast the car was going? The car, yeah he said he was doing 25. All right so with the mechanism they're probably still gonna hit us with a trauma there. So [REDACTED] struck on a while riding his bike. Car was going about 25 miles an hour. Some road rash. Some damage to the hood of the car. Vitals are stable just a little tacky and some knee pain and road rash. 22 in the left AC and GCS 15 and what's your ETA? I'd say we'll beat you guys. Probably seven to ten. All right my man see you in a bit. Thanks. Bye.</t>
  </si>
  <si>
    <t>UH. UH, this is Garfield, Squad 1. What squad again? We are bringing to you a nine-year-old male patient. He was struck on his bicycle this evening by a vehicle. He was crossing the road. Car hit him. Front end damage to the vehicle consists of some hood damage, tire imprint left on the front bumper. The child has been awake, alert and oriented, conscious. GCS 15 the entire time. All the complaints he has is to the lower right knees. Head to toe assessment doesn't really show anything. Shows maybe some road rash here and there on the knees. There's a little bit to the right elbow that we bandaged up. He didn't have any neck or back pain at this time. We do have a C collar in place. We do have a 22 in the left AC as well. Poorly just showed sinus attack. Vital signs of stable [REDACTED]. Current heart rate is 113. Respirators about 18. Non-labored. He's 100% on room air. The mother is not with us. She's gonna meet us from work. He did not have a helmet on either. But like I said, I mean head to toe really we don't see anything. There's no other bleeding. Pupils are pearl. You know I don't see any trauma around the head. He's not complaining of anything. He's doing a hell of a job. What squad are you getting? Garfield. Garfield. Yep. All right probably from, do you have a good idea how fast the car was going? The car, yeah he said he was doing 25. All right so with the mechanism they're probably still gonna hit us with a trauma there. So nine-year-old male struck on a while riding his bike. Car was going about 25 miles an hour. Some road rash. Some damage to the hood of the car. Vitals are stable just a little tacky and some knee pain and road rash. 22 in the left AC and GCS 15 and what's your ETA? I'd say we'll beat you guys. Probably seven to ten. All right my man see you in a bit. Thanks. Bye.</t>
  </si>
  <si>
    <t>UH. UH, this is Garfield, Squad 1. What squad again? We are bringing to you a nine-year-old male patient. He was struck on his bicycle this evening by a vehicle. He was crossing the road. Car hit him. Front end damage to the vehicle consists of some hood damage, tire imprint left on the front bumper. The child has been [REDACTED]. GCS 15 the entire time. All the complaints he has is to the lower right knees. Head to toe assessment doesn't really show anything. Shows maybe some road rash here and there on the knees. There's a little bit to the right elbow that we bandaged up. He didn't have any neck or back pain at this time. We do have a C collar in place. We do have a 22 in the left AC as well. Poorly just showed sinus attack. Vital signs of stable blood pressure is 113 over 60. Current heart rate is 113. Respirators about 18. Non-labored. He's 100% on room air. The mother is not with us. She's gonna meet us from work. He did not have a helmet on either. But like I said, I mean head to toe really we don't see anything. There's no other bleeding. Pupils are pearl. You know I don't see any trauma around the head. He's not complaining of anything. He's doing a hell of a job. What squad are you getting? Garfield. Garfield. Yep. All right probably from, do you have a good idea how fast the car was going? The car, yeah he said he was doing 25. All right so with the mechanism they're probably still gonna hit us with a trauma there. So nine-year-old male struck on a while riding his bike. Car was going about 25 miles an hour. Some road rash. Some damage to the hood of the car. Vitals are stable just a little tacky and some knee pain and road rash. 22 in the left AC and GCS 15 and what's your ETA? I'd say we'll beat you guys. Probably seven to ten. All right my man see you in a bit. Thanks. Bye.</t>
  </si>
  <si>
    <t>Hey, this is Cleveland Medical Center 30. We have a 14 year old male, pedestrian struck. He was ambulatory. He just got a road rash all over him. He said he was dragged up underneath the car. The car flooded the scene so it was a hit-skip. 62 heart rate, 136 over 86, 100% right there. We'll be there in like 10 minutes. You said what? Like 10 minutes we'll be there. Do you know the speed? No, I don't know the speed. And he's A&amp;O? He's A&amp;O, yeah. No medical history or anything. No loss of consciousness reported. No thinners or anything like that. Okay, thanks. Bye.</t>
  </si>
  <si>
    <t>14 year old male pedestrian struck, ambulatory, road rash dragged underneath the car 62 heart rate 136/86 100% room, air, alert, and oriented no loss of consciousness</t>
  </si>
  <si>
    <t>The transcript mentions a 14-year-old male pedestrian who was struck and dragged by a car.</t>
  </si>
  <si>
    <t>['62 heart rate']</t>
  </si>
  <si>
    <t>['pedestrian struck', 'road rash all over him', 'dragged up underneath the car', 'hit-skip']</t>
  </si>
  <si>
    <t>Hey, this is Cleveland Medical Center 30. We have a [REDACTED], pedestrian struck. He was ambulatory. He just got a road rash all over him. He said he was dragged up underneath the car. The car flooded the scene so it was a hit-skip. 62 heart rate, 136 over 86, 100% right there. We'll be there in like 10 minutes. You said what? Like 10 minutes we'll be there. Do you know the speed? No, I don't know the speed. And he's A&amp;O? He's A&amp;O, yeah. No medical history or anything. No loss of consciousness reported. No thinners or anything like that. Okay, thanks. Bye.</t>
  </si>
  <si>
    <t>Hey, this is Cleveland Medical Center 30. We have a 14 year old male, pedestrian struck. He was ambulatory. He just got a road rash all over him. He said he was dragged up underneath the car. The car flooded the scene so it was a hit-skip. [REDACTED], 136 over 86, 100% right there. We'll be there in like 10 minutes. You said what? Like 10 minutes we'll be there. Do you know the speed? No, I don't know the speed. And he's A&amp;O? He's A&amp;O, yeah. No medical history or anything. No loss of consciousness reported. No thinners or anything like that. Okay, thanks. Bye.</t>
  </si>
  <si>
    <t>Hey, this is Cleveland Medical Center 30. We have a 14 year old male, pedestrian struck. He was ambulatory. He just got a road rash all over him. He said he was dragged up underneath the car. The car flooded the scene so it was a hit-skip. 62 heart rate, [REDACTED], 100% right there. We'll be there in like 10 minutes. You said what? Like 10 minutes we'll be there. Do you know the speed? No, I don't know the speed. And he's A&amp;O? He's A&amp;O, yeah. No medical history or anything. No loss of consciousness reported. No thinners or anything like that. Okay, thanks. Bye.</t>
  </si>
  <si>
    <t>Hey, this is Cleveland Medical Center 30. We have a 14 year old male, [REDACTED]. He was ambulatory. He just got a [REDACTED]. He said he was [REDACTED]. The car flooded the scene so it was a [REDACTED]. 62 heart rate, 136 over 86, 100% right there. We'll be there in like 10 minutes. You said what? Like 10 minutes we'll be there. Do you know the speed? No, I don't know the speed. And he's A&amp;O? He's A&amp;O, yeah. No medical history or anything. No loss of consciousness reported. No thinners or anything like that. Okay, thanks. Bye.</t>
  </si>
  <si>
    <t>UUH. Hey UUH, this is Euclid Medics 3 with a patient report. Go ahead. We're coming at you with a 1313 year old male who got pushed out of a cargo in about five miles an hour. He has some facial swelling on the right side of his face. He also got into a tussle with the cops. He's complaining of lower back pain with that also. No neck pain. He's A&amp;O times four. ABCs are intact. Vitals are 93 on the heart rate. 98% of remission. What's the heart rate again? 93. Okay. 98% on remission. 140 over 70 on the pressure and 16 on the respers. And how old again? 13. All right, 13 year old male. And you said he was pushed out of a car going about five miles an hour. Some edema to his face, negative back pain and neck pain. He has lower back pain. Oh, lower back pain. And what about neck pain? No neck pain. Zero neck pain. And A&amp;O times four for you now? Yep. All right, GCS 15? Yes. That's 15. All right, what's your ETA? Around 20. All right, any other injuries at all? Not that he's told us. Okay. All right, my friend. I'll have them peas ready for you. All right. Thank you very much. Thanks, Mike. Bye.</t>
  </si>
  <si>
    <t>13 year old male pushed out of car going on 5 mph. some facial swelling, lower back pain, no neck pain, A&amp;O times four. Vitals are 93 on the heart rate. 98% of remission. 140 over 70 on the pressure and 16 on the resperation. GCS 15</t>
  </si>
  <si>
    <t>Pushed out of a car going about five miles an hour</t>
  </si>
  <si>
    <t>The report clearly states the patient was pushed out of a car moving at five miles per hour.</t>
  </si>
  <si>
    <t>['13 year old male', '13-year-old male']</t>
  </si>
  <si>
    <t>['93 on the heart rate', 'heart rate again? 93']</t>
  </si>
  <si>
    <t>['140 over 70 on the pressure']</t>
  </si>
  <si>
    <t>['16 on the respers']</t>
  </si>
  <si>
    <t>['pushed out of a car going about five miles an hour', 'got pushed out of a cargo in about five miles an hour']</t>
  </si>
  <si>
    <t>UUH. Hey UUH, this is Euclid Medics 3 with a patient report. Go ahead. We're coming at you with a 1313 year old male who got pushed out of a cargo in about five miles an hour. He has some facial swelling on the right side of his face. He also got into a tussle with the cops. He's complaining of lower back pain with that also. No neck pain. He's A&amp;O times four. ABCs are intact. Vitals are [REDACTED]. 98% of remission. What's the [REDACTED]. Okay. 98% on remission. 140 over 70 on the pressure and 16 on the respers. And how old again? 13. All right, 13 year old male. And you said he was pushed out of a car going about five miles an hour. Some edema to his face, negative back pain and neck pain. He has lower back pain. Oh, lower back pain. And what about neck pain? No neck pain. Zero neck pain. And A&amp;O times four for you now? Yep. All right, GCS 15? Yes. That's 15. All right, what's your ETA? Around 20. All right, any other injuries at all? Not that he's told us. Okay. All right, my friend. I'll have them peas ready for you. All right. Thank you very much. Thanks, Mike. Bye.</t>
  </si>
  <si>
    <t>UUH. Hey UUH, this is Euclid Medics 3 with a patient report. Go ahead. We're coming at you with a 1313 year old male who got pushed out of a cargo in about five miles an hour. He has some facial swelling on the right side of his face. He also got into a tussle with the cops. He's complaining of lower back pain with that also. No neck pain. He's A&amp;O times four. ABCs are intact. Vitals are 93 on the heart rate. 98% of remission. What's the heart rate again? 93. Okay. 98% on remission. [REDACTED] and 16 on the respers. And how old again? 13. All right, 13 year old male. And you said he was pushed out of a car going about five miles an hour. Some edema to his face, negative back pain and neck pain. He has lower back pain. Oh, lower back pain. And what about neck pain? No neck pain. Zero neck pain. And A&amp;O times four for you now? Yep. All right, GCS 15? Yes. That's 15. All right, what's your ETA? Around 20. All right, any other injuries at all? Not that he's told us. Okay. All right, my friend. I'll have them peas ready for you. All right. Thank you very much. Thanks, Mike. Bye.</t>
  </si>
  <si>
    <t>UUH. Hey UUH, this is Euclid Medics 3 with a patient report. Go ahead. We're coming at you with a 1313 year old male who got pushed out of a cargo in about five miles an hour. He has some facial swelling on the right side of his face. He also got into a tussle with the cops. He's complaining of lower back pain with that also. No neck pain. He's A&amp;O times four. ABCs are intact. Vitals are 93 on the heart rate. 98% of remission. What's the heart rate again? 93. Okay. 98% on remission. 140 over 70 on the pressure and [REDACTED]. And how old again? 13. All right, 13 year old male. And you said he was pushed out of a car going about five miles an hour. Some edema to his face, negative back pain and neck pain. He has lower back pain. Oh, lower back pain. And what about neck pain? No neck pain. Zero neck pain. And A&amp;O times four for you now? Yep. All right, GCS 15? Yes. That's 15. All right, what's your ETA? Around 20. All right, any other injuries at all? Not that he's told us. Okay. All right, my friend. I'll have them peas ready for you. All right. Thank you very much. Thanks, Mike. Bye.</t>
  </si>
  <si>
    <t>UUH. Hey UUH, this is Euclid Medics 3 with a patient report. Go ahead. We're coming at you with a 1313 year old male who [REDACTED]. He has some facial swelling on the right side of his face. He also got into a tussle with the cops. He's complaining of lower back pain with that also. No neck pain. He's A&amp;O times four. ABCs are intact. Vitals are 93 on the heart rate. 98% of remission. What's the heart rate again? 93. Okay. 98% on remission. 140 over 70 on the pressure and 16 on the respers. And how old again? 13. All right, 13 year old male. And you said he was [REDACTED]. Some edema to his face, negative back pain and neck pain. He has lower back pain. Oh, lower back pain. And what about neck pain? No neck pain. Zero neck pain. And A&amp;O times four for you now? Yep. All right, GCS 15? Yes. That's 15. All right, what's your ETA? Around 20. All right, any other injuries at all? Not that he's told us. Okay. All right, my friend. I'll have them peas ready for you. All right. Thank you very much. Thanks, Mike. Bye.</t>
  </si>
  <si>
    <t>Hey, it's Cleveland, that's seven. We're en route with a six year old male. Looks like he got stabbed in the eye by the sharp part of a fork. He's got one hole on the bridge of his nose. Trying to assess the eye but just keeping it closed, pretty hard to do right now. It's pretty red on the sclera. Current vitals, blood pressure 120, 72, heart rate 114. 98% of their marrow nerve about five out. And you said stabbed in the eye with what? Like a fork? A fork. Yeah, like the sharp part of the fork. Okay. It's not in his eye right now. Okay, nothing's in there? No. Alright, any bleeding? It's controlled on its own. Okay. Alright, we'll see you in five. Thanks. Yep, bye.</t>
  </si>
  <si>
    <t>L2, 6 y/o, Vitals(120/72, 114, N/A), GCS: N/A, MOI (stabbed in the eye with a fork), ETA: 5 minutes</t>
  </si>
  <si>
    <t>six year old male, stabbed in the eye by sharp part of fork. Hole on the bridge of nose, red sclera, blood pressure 120, 72, heart rate 114. 98% of their marrow nerve about five out</t>
  </si>
  <si>
    <t>Stabbed in the eye with a fork</t>
  </si>
  <si>
    <t>The transcript clearly states the patient was stabbed in the eye by the sharp part of a fork.</t>
  </si>
  <si>
    <t>['six year old male']</t>
  </si>
  <si>
    <t>['heart rate 114']</t>
  </si>
  <si>
    <t>['blood pressure 120, 72']</t>
  </si>
  <si>
    <t>Hey, it's Cleveland, that's seven. We're en route with a [REDACTED]. Looks like he got stabbed in the eye by the sharp part of a fork. He's got one hole on the bridge of his nose. Trying to assess the eye but just keeping it closed, pretty hard to do right now. It's pretty red on the sclera. Current vitals, blood pressure 120, 72, heart rate 114. 98% of their marrow nerve about five out. And you said stabbed in the eye with what? Like a fork? A fork. Yeah, like the sharp part of the fork. Okay. It's not in his eye right now. Okay, nothing's in there? No. Alright, any bleeding? It's controlled on its own. Okay. Alright, we'll see you in five. Thanks. Yep, bye.</t>
  </si>
  <si>
    <t>Hey, it's Cleveland, that's seven. We're en route with a six year old male. Looks like he got stabbed in the eye by the sharp part of a fork. He's got one hole on the bridge of his nose. Trying to assess the eye but just keeping it closed, pretty hard to do right now. It's pretty red on the sclera. Current vitals, blood pressure 120, 72, [REDACTED]. 98% of their marrow nerve about five out. And you said stabbed in the eye with what? Like a fork? A fork. Yeah, like the sharp part of the fork. Okay. It's not in his eye right now. Okay, nothing's in there? No. Alright, any bleeding? It's controlled on its own. Okay. Alright, we'll see you in five. Thanks. Yep, bye.</t>
  </si>
  <si>
    <t>Hey, it's Cleveland, that's seven. We're en route with a six year old male. Looks like he got stabbed in the eye by the sharp part of a fork. He's got one hole on the bridge of his nose. Trying to assess the eye but just keeping it closed, pretty hard to do right now. It's pretty red on the sclera. Current vitals, [REDACTED], heart rate 114. 98% of their marrow nerve about five out. And you said stabbed in the eye with what? Like a fork? A fork. Yeah, like the sharp part of the fork. Okay. It's not in his eye right now. Okay, nothing's in there? No. Alright, any bleeding? It's controlled on its own. Okay. Alright, we'll see you in five. Thanks. Yep, bye.</t>
  </si>
  <si>
    <t>U-H, Danny. U-H. Hey, it's Cleveland Medic 10. Hey. Coming in with a 12-year-old male involved in an MBA. Ran through light, hit a car. No LOC, did not hit his head. He just got some facial scars, facial injuries, airbag deployment, heavy damage to front end of the vehicle. Vitals are as follows. He's got a heart rate of 110, a pressure of 112 over 76, presses of 24, and he was 99% on room air. We did get in touch with Grandma. Mom isn't answering the phone at the moment. And you said he's 12? Yeah. He was driving? Yeah, to his sister's car. Jesus. And do you think it was, like, at high speed? Did he say how fast he was going? Yeah. We don't know how fast he was going, but the car that he did hit is on its side. Oh, so he was going pretty fast. So high speed. Yeah. All right. Well, they're going to, since he's a Pete, they're going to make him a trauma. Okay. He's also complaining, I'm sorry, he's also complaining of left rib pain. Okay, gotcha. All right. Lung styles are clear. How far are you out? About seven minutes. Seven? Okay. We'll see you soon. Bye. All right. Thanks. Bye. Bye. Bye. Bye. Bye. Bye. Bye. Bye.</t>
  </si>
  <si>
    <t>12 year old male MVA, No LOC, did not his his head. Facial scars.facial injuries, airbag deployment, heavy damage. heart rate of 110, a pressure of 112 over 76, presses of 24, and he was 99% on room air.</t>
  </si>
  <si>
    <t>Motor vehicle accident (MBA) involving a 12-year-old male who ran a light and hit a car.</t>
  </si>
  <si>
    <t>The transcript describes a 12-year-old male involved in an MBA, indicating he ran a light and hit another car, causing significant damage.</t>
  </si>
  <si>
    <t>['12-year-old male', "he's 12"]</t>
  </si>
  <si>
    <t>['heart rate of 110']</t>
  </si>
  <si>
    <t>['presses of 24']</t>
  </si>
  <si>
    <t>['No LOC']</t>
  </si>
  <si>
    <t>['involved in an MBA', 'Ran through light, hit a car', 'airbag deployment', 'heavy damage to front end of the vehicle', 'the car that he did hit is on its side', 'high speed']</t>
  </si>
  <si>
    <t>U-H, Danny. U-H. Hey, it's Cleveland Medic 10. Hey. Coming in with a [REDACTED] involved in an MBA. Ran through light, hit a car. No LOC, did not hit his head. He just got some facial scars, facial injuries, airbag deployment, heavy damage to front end of the vehicle. Vitals are as follows. He's got a heart rate of 110, a pressure of 112 over 76, presses of 24, and he was 99% on room air. We did get in touch with Grandma. Mom isn't answering the phone at the moment. And you said [REDACTED]? Yeah. He was driving? Yeah, to his sister's car. Jesus. And do you think it was, like, at high speed? Did he say how fast he was going? Yeah. We don't know how fast he was going, but the car that he did hit is on its side. Oh, so he was going pretty fast. So high speed. Yeah. All right. Well, they're going to, since he's a Pete, they're going to make him a trauma. Okay. He's also complaining, I'm sorry, he's also complaining of left rib pain. Okay, gotcha. All right. Lung styles are clear. How far are you out? About seven minutes. Seven? Okay. We'll see you soon. Bye. All right. Thanks. Bye. Bye. Bye. Bye. Bye. Bye. Bye. Bye.</t>
  </si>
  <si>
    <t>U-H, Danny. U-H. Hey, it's Cleveland Medic 10. Hey. Coming in with a 12-year-old male involved in an MBA. Ran through light, hit a car. No LOC, did not hit his head. He just got some facial scars, facial injuries, airbag deployment, heavy damage to front end of the vehicle. Vitals are as follows. He's got a [REDACTED], a pressure of 112 over 76, presses of 24, and he was 99% on room air. We did get in touch with Grandma. Mom isn't answering the phone at the moment. And you said he's 12? Yeah. He was driving? Yeah, to his sister's car. Jesus. And do you think it was, like, at high speed? Did he say how fast he was going? Yeah. We don't know how fast he was going, but the car that he did hit is on its side. Oh, so he was going pretty fast. So high speed. Yeah. All right. Well, they're going to, since he's a Pete, they're going to make him a trauma. Okay. He's also complaining, I'm sorry, he's also complaining of left rib pain. Okay, gotcha. All right. Lung styles are clear. How far are you out? About seven minutes. Seven? Okay. We'll see you soon. Bye. All right. Thanks. Bye. Bye. Bye. Bye. Bye. Bye. Bye. Bye.</t>
  </si>
  <si>
    <t>U-H, Danny. U-H. Hey, it's Cleveland Medic 10. Hey. Coming in with a 12-year-old male involved in an MBA. Ran through light, hit a car. No LOC, did not hit his head. He just got some facial scars, facial injuries, airbag deployment, heavy damage to front end of the vehicle. Vitals are as follows. He's got a heart rate of 110, a pressure of 112 over 76, [REDACTED], and he was 99% on room air. We did get in touch with Grandma. Mom isn't answering the phone at the moment. And you said he's 12? Yeah. He was driving? Yeah, to his sister's car. Jesus. And do you think it was, like, at high speed? Did he say how fast he was going? Yeah. We don't know how fast he was going, but the car that he did hit is on its side. Oh, so he was going pretty fast. So high speed. Yeah. All right. Well, they're going to, since he's a Pete, they're going to make him a trauma. Okay. He's also complaining, I'm sorry, he's also complaining of left rib pain. Okay, gotcha. All right. Lung styles are clear. How far are you out? About seven minutes. Seven? Okay. We'll see you soon. Bye. All right. Thanks. Bye. Bye. Bye. Bye. Bye. Bye. Bye. Bye.</t>
  </si>
  <si>
    <t>U-H, Danny. U-H. Hey, it's Cleveland Medic 10. Hey. Coming in with a 12-year-old male [REDACTED]. [REDACTED]. No LOC, did not hit his head. He just got some facial scars, facial injuries, [REDACTED], [REDACTED]. Vitals are as follows. He's got a heart rate of 110, a pressure of 112 over 76, presses of 24, and he was 99% on room air. We did get in touch with Grandma. Mom isn't answering the phone at the moment. And you said he's 12? Yeah. He was driving? Yeah, to his sister's car. Jesus. And do you think it was, like, at [REDACTED]? Did he say how fast he was going? Yeah. We don't know how fast he was going, but [REDACTED]. Oh, so he was going pretty fast. So [REDACTED]. Yeah. All right. Well, they're going to, since he's a Pete, they're going to make him a trauma. Okay. He's also complaining, I'm sorry, he's also complaining of left rib pain. Okay, gotcha. All right. Lung styles are clear. How far are you out? About seven minutes. Seven? Okay. We'll see you soon. Bye. All right. Thanks. Bye. Bye. Bye. Bye. Bye. Bye. Bye. Bye.</t>
  </si>
  <si>
    <t>UH. Hello Cleveland Medical 24. I got a five-year-old female she was struck by a car. The car was on a side street but we don't know the exact speed but it definitely was going straight so anywhere from like 25 probably to 35. They said the car the kid was thrown approximately 10-15 feet from the car. She's got abrasions to her left elbow. She's got abrasions to her nose area and she's complaining of bilateral knee pain. There's no obvious like broken bones or anything like that she did not lose consciousness. They said she was awake the whole time. Unfortunately, she is very upset so it's not like we couldn't like backboard. We cannot c-collar her. We got a set of vitals and that was 121 over 64. Heart rate of 140. Respirations of 20 and 99% on room air. We're about five minutes out if you have any questions. Five, six minutes. Alright so she's acting age-appropriate. She's not... Absolutely, absolutely. um she's She's just crying. She doesn't want to be poked by needles or anything, you know. Okay, that's fair. All right, we'll see you in five. Thanks. All right, take care. Bye.</t>
  </si>
  <si>
    <t>5 year old female struck by a car 25 probably to 35. thrown approximately 10-15 feet from the car. Abrasions to her left elbow, nose area and bilateral knee pain. There's no obvious like broken bones or anything like that she did not lose consciousness. vitals and that was 121 over 64. Heart rate of 140. Respirations of 20 and 99% on room air.</t>
  </si>
  <si>
    <t>The transcript clearly states that the five-year-old female was struck by a car.</t>
  </si>
  <si>
    <t>['five-year-old female']</t>
  </si>
  <si>
    <t>['Heart rate of 140']</t>
  </si>
  <si>
    <t>['121 over 64']</t>
  </si>
  <si>
    <t>['Respirations of 20']</t>
  </si>
  <si>
    <t>UH. Hello Cleveland Medical 24. I got a [REDACTED] she was struck by a car. The car was on a side street but we don't know the exact speed but it definitely was going straight so anywhere from like 25 probably to 35. They said the car the kid was thrown approximately 10-15 feet from the car. She's got abrasions to her left elbow. She's got abrasions to her nose area and she's complaining of bilateral knee pain. There's no obvious like broken bones or anything like that she did not lose consciousness. They said she was awake the whole time. Unfortunately, she is very upset so it's not like we couldn't like backboard. We cannot c-collar her. We got a set of vitals and that was 121 over 64. Heart rate of 140. Respirations of 20 and 99% on room air. We're about five minutes out if you have any questions. Five, six minutes. Alright so she's acting age-appropriate. She's not... Absolutely, absolutely. um she's She's just crying. She doesn't want to be poked by needles or anything, you know. Okay, that's fair. All right, we'll see you in five. Thanks. All right, take care. Bye.</t>
  </si>
  <si>
    <t>UH. Hello Cleveland Medical 24. I got a five-year-old female she was struck by a car. The car was on a side street but we don't know the exact speed but it definitely was going straight so anywhere from like 25 probably to 35. They said the car the kid was thrown approximately 10-15 feet from the car. She's got abrasions to her left elbow. She's got abrasions to her nose area and she's complaining of bilateral knee pain. There's no obvious like broken bones or anything like that she did not lose consciousness. They said she was awake the whole time. Unfortunately, she is very upset so it's not like we couldn't like backboard. We cannot c-collar her. We got a set of vitals and that was 121 over 64. [REDACTED]. Respirations of 20 and 99% on room air. We're about five minutes out if you have any questions. Five, six minutes. Alright so she's acting age-appropriate. She's not... Absolutely, absolutely. um she's She's just crying. She doesn't want to be poked by needles or anything, you know. Okay, that's fair. All right, we'll see you in five. Thanks. All right, take care. Bye.</t>
  </si>
  <si>
    <t>UH. Hello Cleveland Medical 24. I got a five-year-old female she was struck by a car. The car was on a side street but we don't know the exact speed but it definitely was going straight so anywhere from like 25 probably to 35. They said the car the kid was thrown approximately 10-15 feet from the car. She's got abrasions to her left elbow. She's got abrasions to her nose area and she's complaining of bilateral knee pain. There's no obvious like broken bones or anything like that she did not lose consciousness. They said she was awake the whole time. Unfortunately, she is very upset so it's not like we couldn't like backboard. We cannot c-collar her. We got a set of vitals and that was [REDACTED]. Heart rate of 140. Respirations of 20 and 99% on room air. We're about five minutes out if you have any questions. Five, six minutes. Alright so she's acting age-appropriate. She's not... Absolutely, absolutely. um she's She's just crying. She doesn't want to be poked by needles or anything, you know. Okay, that's fair. All right, we'll see you in five. Thanks. All right, take care. Bye.</t>
  </si>
  <si>
    <t>UH. Hello Cleveland Medical 24. I got a five-year-old female she was struck by a car. The car was on a side street but we don't know the exact speed but it definitely was going straight so anywhere from like 25 probably to 35. They said the car the kid was thrown approximately 10-15 feet from the car. She's got abrasions to her left elbow. She's got abrasions to her nose area and she's complaining of bilateral knee pain. There's no obvious like broken bones or anything like that she did not lose consciousness. They said she was awake the whole time. Unfortunately, she is very upset so it's not like we couldn't like backboard. We cannot c-collar her. We got a set of vitals and that was 121 over 64. Heart rate of 140. [REDACTED] and 99% on room air. We're about five minutes out if you have any questions. Five, six minutes. Alright so she's acting age-appropriate. She's not... Absolutely, absolutely. um she's She's just crying. She doesn't want to be poked by needles or anything, you know. Okay, that's fair. All right, we'll see you in five. Thanks. All right, take care. Bye.</t>
  </si>
  <si>
    <t>UH, this is South Euclid 341 calling in a T's trauma alert. This is who? A pediatric trauma alert, South Euclid 341. Go ahead. We're coming to you with a 2-year-old male. He's currently alert and oriented times 4. He's acting normal to his baseline. Chief complaint was of falling out of a second-story window. The window is approximately 15 to 20 feet. He does have bruising around the abdomen. We have him fully immobilized. He is moving around pretty well, though. Speed collar is applied as well. Again, he's moving in all four of his extremities. He does have some bruising across the chest. Heart rate is 165. He is 95% on room air. Is acting normal to his baseline, appropriate coos and cries. Blood pressure unobtainable at this time due to the, you know, extremities moving on us. No medical history. None that we know of. No mom is with us as well. ETA. ETA is approximately 5 to 7. Is there any other information you need? How did he fall out the window? He opened it himself and just went right over. All right. And he's 2. Yes, he is. 2, approximately 40 pounds. All right. Thanks.</t>
  </si>
  <si>
    <t>2 year old male, alert and oriented times 4. acting normal to his baseline. falling out of a second-story window 15 to 20 feet. bruising across the chest. Heart rate is 165. He is 95% on room air.</t>
  </si>
  <si>
    <t>Fall from a second-story window</t>
  </si>
  <si>
    <t>The transcript clearly states the child fell out of a second-story window, approximately 15 to 20 feet.</t>
  </si>
  <si>
    <t>['2-year-old male', "he's 2", 'Yes, he is. 2']</t>
  </si>
  <si>
    <t>['Heart rate is 165']</t>
  </si>
  <si>
    <t>['Blood pressure unobtainable at this time']</t>
  </si>
  <si>
    <t>['currently alert and oriented times 4', "He's acting normal to his baseline", 'Is acting normal to his baseline, appropriate coos and cries']</t>
  </si>
  <si>
    <t>['falling out of a second-story window', 'The window is approximately 15 to 20 feet', 'How did he fall out the window? He opened it himself and just went right over']</t>
  </si>
  <si>
    <t>UH, this is South Euclid 341 calling in a T's trauma alert. This is who? A pediatric trauma alert, South Euclid 341. Go ahead. We're coming to you with a [REDACTED]. He's currently alert and oriented times 4. He's acting normal to his baseline. Chief complaint was of falling out of a second-story window. The window is approximately 15 to 20 feet. He does have bruising around the abdomen. We have him fully immobilized. He is moving around pretty well, though. Speed collar is applied as well. Again, he's moving in all four of his extremities. He does have some bruising across the chest. Heart rate is 165. He is 95% on room air. Is acting normal to his baseline, appropriate coos and cries. Blood pressure unobtainable at this time due to the, you know, extremities moving on us. No medical history. None that we know of. No mom is with us as well. ETA. ETA is approximately 5 to 7. Is there any other information you need? How did he fall out the window? He opened it himself and just went right over. All right. And [REDACTED]. [REDACTED], approximately 40 pounds. All right. Thanks.</t>
  </si>
  <si>
    <t>UH, this is South Euclid 341 calling in a T's trauma alert. This is who? A pediatric trauma alert, South Euclid 341. Go ahead. We're coming to you with a 2-year-old male. He's currently alert and oriented times 4. He's acting normal to his baseline. Chief complaint was of falling out of a second-story window. The window is approximately 15 to 20 feet. He does have bruising around the abdomen. We have him fully immobilized. He is moving around pretty well, though. Speed collar is applied as well. Again, he's moving in all four of his extremities. He does have some bruising across the chest. [REDACTED]. He is 95% on room air. Is acting normal to his baseline, appropriate coos and cries. Blood pressure unobtainable at this time due to the, you know, extremities moving on us. No medical history. None that we know of. No mom is with us as well. ETA. ETA is approximately 5 to 7. Is there any other information you need? How did he fall out the window? He opened it himself and just went right over. All right. And he's 2. Yes, he is. 2, approximately 40 pounds. All right. Thanks.</t>
  </si>
  <si>
    <t>UH, this is South Euclid 341 calling in a T's trauma alert. This is who? A pediatric trauma alert, South Euclid 341. Go ahead. We're coming to you with a 2-year-old male. He's currently alert and oriented times 4. He's acting normal to his baseline. Chief complaint was of falling out of a second-story window. The window is approximately 15 to 20 feet. He does have bruising around the abdomen. We have him fully immobilized. He is moving around pretty well, though. Speed collar is applied as well. Again, he's moving in all four of his extremities. He does have some bruising across the chest. Heart rate is 165. He is 95% on room air. Is acting normal to his baseline, appropriate coos and cries. [REDACTED] due to the, you know, extremities moving on us. No medical history. None that we know of. No mom is with us as well. ETA. ETA is approximately 5 to 7. Is there any other information you need? How did he fall out the window? He opened it himself and just went right over. All right. And he's 2. Yes, he is. 2, approximately 40 pounds. All right. Thanks.</t>
  </si>
  <si>
    <t>UH, this is South Euclid 341 calling in a T's trauma alert. This is who? A pediatric trauma alert, South Euclid 341. Go ahead. We're coming to you with a 2-year-old male. He's [REDACTED]. [REDACTED]. Chief complaint was of falling out of a second-story window. The window is approximately 15 to 20 feet. He does have bruising around the abdomen. We have him fully immobilized. He is moving around pretty well, though. Speed collar is applied as well. Again, he's moving in all four of his extremities. He does have some bruising across the chest. Heart rate is 165. He is 95% on room air. [REDACTED]. Blood pressure unobtainable at this time due to the, you know, extremities moving on us. No medical history. None that we know of. No mom is with us as well. ETA. ETA is approximately 5 to 7. Is there any other information you need? How did he fall out the window? He opened it himself and just went right over. All right. And he's 2. Yes, he is. 2, approximately 40 pounds. All right. Thanks.</t>
  </si>
  <si>
    <t>UH, this is South Euclid 341 calling in a T's trauma alert. This is who? A pediatric trauma alert, South Euclid 341. Go ahead. We're coming to you with a 2-year-old male. He's currently alert and oriented times 4. He's acting normal to his baseline. Chief complaint was of [REDACTED]. [REDACTED]. He does have bruising around the abdomen. We have him fully immobilized. He is moving around pretty well, though. Speed collar is applied as well. Again, he's moving in all four of his extremities. He does have some bruising across the chest. Heart rate is 165. He is 95% on room air. Is acting normal to his baseline, appropriate coos and cries. Blood pressure unobtainable at this time due to the, you know, extremities moving on us. No medical history. None that we know of. No mom is with us as well. ETA. ETA is approximately 5 to 7. Is there any other information you need? [REDACTED]. All right. And he's 2. Yes, he is. 2, approximately 40 pounds. All right. Thanks.</t>
  </si>
  <si>
    <t>U-H Danny. Hey, U-H, this is Shaker 245 coming in. You ready for a report? Yeah, what's going on? We have a six-year-old female who was riding her bicycle. She was hit by a vehicle and knocked to the ground. We do not know how fast the vehicle was going. She has some abrasions down both of her legs. She's saying she has some pretty severe right hip pain. The hips appear to be equal. No extension of either leg. They appear to be equal. She has no other complaints other than the right hip pain. She's alert and oriented times four. We have a decoller on her neck just for precaution. She does not complain of any neck, head, or back pain. Vital signs are stable, and we'll be there in three minutes. Okay. Did you guys get a hold of her parents or anyone? Yeah, right here coming in with us. Okay, perfect. All right, we'll see you here soon. Bye. All right, we're going. It's great to see you.</t>
  </si>
  <si>
    <t>6 year old female riding bike hit bt vehicle and knocked to ground. Abrasions down both legs, severe right hip pain. Alert and oriented by four, does not complain of any neck, head, or back pain. Vital signs are stable</t>
  </si>
  <si>
    <t>Hit by a vehicle while riding a bicycle</t>
  </si>
  <si>
    <t>The report states the patient was riding her bicycle and was hit by a vehicle.</t>
  </si>
  <si>
    <t>['alert and oriented times four']</t>
  </si>
  <si>
    <t>['was riding her bicycle', 'hit by a vehicle and knocked to the ground']</t>
  </si>
  <si>
    <t>U-H Danny. Hey, U-H, this is Shaker 245 coming in. You ready for a report? Yeah, what's going on? We have a [REDACTED] who was riding her bicycle. She was hit by a vehicle and knocked to the ground. We do not know how fast the vehicle was going. She has some abrasions down both of her legs. She's saying she has some pretty severe right hip pain. The hips appear to be equal. No extension of either leg. They appear to be equal. She has no other complaints other than the right hip pain. She's alert and oriented times four. We have a decoller on her neck just for precaution. She does not complain of any neck, head, or back pain. Vital signs are stable, and we'll be there in three minutes. Okay. Did you guys get a hold of her parents or anyone? Yeah, right here coming in with us. Okay, perfect. All right, we'll see you here soon. Bye. All right, we're going. It's great to see you.</t>
  </si>
  <si>
    <t>U-H Danny. Hey, U-H, this is Shaker 245 coming in. You ready for a report? Yeah, what's going on? We have a six-year-old female who was riding her bicycle. She was hit by a vehicle and knocked to the ground. We do not know how fast the vehicle was going. She has some abrasions down both of her legs. She's saying she has some pretty severe right hip pain. The hips appear to be equal. No extension of either leg. They appear to be equal. She has no other complaints other than the right hip pain. She's [REDACTED]. We have a decoller on her neck just for precaution. She does not complain of any neck, head, or back pain. Vital signs are stable, and we'll be there in three minutes. Okay. Did you guys get a hold of her parents or anyone? Yeah, right here coming in with us. Okay, perfect. All right, we'll see you here soon. Bye. All right, we're going. It's great to see you.</t>
  </si>
  <si>
    <t>U-H Danny. Hey, U-H, this is Shaker 245 coming in. You ready for a report? Yeah, what's going on? We have a six-year-old female who [REDACTED]. She was [REDACTED]. We do not know how fast the vehicle was going. She has some abrasions down both of her legs. She's saying she has some pretty severe right hip pain. The hips appear to be equal. No extension of either leg. They appear to be equal. She has no other complaints other than the right hip pain. She's alert and oriented times four. We have a decoller on her neck just for precaution. She does not complain of any neck, head, or back pain. Vital signs are stable, and we'll be there in three minutes. Okay. Did you guys get a hold of her parents or anyone? Yeah, right here coming in with us. Okay, perfect. All right, we'll see you here soon. Bye. All right, we're going. It's great to see you.</t>
  </si>
  <si>
    <t>UH. UH, feeling better. Got it. Got a 17-year-old male, GST, to a lower right ankle. I can't really get a good look at this already, before we got to the scene. Anyway, bleeding, seem to be controlled. Blood pressure is 158 over 70. 68 pulse, regular. 14 clear reps. 99% pulse. He does have movement to that foot. And we do have a line established. We're going to be seeing about 10 minutes. All right, Larry, no tourniquet, right? No tourniquet. Okay, he'll end up in rainbows then. All right, thank you. Okay, bye-bye.</t>
  </si>
  <si>
    <t>L2, 17 y/o, Vitals(158/70, 68, 14), GCS: , MOI (GST to lower right ankle), ETA: 10 minutes</t>
  </si>
  <si>
    <t>17 year old male GSW lower right ankle. Bleeding controlled, Blood pressure is 158 over 70. 68 pulse, regular. 14 clear reps. 99% pulse, no tourniquet</t>
  </si>
  <si>
    <t>GST to a lower right ankle</t>
  </si>
  <si>
    <t>The transcript mentions a "GST to a lower right ankle" as the mechanism of injury.</t>
  </si>
  <si>
    <t>['68 pulse']</t>
  </si>
  <si>
    <t>['Blood pressure is 158 over 70']</t>
  </si>
  <si>
    <t>['14 clear reps']</t>
  </si>
  <si>
    <t>['GST, to a lower right ankle']</t>
  </si>
  <si>
    <t>UH. UH, feeling better. Got it. Got a [REDACTED], GST, to a lower right ankle. I can't really get a good look at this already, before we got to the scene. Anyway, bleeding, seem to be controlled. Blood pressure is 158 over 70. 68 pulse, regular. 14 clear reps. 99% pulse. He does have movement to that foot. And we do have a line established. We're going to be seeing about 10 minutes. All right, Larry, no tourniquet, right? No tourniquet. Okay, he'll end up in rainbows then. All right, thank you. Okay, bye-bye.</t>
  </si>
  <si>
    <t>UH. UH, feeling better. Got it. Got a 17-year-old male, GST, to a lower right ankle. I can't really get a good look at this already, before we got to the scene. Anyway, bleeding, seem to be controlled. Blood pressure is 158 over 70. [REDACTED], regular. 14 clear reps. 99% pulse. He does have movement to that foot. And we do have a line established. We're going to be seeing about 10 minutes. All right, Larry, no tourniquet, right? No tourniquet. Okay, he'll end up in rainbows then. All right, thank you. Okay, bye-bye.</t>
  </si>
  <si>
    <t>UH. UH, feeling better. Got it. Got a 17-year-old male, GST, to a lower right ankle. I can't really get a good look at this already, before we got to the scene. Anyway, bleeding, seem to be controlled. [REDACTED]. 68 pulse, regular. 14 clear reps. 99% pulse. He does have movement to that foot. And we do have a line established. We're going to be seeing about 10 minutes. All right, Larry, no tourniquet, right? No tourniquet. Okay, he'll end up in rainbows then. All right, thank you. Okay, bye-bye.</t>
  </si>
  <si>
    <t>UH. UH, feeling better. Got it. Got a 17-year-old male, GST, to a lower right ankle. I can't really get a good look at this already, before we got to the scene. Anyway, bleeding, seem to be controlled. Blood pressure is 158 over 70. 68 pulse, regular. [REDACTED]. 99% pulse. He does have movement to that foot. And we do have a line established. We're going to be seeing about 10 minutes. All right, Larry, no tourniquet, right? No tourniquet. Okay, he'll end up in rainbows then. All right, thank you. Okay, bye-bye.</t>
  </si>
  <si>
    <t>UH. UH, feeling better. Got it. Got a 17-year-old male, [REDACTED]. I can't really get a good look at this already, before we got to the scene. Anyway, bleeding, seem to be controlled. Blood pressure is 158 over 70. 68 pulse, regular. 14 clear reps. 99% pulse. He does have movement to that foot. And we do have a line established. We're going to be seeing about 10 minutes. All right, Larry, no tourniquet, right? No tourniquet. Okay, he'll end up in rainbows then. All right, thank you. Okay, bye-bye.</t>
  </si>
  <si>
    <t>Hey, this is medic 26. I'm bringing you a 15 year old male who was struck by a car. He was crossing the street and he was hit on the right side by a car going about 20 miles an hour. He's got a deformity to the right ankle and the left forearm. There's no LOC. His vitals are okay. His heart rate is 80. Pressure is 110 over 65. He's 100% on room air. I did give him 50 micrograms of fentanyl for the pain and he's feeling better. I've got a 20 in his right forearm. And I know they always are worried about the family. His mother is on her way to the hospital she'll probably beat us there. Okay so did he hit his head at all? Yes, but there's no LOC, no neck or back pain. Okay so he's not sexed or collared? No, perfect okay. Okay, what's your ECA? I will be there in like seven minutes he was ambulatory on scene oh perfect okay sounds good thank you all right thank you bye</t>
  </si>
  <si>
    <t>15 year old male struck by car, corssing street and hit by car going 20 mph. Deformity to right ankle and left forearm. No LOC. His heart rate is 80. Pressure is 110 over 65. He's 100% on room air. I did give him 50 micrograms of fentanyl for the pain. did he hit his head at all? Yes, but there's no LOC, no neck or back pain</t>
  </si>
  <si>
    <t>The transcript states the patient was "struck by a car" while crossing the street.</t>
  </si>
  <si>
    <t>['heart rate is 80']</t>
  </si>
  <si>
    <t>['Pressure is 110 over 65']</t>
  </si>
  <si>
    <t>['no LOC', "he's feeling better", 'ambulatory on scene']</t>
  </si>
  <si>
    <t>Hey, this is medic 26. I'm bringing you a [REDACTED] who was struck by a car. He was crossing the street and he was hit on the right side by a car going about 20 miles an hour. He's got a deformity to the right ankle and the left forearm. There's no LOC. His vitals are okay. His heart rate is 80. Pressure is 110 over 65. He's 100% on room air. I did give him 50 micrograms of fentanyl for the pain and he's feeling better. I've got a 20 in his right forearm. And I know they always are worried about the family. His mother is on her way to the hospital she'll probably beat us there. Okay so did he hit his head at all? Yes, but there's no LOC, no neck or back pain. Okay so he's not sexed or collared? No, perfect okay. Okay, what's your ECA? I will be there in like seven minutes he was ambulatory on scene oh perfect okay sounds good thank you all right thank you bye</t>
  </si>
  <si>
    <t>Hey, this is medic 26. I'm bringing you a 15 year old male who was struck by a car. He was crossing the street and he was hit on the right side by a car going about 20 miles an hour. He's got a deformity to the right ankle and the left forearm. There's no LOC. His vitals are okay. His [REDACTED]. Pressure is 110 over 65. He's 100% on room air. I did give him 50 micrograms of fentanyl for the pain and he's feeling better. I've got a 20 in his right forearm. And I know they always are worried about the family. His mother is on her way to the hospital she'll probably beat us there. Okay so did he hit his head at all? Yes, but there's no LOC, no neck or back pain. Okay so he's not sexed or collared? No, perfect okay. Okay, what's your ECA? I will be there in like seven minutes he was ambulatory on scene oh perfect okay sounds good thank you all right thank you bye</t>
  </si>
  <si>
    <t>Hey, this is medic 26. I'm bringing you a 15 year old male who was struck by a car. He was crossing the street and he was hit on the right side by a car going about 20 miles an hour. He's got a deformity to the right ankle and the left forearm. There's no LOC. His vitals are okay. His heart rate is 80. [REDACTED]. He's 100% on room air. I did give him 50 micrograms of fentanyl for the pain and he's feeling better. I've got a 20 in his right forearm. And I know they always are worried about the family. His mother is on her way to the hospital she'll probably beat us there. Okay so did he hit his head at all? Yes, but there's no LOC, no neck or back pain. Okay so he's not sexed or collared? No, perfect okay. Okay, what's your ECA? I will be there in like seven minutes he was ambulatory on scene oh perfect okay sounds good thank you all right thank you bye</t>
  </si>
  <si>
    <t>Hey, this is medic 26. I'm bringing you a 15 year old male who was struck by a car. He was crossing the street and he was hit on the right side by a car going about 20 miles an hour. He's got a deformity to the right ankle and the left forearm. There's [REDACTED]. His vitals are okay. His heart rate is 80. Pressure is 110 over 65. He's 100% on room air. I did give him 50 micrograms of fentanyl for the pain and [REDACTED]. I've got a 20 in his right forearm. And I know they always are worried about the family. His mother is on her way to the hospital she'll probably beat us there. Okay so did he hit his head at all? Yes, but there's [REDACTED], no neck or back pain. Okay so he's not sexed or collared? No, perfect okay. Okay, what's your ECA? I will be there in like seven minutes he was [REDACTED] oh perfect okay sounds good thank you all right thank you bye</t>
  </si>
  <si>
    <t>Hey, this is Mike. I have a four-year-old female. She was involved in an NVA at a high rate of speed. Driver was approximately 60 to 70 miles per hour. She was in the back seat but not properly restrained in a child seat. Apparently did have a seatbelt on. Heavy front end damage with airbag deployment. No intrusion. Child's only complaint is that she is having some abdominal pain. So much pain in there? Abdominal pain. Abdomen does not feel distended, but it is very tender upon palpation. She also has a pretty good size hematoma to her forehead, but driver state never had any LOC. Was crying and alert the entire time. Last set of vitals was 100 over 60. Heart rate is 90. She's 100% on room air. Currently 804 at the GPS 16. You should be there in approximately seven minutes. And you said she's four years old? Four, yes. Zero four. Is there anyone else being seen from it, from the accident? You're probably going to get three more patients. She was in a car with two other people. Medic 30 has them. I assume they're coming to you. And then 31 is going to have another 51. So somebody's transporting the parents? Correct. They weren't parents. They were aunts and uncles. Parent is meeting her at the hospital. Oh, gotcha. Cool. All right. We'll see you. See you then. Bye.</t>
  </si>
  <si>
    <t>L2, 4 y/o, Vitals(100/60, 90, 16), GCS: Alert, MOI (NVA at high speed, improperly restrained), ETA: 7 minutes</t>
  </si>
  <si>
    <t>4 year old female MVA high rate of speed 60-70 mph, not properly restrained child seat. Airbag deployment, seatment on, abdominal pain, hematomato her forehead, crying and alert the entire time, vitals was 100 over 60. Heart rate is 90. She's 100% on room air. Currently 804 at the GPS 16.</t>
  </si>
  <si>
    <t>NVA at a high rate of speed</t>
  </si>
  <si>
    <t>The transcript mentions a "four-year-old female" involved in a "NVA at a high rate of speed" with details about the vehicle's speed and damage.</t>
  </si>
  <si>
    <t>['four-year-old female', 'four years old', 'Four, yes. Zero four']</t>
  </si>
  <si>
    <t>['Last set of vitals was 100 over 60']</t>
  </si>
  <si>
    <t>['crying and alert the entire time']</t>
  </si>
  <si>
    <t>Hey, this is Mike. I have a [REDACTED]. She was involved in an NVA at a high rate of speed. Driver was approximately 60 to 70 miles per hour. She was in the back seat but not properly restrained in a child seat. Apparently did have a seatbelt on. Heavy front end damage with airbag deployment. No intrusion. Child's only complaint is that she is having some abdominal pain. So much pain in there? Abdominal pain. Abdomen does not feel distended, but it is very tender upon palpation. She also has a pretty good size hematoma to her forehead, but driver state never had any LOC. Was crying and alert the entire time. Last set of vitals was 100 over 60. Heart rate is 90. She's 100% on room air. Currently 804 at the GPS 16. You should be there in approximately seven minutes. And you said she's [REDACTED]? [REDACTED]. Is there anyone else being seen from it, from the accident? You're probably going to get three more patients. She was in a car with two other people. Medic 30 has them. I assume they're coming to you. And then 31 is going to have another 51. So somebody's transporting the parents? Correct. They weren't parents. They were aunts and uncles. Parent is meeting her at the hospital. Oh, gotcha. Cool. All right. We'll see you. See you then. Bye.</t>
  </si>
  <si>
    <t>Hey, this is Mike. I have a four-year-old female. She was involved in an NVA at a high rate of speed. Driver was approximately 60 to 70 miles per hour. She was in the back seat but not properly restrained in a child seat. Apparently did have a seatbelt on. Heavy front end damage with airbag deployment. No intrusion. Child's only complaint is that she is having some abdominal pain. So much pain in there? Abdominal pain. Abdomen does not feel distended, but it is very tender upon palpation. She also has a pretty good size hematoma to her forehead, but driver state never had any LOC. Was crying and alert the entire time. Last set of vitals was 100 over 60. [REDACTED]. She's 100% on room air. Currently 804 at the GPS 16. You should be there in approximately seven minutes. And you said she's four years old? Four, yes. Zero four. Is there anyone else being seen from it, from the accident? You're probably going to get three more patients. She was in a car with two other people. Medic 30 has them. I assume they're coming to you. And then 31 is going to have another 51. So somebody's transporting the parents? Correct. They weren't parents. They were aunts and uncles. Parent is meeting her at the hospital. Oh, gotcha. Cool. All right. We'll see you. See you then. Bye.</t>
  </si>
  <si>
    <t>Hey, this is Mike. I have a four-year-old female. She was involved in an NVA at a high rate of speed. Driver was approximately 60 to 70 miles per hour. She was in the back seat but not properly restrained in a child seat. Apparently did have a seatbelt on. Heavy front end damage with airbag deployment. No intrusion. Child's only complaint is that she is having some abdominal pain. So much pain in there? Abdominal pain. Abdomen does not feel distended, but it is very tender upon palpation. She also has a pretty good size hematoma to her forehead, but driver state never had any LOC. Was crying and alert the entire time. [REDACTED]. Heart rate is 90. She's 100% on room air. Currently 804 at the GPS 16. You should be there in approximately seven minutes. And you said she's four years old? Four, yes. Zero four. Is there anyone else being seen from it, from the accident? You're probably going to get three more patients. She was in a car with two other people. Medic 30 has them. I assume they're coming to you. And then 31 is going to have another 51. So somebody's transporting the parents? Correct. They weren't parents. They were aunts and uncles. Parent is meeting her at the hospital. Oh, gotcha. Cool. All right. We'll see you. See you then. Bye.</t>
  </si>
  <si>
    <t>Hey, this is Mike. I have a four-year-old female. She was involved in an NVA at a high rate of speed. Driver was approximately 60 to 70 miles per hour. She was in the back seat but not properly restrained in a child seat. Apparently did have a seatbelt on. Heavy front end damage with airbag deployment. No intrusion. Child's only complaint is that she is having some abdominal pain. So much pain in there? Abdominal pain. Abdomen does not feel distended, but it is very tender upon palpation. She also has a pretty good size hematoma to her forehead, but driver state never had any LOC. Was [REDACTED]. Last set of vitals was 100 over 60. Heart rate is 90. She's 100% on room air. Currently 804 at the GPS 16. You should be there in approximately seven minutes. And you said she's four years old? Four, yes. Zero four. Is there anyone else being seen from it, from the accident? You're probably going to get three more patients. She was in a car with two other people. Medic 30 has them. I assume they're coming to you. And then 31 is going to have another 51. So somebody's transporting the parents? Correct. They weren't parents. They were aunts and uncles. Parent is meeting her at the hospital. Oh, gotcha. Cool. All right. We'll see you. See you then. Bye.</t>
  </si>
  <si>
    <t>UH. Hi UH, this is Cleveland Medic 17. We are on scene here with a two-year-old male, unresponsive. He does have a variety of lacerations in various stages of healing on his head, on his back. He did appear to respond to two doses of Narcan. He is breathing spontaneously about 24 minutes. He's been standing consistently at 100% on room air. Heart rate 116. We're right over here on Ford Drive, so we'll probably just fly him in here, be there as soon as we can. I do not have IV access yet here. Okay. We will be arriving in three minutes or so. All right, thanks. Let him know. Thank you. Bye.</t>
  </si>
  <si>
    <t>two-year-old male, unresponsive. He did appear to respond to two doses of Narcan. 100% on room air. Heart rate 116.</t>
  </si>
  <si>
    <t>The transcript does not specify how the injuries occurred or provide a clear mechanism of injury.</t>
  </si>
  <si>
    <t>UH. Hi UH, this is Cleveland Medic 17. We are on scene here with a [REDACTED], unresponsive. He does have a variety of lacerations in various stages of healing on his head, on his back. He did appear to respond to two doses of Narcan. He is breathing spontaneously about 24 minutes. He's been standing consistently at 100% on room air. Heart rate 116. We're right over here on Ford Drive, so we'll probably just fly him in here, be there as soon as we can. I do not have IV access yet here. Okay. We will be arriving in three minutes or so. All right, thanks. Let him know. Thank you. Bye.</t>
  </si>
  <si>
    <t>UH. Hi UH, this is Cleveland Medic 17. We are on scene here with a two-year-old male, unresponsive. He does have a variety of lacerations in various stages of healing on his head, on his back. He did appear to respond to two doses of Narcan. He is breathing spontaneously about 24 minutes. He's been standing consistently at 100% on room air. [REDACTED]. We're right over here on Ford Drive, so we'll probably just fly him in here, be there as soon as we can. I do not have IV access yet here. Okay. We will be arriving in three minutes or so. All right, thanks. Let him know. Thank you. Bye.</t>
  </si>
  <si>
    <t>UH. Hi UH, this is Cleveland Medic 17. We are on scene here with a two-year-old male, [REDACTED]. He does have a variety of lacerations in various stages of healing on his head, on his back. He did appear to respond to two doses of Narcan. He is breathing spontaneously about 24 minutes. He's been standing consistently at 100% on room air. Heart rate 116. We're right over here on Ford Drive, so we'll probably just fly him in here, be there as soon as we can. I do not have IV access yet here. Okay. We will be arriving in three minutes or so. All right, thanks. Let him know. Thank you. Bye.</t>
  </si>
  <si>
    <t>U-H Danny. Hey Danny. Need you to relay to Rainbow for me. Okay. This is Cleveland 28. I have a three-year-old male that was involved in a highway accident. Single car with rollover airbag deployment. It was a rollover? Correct. Rollover two to three times. Oh good. Okay. It was in an age-appropriate car seat per mile. The car was still outside. I couldn't see. The airbags did deploy. Overall very stable. No abrasions noted. Okay. Seat collar pressure was stable. 90 over 60. 124 heart rate. And is another squad taking like the mom or whoever else was in the car? So mom is with us and she's gonna likely get checked in when she gets there. She doesn't want to be separated from him. Dad is staying on scene. Okay. How old's mom just in case? Mom how old are you? She's 26. And she's not wanting to be seen until afterwards? Because she doesn't want to be separated. Yeah. Okay. Correct. She's a UH employee. Oh okay. Okay. See ya. Bye-bye.</t>
  </si>
  <si>
    <t>3 year old male highway accident, rollover airbag deployment, in an age-appropriate car seat, stable,  90 over 60. 124 heart rate.</t>
  </si>
  <si>
    <t>Highway accident with single car rollover</t>
  </si>
  <si>
    <t>The transcript mentions a three-year-old male involved in a highway accident with a single car rollover and airbag deployment.</t>
  </si>
  <si>
    <t>['124 heart rate']</t>
  </si>
  <si>
    <t>['90 over 60']</t>
  </si>
  <si>
    <t>['highway accident', 'Single car with rollover airbag deployment', 'rollover two to three times']</t>
  </si>
  <si>
    <t>U-H Danny. Hey Danny. Need you to relay to Rainbow for me. Okay. This is Cleveland 28. I have a [REDACTED] that was involved in a highway accident. Single car with rollover airbag deployment. It was a rollover? Correct. Rollover two to three times. Oh good. Okay. It was in an age-appropriate car seat per mile. The car was still outside. I couldn't see. The airbags did deploy. Overall very stable. No abrasions noted. Okay. Seat collar pressure was stable. 90 over 60. 124 heart rate. And is another squad taking like the mom or whoever else was in the car? So mom is with us and she's gonna likely get checked in when she gets there. She doesn't want to be separated from him. Dad is staying on scene. Okay. How old's mom just in case? Mom how old are you? She's 26. And she's not wanting to be seen until afterwards? Because she doesn't want to be separated. Yeah. Okay. Correct. She's a UH employee. Oh okay. Okay. See ya. Bye-bye.</t>
  </si>
  <si>
    <t>U-H Danny. Hey Danny. Need you to relay to Rainbow for me. Okay. This is Cleveland 28. I have a three-year-old male that was involved in a highway accident. Single car with rollover airbag deployment. It was a rollover? Correct. Rollover two to three times. Oh good. Okay. It was in an age-appropriate car seat per mile. The car was still outside. I couldn't see. The airbags did deploy. Overall very stable. No abrasions noted. Okay. Seat collar pressure was stable. 90 over 60. [REDACTED]. And is another squad taking like the mom or whoever else was in the car? So mom is with us and she's gonna likely get checked in when she gets there. She doesn't want to be separated from him. Dad is staying on scene. Okay. How old's mom just in case? Mom how old are you? She's 26. And she's not wanting to be seen until afterwards? Because she doesn't want to be separated. Yeah. Okay. Correct. She's a UH employee. Oh okay. Okay. See ya. Bye-bye.</t>
  </si>
  <si>
    <t>U-H Danny. Hey Danny. Need you to relay to Rainbow for me. Okay. This is Cleveland 28. I have a three-year-old male that was involved in a highway accident. Single car with rollover airbag deployment. It was a rollover? Correct. Rollover two to three times. Oh good. Okay. It was in an age-appropriate car seat per mile. The car was still outside. I couldn't see. The airbags did deploy. Overall very stable. No abrasions noted. Okay. Seat collar pressure was stable. [REDACTED]. 124 heart rate. And is another squad taking like the mom or whoever else was in the car? So mom is with us and she's gonna likely get checked in when she gets there. She doesn't want to be separated from him. Dad is staying on scene. Okay. How old's mom just in case? Mom how old are you? She's 26. And she's not wanting to be seen until afterwards? Because she doesn't want to be separated. Yeah. Okay. Correct. She's a UH employee. Oh okay. Okay. See ya. Bye-bye.</t>
  </si>
  <si>
    <t>Thank you. UH. Hey, is this Rainbows? No, this is the adult, but if you're calling in a report, I can call them and give them the report. Okay, yeah, that'd be great. We're en route to you guys with a 15-year-old male involved in a two-car MBA. We're going to call a trauma on this one. He said he feels like he lost consciousness. He's got some, like, minor lacerations on his face. His main complaint right now is right leg pain, his upper femur area. No shortening or rotation. MSCs are intact. He's just complaining of a lot of pain in that area and some lower back pain. All airbags were deployed. Seatbelts were intact. There is no seatbelt sign. We have a 20-gauge in the right AC. We gave him 25 mics of fentanyl for pain. We gave him 4 milligrams of Zofran ODT. Right now, heart rate is 91, normal sinus in our monitor. He's 99% on room air. Our last blood pressure was 103 over 85. Initially, he was, like, in the 125, so we're monitoring that. We do have some fluids going in. Lung sounds clear and equal bilaterally. Pupils are all equal. No other pain or trauma that we noticed other than minor lacerations on his face and, like, just some minor bruising to that right leg, but due to, like, the loss of consciousness and everything, we wanted to. Yeah, now his pressure is 76 over 31. But he's meditating well. What was the approximate speed of the car? That we're unsure of. It was a 35 mile an hour. It could have been anywhere between 35 and 45 miles per hour. It looked like mainly his side was impacted. We had to extricate him from the car. He didn't have to be extricated? Well, yeah, we had to, like, rip the door off and everything, and then we backboarded him out. Right now, he's C-collared. He's not on a backboard, but he's still meditating very well. Okay, perfect. All right, so we'll just say 35 through 45. All right, and what squat is this? Mentor, 11-12. Mentor. All right, and what's your ETA? ETA, I would say, is about 15 minutes. 15 minutes. Sounds good. Thank you. All right, thank you. Bye. Bye.</t>
  </si>
  <si>
    <t>15 year old male 2 car MVA, lost conscious, minor lacerations on his face. His main complaint right now is right leg pain, his upper femur area. No shortening or rotation. MSCs are intact. last blood pressure was 103 over 85, No other pain or trauma, pressure is 76 over 31,</t>
  </si>
  <si>
    <t>Two-car MBA</t>
  </si>
  <si>
    <t>The transcript mentions a 15-year-old male involved in a two-car motor vehicle accident (MBA).</t>
  </si>
  <si>
    <t>['he feels like he lost consciousness', "he's meditating well", "he's still meditating very well"]</t>
  </si>
  <si>
    <t>Thank you. UH. Hey, is this Rainbows? No, this is the adult, but if you're calling in a report, I can call them and give them the report. Okay, yeah, that'd be great. We're en route to you guys with a [REDACTED] involved in a two-car MBA. We're going to call a trauma on this one. He said he feels like he lost consciousness. He's got some, like, minor lacerations on his face. His main complaint right now is right leg pain, his upper femur area. No shortening or rotation. MSCs are intact. He's just complaining of a lot of pain in that area and some lower back pain. All airbags were deployed. Seatbelts were intact. There is no seatbelt sign. We have a 20-gauge in the right AC. We gave him 25 mics of fentanyl for pain. We gave him 4 milligrams of Zofran ODT. Right now, heart rate is 91, normal sinus in our monitor. He's 99% on room air. Our last blood pressure was 103 over 85. Initially, he was, like, in the 125, so we're monitoring that. We do have some fluids going in. Lung sounds clear and equal bilaterally. Pupils are all equal. No other pain or trauma that we noticed other than minor lacerations on his face and, like, just some minor bruising to that right leg, but due to, like, the loss of consciousness and everything, we wanted to. Yeah, now his pressure is 76 over 31. But he's meditating well. What was the approximate speed of the car? That we're unsure of. It was a 35 mile an hour. It could have been anywhere between 35 and 45 miles per hour. It looked like mainly his side was impacted. We had to extricate him from the car. He didn't have to be extricated? Well, yeah, we had to, like, rip the door off and everything, and then we backboarded him out. Right now, he's C-collared. He's not on a backboard, but he's still meditating very well. Okay, perfect. All right, so we'll just say 35 through 45. All right, and what squat is this? Mentor, 11-12. Mentor. All right, and what's your ETA? ETA, I would say, is about 15 minutes. 15 minutes. Sounds good. Thank you. All right, thank you. Bye. Bye.</t>
  </si>
  <si>
    <t>Thank you. UH. Hey, is this Rainbows? No, this is the adult, but if you're calling in a report, I can call them and give them the report. Okay, yeah, that'd be great. We're en route to you guys with a 15-year-old male involved in a two-car MBA. We're going to call a trauma on this one. He said [REDACTED]. He's got some, like, minor lacerations on his face. His main complaint right now is right leg pain, his upper femur area. No shortening or rotation. MSCs are intact. He's just complaining of a lot of pain in that area and some lower back pain. All airbags were deployed. Seatbelts were intact. There is no seatbelt sign. We have a 20-gauge in the right AC. We gave him 25 mics of fentanyl for pain. We gave him 4 milligrams of Zofran ODT. Right now, heart rate is 91, normal sinus in our monitor. He's 99% on room air. Our last blood pressure was 103 over 85. Initially, he was, like, in the 125, so we're monitoring that. We do have some fluids going in. Lung sounds clear and equal bilaterally. Pupils are all equal. No other pain or trauma that we noticed other than minor lacerations on his face and, like, just some minor bruising to that right leg, but due to, like, the loss of consciousness and everything, we wanted to. Yeah, now his pressure is 76 over 31. But [REDACTED]. What was the approximate speed of the car? That we're unsure of. It was a 35 mile an hour. It could have been anywhere between 35 and 45 miles per hour. It looked like mainly his side was impacted. We had to extricate him from the car. He didn't have to be extricated? Well, yeah, we had to, like, rip the door off and everything, and then we backboarded him out. Right now, he's C-collared. He's not on a backboard, but [REDACTED]. Okay, perfect. All right, so we'll just say 35 through 45. All right, and what squat is this? Mentor, 11-12. Mentor. All right, and what's your ETA? ETA, I would say, is about 15 minutes. 15 minutes. Sounds good. Thank you. All right, thank you. Bye. Bye.</t>
  </si>
  <si>
    <t>UH. Hey, this is Medic 24. We got the 14 year old coming to you guys from, she is GCS 15, pupils are all equal and reactive. Vitals are stable right now, 103, 128 over 82, 99% on room air, 12 breath first. No, no visible injury sustained, went to right leg plane, getting an IV on her right now and we'll be on our way in about two minutes here. And what was going on here? 14? Yeah, 14 year old MVA. MVA? No, yep. Okay, were they wearing a seatbelt? Uh, was she, did they say she was restrained? She was a pedestrian truck. Oh, pedestrian truck. Yep. Okay, male or female? Female. Okay, and then so just right leg pain right now? Mm-hmm. Okay. So, just right leg pain right now? Mm-hmm. Okay. So, just right leg pain right now? Mm-hmm. Yeah. Any deformities or? No, none noted. Okay, all right. And ETA? Uh, we'll go five minutes. Five, all right. See you then. All right, bye. Yep, bye.</t>
  </si>
  <si>
    <t>14 year old GCS 15 Vitals are stable, 103, 128 over 82, 99% on room air, 12 breath first. pedestrian struck leg pain</t>
  </si>
  <si>
    <t>Pedestrian struck by truck</t>
  </si>
  <si>
    <t>The transcript mentions the patient was a pedestrian struck by a truck.</t>
  </si>
  <si>
    <t>['14 year old', '14? Yeah, 14 year old']</t>
  </si>
  <si>
    <t>['103']</t>
  </si>
  <si>
    <t>['128 over 82']</t>
  </si>
  <si>
    <t>['12 breath first']</t>
  </si>
  <si>
    <t>['MVA', 'pedestrian truck']</t>
  </si>
  <si>
    <t>UH. Hey, this is Medic 24. We got the 14 year old coming to you guys from, she is GCS 15, pupils are all equal and reactive. Vitals are stable right now, [REDACTED], 128 over 82, 99% on room air, 12 breath first. No, no visible injury sustained, went to right leg plane, getting an IV on her right now and we'll be on our way in about two minutes here. And what was going on here? 14? Yeah, 14 year old MVA. MVA? No, yep. Okay, were they wearing a seatbelt? Uh, was she, did they say she was restrained? She was a pedestrian truck. Oh, pedestrian truck. Yep. Okay, male or female? Female. Okay, and then so just right leg pain right now? Mm-hmm. Okay. So, just right leg pain right now? Mm-hmm. Okay. So, just right leg pain right now? Mm-hmm. Yeah. Any deformities or? No, none noted. Okay, all right. And ETA? Uh, we'll go five minutes. Five, all right. See you then. All right, bye. Yep, bye.</t>
  </si>
  <si>
    <t>UH. Hey, this is Medic 24. We got the 14 year old coming to you guys from, she is GCS 15, pupils are all equal and reactive. Vitals are stable right now, 103, [REDACTED], 99% on room air, 12 breath first. No, no visible injury sustained, went to right leg plane, getting an IV on her right now and we'll be on our way in about two minutes here. And what was going on here? 14? Yeah, 14 year old MVA. MVA? No, yep. Okay, were they wearing a seatbelt? Uh, was she, did they say she was restrained? She was a pedestrian truck. Oh, pedestrian truck. Yep. Okay, male or female? Female. Okay, and then so just right leg pain right now? Mm-hmm. Okay. So, just right leg pain right now? Mm-hmm. Okay. So, just right leg pain right now? Mm-hmm. Yeah. Any deformities or? No, none noted. Okay, all right. And ETA? Uh, we'll go five minutes. Five, all right. See you then. All right, bye. Yep, bye.</t>
  </si>
  <si>
    <t>UH. Hey, this is Medic 24. We got the 14 year old coming to you guys from, she is GCS 15, pupils are all equal and reactive. Vitals are stable right now, 103, 128 over 82, 99% on room air, [REDACTED]. No, no visible injury sustained, went to right leg plane, getting an IV on her right now and we'll be on our way in about two minutes here. And what was going on here? 14? Yeah, 14 year old MVA. MVA? No, yep. Okay, were they wearing a seatbelt? Uh, was she, did they say she was restrained? She was a pedestrian truck. Oh, pedestrian truck. Yep. Okay, male or female? Female. Okay, and then so just right leg pain right now? Mm-hmm. Okay. So, just right leg pain right now? Mm-hmm. Okay. So, just right leg pain right now? Mm-hmm. Yeah. Any deformities or? No, none noted. Okay, all right. And ETA? Uh, we'll go five minutes. Five, all right. See you then. All right, bye. Yep, bye.</t>
  </si>
  <si>
    <t>UH. Hey, this is Medic 24. We got the 14 year old coming to you guys from, she is GCS 15, pupils are all equal and reactive. Vitals are stable right now, 103, 128 over 82, 99% on room air, 12 breath first. No, no visible injury sustained, went to right leg plane, getting an IV on her right now and we'll be on our way in about two minutes here. And what was going on here? 14? Yeah, 14 year old [REDACTED]. [REDACTED]? No, yep. Okay, were they wearing a seatbelt? Uh, was she, did they say she was restrained? She was a [REDACTED]. Oh, [REDACTED]. Yep. Okay, male or female? Female. Okay, and then so just right leg pain right now? Mm-hmm. Okay. So, just right leg pain right now? Mm-hmm. Okay. So, just right leg pain right now? Mm-hmm. Yeah. Any deformities or? No, none noted. Okay, all right. And ETA? Uh, we'll go five minutes. Five, all right. See you then. All right, bye. Yep, bye.</t>
  </si>
  <si>
    <t>UH. Hey Cleveland 4, we're bringing you a fourth patient from that crash. This is going to be for the rainbow side. He is 15, 1-5 years old. He was an unrestrained passenger who was ejected out of the front windshield. They have video that shows this. He was ambulatory on scene. He's got abrasions and scrapes all over his body, but no major injuries that we see. 136 over 72, pulse 92, respires 22, 95%. We have a five minute ECA. And you said they're alert times three right now? Yeah, GCS 15, AMO times three, but again we have video showing that he was ejected from the vehicle through the windshield and thrown several feet after a high speed MVA with the police chase. Copy, seeing five. Thank you.</t>
  </si>
  <si>
    <t>15 year old unrestrained passenger who was ejected out of the front windshield, ambularoty, abrasions and scrapes all over his body, but no major injuries that we see. 136 over 72, pulse 92, respires 22, 95% GCS 15</t>
  </si>
  <si>
    <t>Ejection from vehicle during high-speed MVA</t>
  </si>
  <si>
    <t>The transcript describes the patient as an unrestrained passenger ejected through the windshield during a high-speed motor vehicle accident.</t>
  </si>
  <si>
    <t>['15, 1-5 years old']</t>
  </si>
  <si>
    <t>['pulse 92']</t>
  </si>
  <si>
    <t>['136 over 72']</t>
  </si>
  <si>
    <t>['alert times three', 'AMO times three']</t>
  </si>
  <si>
    <t>UH. Hey Cleveland 4, we're bringing you a fourth patient from that crash. This is going to be for the rainbow side. He is [REDACTED]. He was an unrestrained passenger who was ejected out of the front windshield. They have video that shows this. He was ambulatory on scene. He's got abrasions and scrapes all over his body, but no major injuries that we see. 136 over 72, pulse 92, respires 22, 95%. We have a five minute ECA. And you said they're alert times three right now? Yeah, GCS 15, AMO times three, but again we have video showing that he was ejected from the vehicle through the windshield and thrown several feet after a high speed MVA with the police chase. Copy, seeing five. Thank you.</t>
  </si>
  <si>
    <t>UH. Hey Cleveland 4, we're bringing you a fourth patient from that crash. This is going to be for the rainbow side. He is 15, 1-5 years old. He was an unrestrained passenger who was ejected out of the front windshield. They have video that shows this. He was ambulatory on scene. He's got abrasions and scrapes all over his body, but no major injuries that we see. 136 over 72, [REDACTED], respires 22, 95%. We have a five minute ECA. And you said they're alert times three right now? Yeah, GCS 15, AMO times three, but again we have video showing that he was ejected from the vehicle through the windshield and thrown several feet after a high speed MVA with the police chase. Copy, seeing five. Thank you.</t>
  </si>
  <si>
    <t>UH. Hey Cleveland 4, we're bringing you a fourth patient from that crash. This is going to be for the rainbow side. He is 15, 1-5 years old. He was an unrestrained passenger who was ejected out of the front windshield. They have video that shows this. He was ambulatory on scene. He's got abrasions and scrapes all over his body, but no major injuries that we see. [REDACTED], pulse 92, respires 22, 95%. We have a five minute ECA. And you said they're alert times three right now? Yeah, GCS 15, AMO times three, but again we have video showing that he was ejected from the vehicle through the windshield and thrown several feet after a high speed MVA with the police chase. Copy, seeing five. Thank you.</t>
  </si>
  <si>
    <t>UH. Hey Cleveland 4, we're bringing you a fourth patient from that crash. This is going to be for the rainbow side. He is 15, 1-5 years old. He was an unrestrained passenger who was ejected out of the front windshield. They have video that shows this. He was ambulatory on scene. He's got abrasions and scrapes all over his body, but no major injuries that we see. 136 over 72, pulse 92, [REDACTED], 95%. We have a five minute ECA. And you said they're alert times three right now? Yeah, GCS 15, AMO times three, but again we have video showing that he was ejected from the vehicle through the windshield and thrown several feet after a high speed MVA with the police chase. Copy, seeing five. Thank you.</t>
  </si>
  <si>
    <t>UH. Hey Cleveland 4, we're bringing you a fourth patient from that crash. This is going to be for the rainbow side. He is 15, 1-5 years old. He was an unrestrained passenger who was ejected out of the front windshield. They have video that shows this. He was ambulatory on scene. He's got abrasions and scrapes all over his body, but no major injuries that we see. 136 over 72, pulse 92, respires 22, 95%. We have a five minute ECA. And you said they're [REDACTED] right now? Yeah, GCS 15, [REDACTED], but again we have video showing that he was ejected from the vehicle through the windshield and thrown several feet after a high speed MVA with the police chase. Copy, seeing five. Thank you.</t>
  </si>
  <si>
    <t>UH. Hey, it's Cleveland Ford, excuse me, 23 with pediatric trauma. Okay. I have a 15, one five-year-old male, unrestrained driver of a two-car MBA. He's complaining of bilateral leg pain. He's got a lack to his head. He was initially acting A&amp;O times one on scene. He is fully immobilized. He's A&amp;O times three right now. BP is 120 over 70, heart rate 116, respires 20, 100% on room air, and we'll be there in about five minutes. All right. Go over that again, just real quick. Just unrestrained driver. It was a police chase. They hit another car. Okay. All right. And he's a lawyer times three. You said he has a laceration. Where was that to? He has a lack to the top of his head, like his upper forehead area. All right. All right. We'll see you guys in what, five? Yep. All right. Yep. Bye. Bye.</t>
  </si>
  <si>
    <t>15, one five-year-old male, unrestrained driver of a two-car MBA. He's complaining of bilateral leg pain. He's got a lack to his head. He was initially acting A&amp;O times one on scene. He is fully immobilized. He's A&amp;O times three right now. BP is 120 over 70, heart rate 116, respires 20, 100% on room air,</t>
  </si>
  <si>
    <t>Unrestrained driver of a two-car MBA</t>
  </si>
  <si>
    <t>The transcript describes a 15-year-old male involved as an unrestrained driver in a motor vehicle accident (MBA) during a police chase.</t>
  </si>
  <si>
    <t>['15, one five-year-old male']</t>
  </si>
  <si>
    <t>['heart rate 116']</t>
  </si>
  <si>
    <t>['BP is 120 over 70']</t>
  </si>
  <si>
    <t>['respires 20']</t>
  </si>
  <si>
    <t>UH. Hey, it's Cleveland Ford, excuse me, 23 with pediatric trauma. Okay. I have a [REDACTED], unrestrained driver of a two-car MBA. He's complaining of bilateral leg pain. He's got a lack to his head. He was initially acting A&amp;O times one on scene. He is fully immobilized. He's A&amp;O times three right now. BP is 120 over 70, heart rate 116, respires 20, 100% on room air, and we'll be there in about five minutes. All right. Go over that again, just real quick. Just unrestrained driver. It was a police chase. They hit another car. Okay. All right. And he's a lawyer times three. You said he has a laceration. Where was that to? He has a lack to the top of his head, like his upper forehead area. All right. All right. We'll see you guys in what, five? Yep. All right. Yep. Bye. Bye.</t>
  </si>
  <si>
    <t>UH. Hey, it's Cleveland Ford, excuse me, 23 with pediatric trauma. Okay. I have a 15, one five-year-old male, unrestrained driver of a two-car MBA. He's complaining of bilateral leg pain. He's got a lack to his head. He was initially acting A&amp;O times one on scene. He is fully immobilized. He's A&amp;O times three right now. BP is 120 over 70, [REDACTED], respires 20, 100% on room air, and we'll be there in about five minutes. All right. Go over that again, just real quick. Just unrestrained driver. It was a police chase. They hit another car. Okay. All right. And he's a lawyer times three. You said he has a laceration. Where was that to? He has a lack to the top of his head, like his upper forehead area. All right. All right. We'll see you guys in what, five? Yep. All right. Yep. Bye. Bye.</t>
  </si>
  <si>
    <t>UH. Hey, it's Cleveland Ford, excuse me, 23 with pediatric trauma. Okay. I have a 15, one five-year-old male, unrestrained driver of a two-car MBA. He's complaining of bilateral leg pain. He's got a lack to his head. He was initially acting A&amp;O times one on scene. He is fully immobilized. He's A&amp;O times three right now. [REDACTED], heart rate 116, respires 20, 100% on room air, and we'll be there in about five minutes. All right. Go over that again, just real quick. Just unrestrained driver. It was a police chase. They hit another car. Okay. All right. And he's a lawyer times three. You said he has a laceration. Where was that to? He has a lack to the top of his head, like his upper forehead area. All right. All right. We'll see you guys in what, five? Yep. All right. Yep. Bye. Bye.</t>
  </si>
  <si>
    <t>UH. Hey, it's Cleveland Ford, excuse me, 23 with pediatric trauma. Okay. I have a 15, one five-year-old male, unrestrained driver of a two-car MBA. He's complaining of bilateral leg pain. He's got a lack to his head. He was initially acting A&amp;O times one on scene. He is fully immobilized. He's A&amp;O times three right now. BP is 120 over 70, heart rate 116, [REDACTED], 100% on room air, and we'll be there in about five minutes. All right. Go over that again, just real quick. Just unrestrained driver. It was a police chase. They hit another car. Okay. All right. And he's a lawyer times three. You said he has a laceration. Where was that to? He has a lack to the top of his head, like his upper forehead area. All right. All right. We'll see you guys in what, five? Yep. All right. Yep. Bye. Bye.</t>
  </si>
  <si>
    <t>UHD. Hey, Cleveland Medic 30. Wow, hey, that was quick. Hey. Yeah, 8-year-old male, struck while riding his four-wheeler. No obvious deformities, injuries anywhere. He's complaining of some right-sided neck pain, right leg pain, and he's got a small abrasion on his finger. Very stable. 80 heart rate, 121 over 73. No loss of consciousness or anything. No other big obvious injuries. How struck by a vehicle, I presume? Yeah, yeah, yeah. Red Kia Soul. He's 8 years old? Yep. Jesus. And how fast? Does anyone know? They're going probably 20 miles an hour. I saw a video of it. His dad showed me a video from his security camera. It looked like they hit their brakes at the last minute. He was crossing the street. So, it's probably a slower rate of speed, like 15. Yeah. Okay, gotcha. It looks like it just struck the four-wheeler that he was on, and that the car didn't actually come in contact with him. Just kind of shook him up a bit. Um, okay. I'm pretty sure there's some of his... Yeah. We've got him collared and stuff, but yeah, that's pretty much it. He's super stable, though. He's ambulatory and everything. He walked up to us on scene and stuff. We'll be there in like 10. Okay, we'll see you soon. Bye. Thanks, bye.</t>
  </si>
  <si>
    <t>8 year old male struck while riding his four wheeler no deformities, some right-sided neck pain, right leg pain, and he's got a small abrasion on his finger. Very stable. 80 heart rate, 121 over 73. No loss of consciousness or anything. probably 20 miles an hour</t>
  </si>
  <si>
    <t>Struck by vehicle while riding four-wheeler</t>
  </si>
  <si>
    <t>The transcript describes an 8-year-old male who was struck by a vehicle while riding his four-wheeler.</t>
  </si>
  <si>
    <t>['8-year-old male', "He's 8 years old"]</t>
  </si>
  <si>
    <t>['80 heart rate']</t>
  </si>
  <si>
    <t>['121 over 73']</t>
  </si>
  <si>
    <t>['No loss of consciousness', "He's super stable", "He's ambulatory and everything", 'He walked up to us on scene']</t>
  </si>
  <si>
    <t>UHD. Hey, Cleveland Medic 30. Wow, hey, that was quick. Hey. Yeah, [REDACTED], struck while riding his four-wheeler. No obvious deformities, injuries anywhere. He's complaining of some right-sided neck pain, right leg pain, and he's got a small abrasion on his finger. Very stable. 80 heart rate, 121 over 73. No loss of consciousness or anything. No other big obvious injuries. How struck by a vehicle, I presume? Yeah, yeah, yeah. Red Kia Soul. [REDACTED]? Yep. Jesus. And how fast? Does anyone know? They're going probably 20 miles an hour. I saw a video of it. His dad showed me a video from his security camera. It looked like they hit their brakes at the last minute. He was crossing the street. So, it's probably a slower rate of speed, like 15. Yeah. Okay, gotcha. It looks like it just struck the four-wheeler that he was on, and that the car didn't actually come in contact with him. Just kind of shook him up a bit. Um, okay. I'm pretty sure there's some of his... Yeah. We've got him collared and stuff, but yeah, that's pretty much it. He's super stable, though. He's ambulatory and everything. He walked up to us on scene and stuff. We'll be there in like 10. Okay, we'll see you soon. Bye. Thanks, bye.</t>
  </si>
  <si>
    <t>UHD. Hey, Cleveland Medic 30. Wow, hey, that was quick. Hey. Yeah, 8-year-old male, struck while riding his four-wheeler. No obvious deformities, injuries anywhere. He's complaining of some right-sided neck pain, right leg pain, and he's got a small abrasion on his finger. Very stable. [REDACTED], 121 over 73. No loss of consciousness or anything. No other big obvious injuries. How struck by a vehicle, I presume? Yeah, yeah, yeah. Red Kia Soul. He's 8 years old? Yep. Jesus. And how fast? Does anyone know? They're going probably 20 miles an hour. I saw a video of it. His dad showed me a video from his security camera. It looked like they hit their brakes at the last minute. He was crossing the street. So, it's probably a slower rate of speed, like 15. Yeah. Okay, gotcha. It looks like it just struck the four-wheeler that he was on, and that the car didn't actually come in contact with him. Just kind of shook him up a bit. Um, okay. I'm pretty sure there's some of his... Yeah. We've got him collared and stuff, but yeah, that's pretty much it. He's super stable, though. He's ambulatory and everything. He walked up to us on scene and stuff. We'll be there in like 10. Okay, we'll see you soon. Bye. Thanks, bye.</t>
  </si>
  <si>
    <t>UHD. Hey, Cleveland Medic 30. Wow, hey, that was quick. Hey. Yeah, 8-year-old male, struck while riding his four-wheeler. No obvious deformities, injuries anywhere. He's complaining of some right-sided neck pain, right leg pain, and he's got a small abrasion on his finger. Very stable. 80 heart rate, [REDACTED]. No loss of consciousness or anything. No other big obvious injuries. How struck by a vehicle, I presume? Yeah, yeah, yeah. Red Kia Soul. He's 8 years old? Yep. Jesus. And how fast? Does anyone know? They're going probably 20 miles an hour. I saw a video of it. His dad showed me a video from his security camera. It looked like they hit their brakes at the last minute. He was crossing the street. So, it's probably a slower rate of speed, like 15. Yeah. Okay, gotcha. It looks like it just struck the four-wheeler that he was on, and that the car didn't actually come in contact with him. Just kind of shook him up a bit. Um, okay. I'm pretty sure there's some of his... Yeah. We've got him collared and stuff, but yeah, that's pretty much it. He's super stable, though. He's ambulatory and everything. He walked up to us on scene and stuff. We'll be there in like 10. Okay, we'll see you soon. Bye. Thanks, bye.</t>
  </si>
  <si>
    <t>UHD. Hey, Cleveland Medic 30. Wow, hey, that was quick. Hey. Yeah, 8-year-old male, struck while riding his four-wheeler. No obvious deformities, injuries anywhere. He's complaining of some right-sided neck pain, right leg pain, and he's got a small abrasion on his finger. Very stable. 80 heart rate, 121 over 73. [REDACTED] or anything. No other big obvious injuries. How struck by a vehicle, I presume? Yeah, yeah, yeah. Red Kia Soul. He's 8 years old? Yep. Jesus. And how fast? Does anyone know? They're going probably 20 miles an hour. I saw a video of it. His dad showed me a video from his security camera. It looked like they hit their brakes at the last minute. He was crossing the street. So, it's probably a slower rate of speed, like 15. Yeah. Okay, gotcha. It looks like it just struck the four-wheeler that he was on, and that the car didn't actually come in contact with him. Just kind of shook him up a bit. Um, okay. I'm pretty sure there's some of his... Yeah. We've got him collared and stuff, but yeah, that's pretty much it. [REDACTED], though. [REDACTED]. [REDACTED] and stuff. We'll be there in like 10. Okay, we'll see you soon. Bye. Thanks, bye.</t>
  </si>
  <si>
    <t>Hello, SUH. Hey, it's Cleveland 41. I got an 11-year-old male, critical. Pedestrian struck. Pedestrians picked the car up off of him. He got road rash, leg, arm, right humerus fracture, open head fracture. He's alert and oriented. Blood pressure is 100 over 60, heart rate 144. Working on the line. We'll be there in about seven minutes, ten minutes. You said no LLC? I would go with yes on the LLC. You said he's 11, correct? Yeah, 11. Thank you. Yep.</t>
  </si>
  <si>
    <t>11 year old male, pedestrian struck, Pedestrians picked the car up off of him. He got road rash, leg, arm, right humerus fracture, open head fracture. He's alert and oriented. Blood pressure is 100 over 60, heart rate 144.</t>
  </si>
  <si>
    <t>Pedestrian struck</t>
  </si>
  <si>
    <t>The transcript mentions that the patient is an 11-year-old male who was struck by a vehicle.</t>
  </si>
  <si>
    <t>['11-year-old male', "he's 11", '11']</t>
  </si>
  <si>
    <t>['heart rate 144']</t>
  </si>
  <si>
    <t>['Blood pressure is 100 over 60']</t>
  </si>
  <si>
    <t>Hello, SUH. Hey, it's Cleveland 41. I got an [REDACTED], critical. Pedestrian struck. Pedestrians picked the car up off of him. He got road rash, leg, arm, right humerus fracture, open head fracture. He's alert and oriented. Blood pressure is 100 over 60, heart rate 144. Working on the line. We'll be there in about seven minutes, ten minutes. You said no LLC? I would go with yes on the LLC. You said [REDACTED], correct? Yeah, [REDACTED]. Thank you. Yep.</t>
  </si>
  <si>
    <t>Hello, SUH. Hey, it's Cleveland 41. I got an 11-year-old male, critical. Pedestrian struck. Pedestrians picked the car up off of him. He got road rash, leg, arm, right humerus fracture, open head fracture. He's alert and oriented. Blood pressure is 100 over 60, [REDACTED]. Working on the line. We'll be there in about seven minutes, ten minutes. You said no LLC? I would go with yes on the LLC. You said he's 11, correct? Yeah, 11. Thank you. Yep.</t>
  </si>
  <si>
    <t>Hello, SUH. Hey, it's Cleveland 41. I got an 11-year-old male, critical. Pedestrian struck. Pedestrians picked the car up off of him. He got road rash, leg, arm, right humerus fracture, open head fracture. He's alert and oriented. [REDACTED], heart rate 144. Working on the line. We'll be there in about seven minutes, ten minutes. You said no LLC? I would go with yes on the LLC. You said he's 11, correct? Yeah, 11. Thank you. Yep.</t>
  </si>
  <si>
    <t>Hello, SUH. Hey, it's Cleveland 41. I got an 11-year-old male, critical. Pedestrian struck. Pedestrians picked the car up off of him. He got road rash, leg, arm, right humerus fracture, open head fracture. [REDACTED]. Blood pressure is 100 over 60, heart rate 144. Working on the line. We'll be there in about seven minutes, ten minutes. You said no LLC? I would go with yes on the LLC. You said he's 11, correct? Yeah, 11. Thank you. Yep.</t>
  </si>
  <si>
    <t>Sam Wilson, 31. Go ahead. Yo, 14, female, bilateral tibia fracture. This is going to be a full trauma. She was in the passenger of a vehicle, car to a pole, major damage, had to be extricated, ready in 10 minutes. Vital stable, but like I said, bilateral tibia factor, beat her in about five minutes. All right, what's her mental status? I'm sorry? What's her mental status? I think she's GCS is the 14, 15. Okay, sounds good. Yeah, so we good with that. All right, 14, right? One, four.</t>
  </si>
  <si>
    <t>14, female, bilateral tibia fracture car to a pole, major damage, had to be extricated, vitals stable, GCS 14</t>
  </si>
  <si>
    <t>Car to pole collision</t>
  </si>
  <si>
    <t>The transcript mentions the patient was a passenger in a vehicle that collided with a pole and required extrication.</t>
  </si>
  <si>
    <t>['14, female', '14, right? One, four']</t>
  </si>
  <si>
    <t>Sam Wilson, 31. Go ahead. Yo, [REDACTED], bilateral tibia fracture. This is going to be a full trauma. She was in the passenger of a vehicle, car to a pole, major damage, had to be extricated, ready in 10 minutes. Vital stable, but like I said, bilateral tibia factor, beat her in about five minutes. All right, what's her mental status? I'm sorry? What's her mental status? I think she's GCS is the 14, 15. Okay, sounds good. Yeah, so we good with that. All right, [REDACTED].</t>
  </si>
  <si>
    <t>Hey, UH. Hi, UH. This is Menner on the Lake, squad 2512. I'm going to be en route for UH Rainbows for a 14-year-old female. She was hit on her bike by a car. The car was coming out of a parking lot at approximately 10 miles an hour. She went up and over the car. No loss of consciousness, did not hit her head, but she was not wearing a helmet either. She's complaining of pain to her right leg, upper part of the leg. She's also complaining of pain in the center of her abdomen. Lung sounds are clear, no difficulty breathing. We do have a C-collar on her. Heart rate's about 109 sinus. 29. Okay, go ahead. 98% remear. Blood pressure was 160 over 110. She said I didn't know what time it was for the whole time. We've got an ETA of about 20 to 30 minutes. Do you have any other questions? Let's just recap here. We've got Menner coming in, 14, female. She was a pedestrian on her bike, struck by a car, going about 10 miles an hour, complaining of some abdominal pain, and you said some neck or back pain or leg pain. I'm sorry. Right leg pain and then right behind the right shoulder. I forgot about that one. And then negative LOC, 160 over 110. Heart rate 100. 98 on remear. And no times for you. And you said she did go over the windshield? Over the hood. Over the hood? Okay. Yeah. All right. And I do have a C-collar on her. All right. ETA? About 20 to 30. All right, my friend. More than likely, we're going to make this a trauma. So we'll see you in the morning. We'll see you in the evening. Okay. All right, thank you. Thank you. Bye.</t>
  </si>
  <si>
    <t>14 year old female hit on her bike by car, 10 mph, Over the hood.  no loss of consciousness, complaining of pain to her right leg, upper part of the leg. She's also complaining of pain in the center of her abdomen. Heart rate's about 109 sinus. 29. Okay, go ahead. 98% remear. Blood pressure was 160 over 110. C-collar on her.</t>
  </si>
  <si>
    <t>The transcript states the patient was hit on her bike by a car coming out of a parking lot.</t>
  </si>
  <si>
    <t>['14-year-old female', '14, female']</t>
  </si>
  <si>
    <t>["Heart rate's about 109 sinus", 'Heart rate 100']</t>
  </si>
  <si>
    <t>['Blood pressure was 160 over 110', '160 over 110']</t>
  </si>
  <si>
    <t>["She said I didn't know what time it was for the whole time"]</t>
  </si>
  <si>
    <t>Hey, UH. Hi, UH. This is Menner on the Lake, squad 2512. I'm going to be en route for UH Rainbows for a [REDACTED]. She was hit on her bike by a car. The car was coming out of a parking lot at approximately 10 miles an hour. She went up and over the car. No loss of consciousness, did not hit her head, but she was not wearing a helmet either. She's complaining of pain to her right leg, upper part of the leg. She's also complaining of pain in the center of her abdomen. Lung sounds are clear, no difficulty breathing. We do have a C-collar on her. Heart rate's about 109 sinus. 29. Okay, go ahead. 98% remear. Blood pressure was 160 over 110. She said I didn't know what time it was for the whole time. We've got an ETA of about 20 to 30 minutes. Do you have any other questions? Let's just recap here. We've got Menner coming in, [REDACTED]. She was a pedestrian on her bike, struck by a car, going about 10 miles an hour, complaining of some abdominal pain, and you said some neck or back pain or leg pain. I'm sorry. Right leg pain and then right behind the right shoulder. I forgot about that one. And then negative LOC, 160 over 110. Heart rate 100. 98 on remear. And no times for you. And you said she did go over the windshield? Over the hood. Over the hood? Okay. Yeah. All right. And I do have a C-collar on her. All right. ETA? About 20 to 30. All right, my friend. More than likely, we're going to make this a trauma. So we'll see you in the morning. We'll see you in the evening. Okay. All right, thank you. Thank you. Bye.</t>
  </si>
  <si>
    <t>Hey, UH. Hi, UH. This is Menner on the Lake, squad 2512. I'm going to be en route for UH Rainbows for a 14-year-old female. She was hit on her bike by a car. The car was coming out of a parking lot at approximately 10 miles an hour. She went up and over the car. No loss of consciousness, did not hit her head, but she was not wearing a helmet either. She's complaining of pain to her right leg, upper part of the leg. She's also complaining of pain in the center of her abdomen. Lung sounds are clear, no difficulty breathing. We do have a C-collar on her. [REDACTED]. 29. Okay, go ahead. 98% remear. Blood pressure was 160 over 110. She said I didn't know what time it was for the whole time. We've got an ETA of about 20 to 30 minutes. Do you have any other questions? Let's just recap here. We've got Menner coming in, 14, female. She was a pedestrian on her bike, struck by a car, going about 10 miles an hour, complaining of some abdominal pain, and you said some neck or back pain or leg pain. I'm sorry. Right leg pain and then right behind the right shoulder. I forgot about that one. And then negative LOC, 160 over 110. [REDACTED]. 98 on remear. And no times for you. And you said she did go over the windshield? Over the hood. Over the hood? Okay. Yeah. All right. And I do have a C-collar on her. All right. ETA? About 20 to 30. All right, my friend. More than likely, we're going to make this a trauma. So we'll see you in the morning. We'll see you in the evening. Okay. All right, thank you. Thank you. Bye.</t>
  </si>
  <si>
    <t>Hey, UH. Hi, UH. This is Menner on the Lake, squad 2512. I'm going to be en route for UH Rainbows for a 14-year-old female. She was hit on her bike by a car. The car was coming out of a parking lot at approximately 10 miles an hour. She went up and over the car. No loss of consciousness, did not hit her head, but she was not wearing a helmet either. She's complaining of pain to her right leg, upper part of the leg. She's also complaining of pain in the center of her abdomen. Lung sounds are clear, no difficulty breathing. We do have a C-collar on her. Heart rate's about 109 sinus. 29. Okay, go ahead. 98% remear. [REDACTED]. She said I didn't know what time it was for the whole time. We've got an ETA of about 20 to 30 minutes. Do you have any other questions? Let's just recap here. We've got Menner coming in, 14, female. She was a pedestrian on her bike, struck by a car, going about 10 miles an hour, complaining of some abdominal pain, and you said some neck or back pain or leg pain. I'm sorry. Right leg pain and then right behind the right shoulder. I forgot about that one. And then negative LOC, [REDACTED]. Heart rate 100. 98 on remear. And no times for you. And you said she did go over the windshield? Over the hood. Over the hood? Okay. Yeah. All right. And I do have a C-collar on her. All right. ETA? About 20 to 30. All right, my friend. More than likely, we're going to make this a trauma. So we'll see you in the morning. We'll see you in the evening. Okay. All right, thank you. Thank you. Bye.</t>
  </si>
  <si>
    <t>Hey, UH. Hi, UH. This is Menner on the Lake, squad 2512. I'm going to be en route for UH Rainbows for a 14-year-old female. She was hit on her bike by a car. The car was coming out of a parking lot at approximately 10 miles an hour. She went up and over the car. No loss of consciousness, did not hit her head, but she was not wearing a helmet either. She's complaining of pain to her right leg, upper part of the leg. She's also complaining of pain in the center of her abdomen. Lung sounds are clear, no difficulty breathing. We do have a C-collar on her. Heart rate's about 109 sinus. 29. Okay, go ahead. 98% remear. Blood pressure was 160 over 110. [REDACTED]. We've got an ETA of about 20 to 30 minutes. Do you have any other questions? Let's just recap here. We've got Menner coming in, 14, female. She was a pedestrian on her bike, struck by a car, going about 10 miles an hour, complaining of some abdominal pain, and you said some neck or back pain or leg pain. I'm sorry. Right leg pain and then right behind the right shoulder. I forgot about that one. And then negative LOC, 160 over 110. Heart rate 100. 98 on remear. And no times for you. And you said she did go over the windshield? Over the hood. Over the hood? Okay. Yeah. All right. And I do have a C-collar on her. All right. ETA? About 20 to 30. All right, my friend. More than likely, we're going to make this a trauma. So we'll see you in the morning. We'll see you in the evening. Okay. All right, thank you. Thank you. Bye.</t>
  </si>
  <si>
    <t>Hello UH. UH this is Cleveland 7, we're route 14 year old male, ESW, the back, upper back at the spine. Vital signs, blood pressure, unable to get one right now, heart rate 116, signs on the monitor, will be there in about 5 minutes. He's awake and alert? Huh? He's awake and alert? Yes. Thank you, bye. Thanks, bye.</t>
  </si>
  <si>
    <t>14 year old male GSW upper back at the spine, blood pressure, unable to get one right now, heart rate 116, awake and alert</t>
  </si>
  <si>
    <t>ESW to the upper back at the spine</t>
  </si>
  <si>
    <t>The transcript explicitly mentions "ESW, the back, upper back at the spine" as the mechanism of injury.</t>
  </si>
  <si>
    <t>['blood pressure, unable to get one right now']</t>
  </si>
  <si>
    <t>['ESW, the back, upper back at the spine']</t>
  </si>
  <si>
    <t>Hello UH. UH this is Cleveland 7, we're route [REDACTED], ESW, the back, upper back at the spine. Vital signs, blood pressure, unable to get one right now, heart rate 116, signs on the monitor, will be there in about 5 minutes. He's awake and alert? Huh? He's awake and alert? Yes. Thank you, bye. Thanks, bye.</t>
  </si>
  <si>
    <t>Hello UH. UH this is Cleveland 7, we're route 14 year old male, ESW, the back, upper back at the spine. Vital signs, blood pressure, unable to get one right now, [REDACTED], signs on the monitor, will be there in about 5 minutes. He's awake and alert? Huh? He's awake and alert? Yes. Thank you, bye. Thanks, bye.</t>
  </si>
  <si>
    <t>Hello UH. UH this is Cleveland 7, we're route 14 year old male, ESW, the back, upper back at the spine. Vital signs, [REDACTED], heart rate 116, signs on the monitor, will be there in about 5 minutes. He's awake and alert? Huh? He's awake and alert? Yes. Thank you, bye. Thanks, bye.</t>
  </si>
  <si>
    <t>Hello UH. UH this is Cleveland 7, we're route 14 year old male, ESW, the back, upper back at the spine. Vital signs, blood pressure, unable to get one right now, heart rate 116, signs on the monitor, will be there in about 5 minutes. [REDACTED]? Huh? [REDACTED]? Yes. Thank you, bye. Thanks, bye.</t>
  </si>
  <si>
    <t>Hello UH. UH this is Cleveland 7, we're route 14 year old male, [REDACTED]. Vital signs, blood pressure, unable to get one right now, heart rate 116, signs on the monitor, will be there in about 5 minutes. He's awake and alert? Huh? He's awake and alert? Yes. Thank you, bye. Thanks, bye.</t>
  </si>
  <si>
    <t>Hey, this is the medic. Hey. We're en route with a 12 year old male, one of our other squads, brought to other location. Riding his bike downhill, he's going approximately 35 miles an hour. He wasn't wearing a helmet. Were they on the same bike? What's that? Were they on the same bike? I don't believe so, no. Oh, okay. He's got a small laceration in the front of his forehead. He's been repeating himself a lot, but he's answered all our questions okay. He's got a deforming to his left forearm as well, obvious fracture. His last pressure was 143 over 83. Heart rate sinus attack 115. He'll be there in about eight, ten minutes. Anything else? No, let's see you guys when you get here. All right, bye. Okay, bye.</t>
  </si>
  <si>
    <t>12 year old male riding bike downhill 35mph wasn’t wearing helmet, small laceration in front of his forehead, deforming to his left forearm as well, obvious fracture. His last pressure was 143 over 83. Heart rate sinus attack 115.</t>
  </si>
  <si>
    <t>Riding bike downhill at high speed</t>
  </si>
  <si>
    <t>The transcript describes a 12-year-old male riding his bike downhill at approximately 35 miles an hour without a helmet.</t>
  </si>
  <si>
    <t>['Heart rate sinus attack 115']</t>
  </si>
  <si>
    <t>["He's been repeating himself a lot, but he's answered all our questions okay"]</t>
  </si>
  <si>
    <t>["Riding his bike downhill, he's going approximately 35 miles an hour", "He wasn't wearing a helmet"]</t>
  </si>
  <si>
    <t>Hey, this is the medic. Hey. We're en route with a [REDACTED], one of our other squads, brought to other location. Riding his bike downhill, he's going approximately 35 miles an hour. He wasn't wearing a helmet. Were they on the same bike? What's that? Were they on the same bike? I don't believe so, no. Oh, okay. He's got a small laceration in the front of his forehead. He's been repeating himself a lot, but he's answered all our questions okay. He's got a deforming to his left forearm as well, obvious fracture. His last pressure was 143 over 83. Heart rate sinus attack 115. He'll be there in about eight, ten minutes. Anything else? No, let's see you guys when you get here. All right, bye. Okay, bye.</t>
  </si>
  <si>
    <t>Hey, this is the medic. Hey. We're en route with a 12 year old male, one of our other squads, brought to other location. Riding his bike downhill, he's going approximately 35 miles an hour. He wasn't wearing a helmet. Were they on the same bike? What's that? Were they on the same bike? I don't believe so, no. Oh, okay. He's got a small laceration in the front of his forehead. He's been repeating himself a lot, but he's answered all our questions okay. He's got a deforming to his left forearm as well, obvious fracture. His last pressure was 143 over 83. [REDACTED]. He'll be there in about eight, ten minutes. Anything else? No, let's see you guys when you get here. All right, bye. Okay, bye.</t>
  </si>
  <si>
    <t>Hey, this is the medic. Hey. We're en route with a 12 year old male, one of our other squads, brought to other location. Riding his bike downhill, he's going approximately 35 miles an hour. He wasn't wearing a helmet. Were they on the same bike? What's that? Were they on the same bike? I don't believe so, no. Oh, okay. He's got a small laceration in the front of his forehead. [REDACTED]. He's got a deforming to his left forearm as well, obvious fracture. His last pressure was 143 over 83. Heart rate sinus attack 115. He'll be there in about eight, ten minutes. Anything else? No, let's see you guys when you get here. All right, bye. Okay, bye.</t>
  </si>
  <si>
    <t>Hey, this is the medic. Hey. We're en route with a 12 year old male, one of our other squads, brought to other location. [REDACTED]. [REDACTED]. Were they on the same bike? What's that? Were they on the same bike? I don't believe so, no. Oh, okay. He's got a small laceration in the front of his forehead. He's been repeating himself a lot, but he's answered all our questions okay. He's got a deforming to his left forearm as well, obvious fracture. His last pressure was 143 over 83. Heart rate sinus attack 115. He'll be there in about eight, ten minutes. Anything else? No, let's see you guys when you get here. All right, bye. Okay, bye.</t>
  </si>
  <si>
    <t>Hello, UH. Hey, this is Cleveland Medics 36 coming in with two patients. We have a 15-mil, GSW to the right or left upper arm. MSP is intact, though. He's stable. How old again? He is 15. One five? One five. Thank you. Go ahead. Then we have a 17. He has abrasions to his left knee because he failed. He's a minor, so it's coming along. All right. Give me the vitals. We'll click on a 15. They're going to ask me. 134 over 82. Uh-huh. 134 over 82. Heart rate 104. Respirations 18. Thank you. Sugar 125. All right. Five out? Yep. Thank you. Bye. Thank you. Bye.</t>
  </si>
  <si>
    <t>two patients 15 year old GSW right or left upper arm, MSP intact, stable, 17 abrasions to left knee, 134 over 82. Uh-huh. 134 over 82. Heart rate 104. Respirations 18. Thank you. Sugar 125.</t>
  </si>
  <si>
    <t>GSW to upper arm</t>
  </si>
  <si>
    <t>The transcript mentions a gunshot wound (GSW) to the upper arm of one patient.</t>
  </si>
  <si>
    <t>['Heart rate 104']</t>
  </si>
  <si>
    <t>['134 over 82', '134 over 82']</t>
  </si>
  <si>
    <t>['Respirations 18']</t>
  </si>
  <si>
    <t>['GSW to the right or left upper arm', 'abrasions to his left knee because he failed']</t>
  </si>
  <si>
    <t>Hello, UH. Hey, this is Cleveland Medics 36 coming in with two patients. We have a 15-mil, GSW to the right or left upper arm. MSP is intact, though. He's stable. How old again? He is 15. One five? One five. Thank you. Go ahead. Then we have a 17. He has abrasions to his left knee because he failed. He's a minor, so it's coming along. All right. Give me the vitals. We'll click on a 15. They're going to ask me. 134 over 82. Uh-huh. 134 over 82. [REDACTED]. Respirations 18. Thank you. Sugar 125. All right. Five out? Yep. Thank you. Bye. Thank you. Bye.</t>
  </si>
  <si>
    <t>Hello, UH. Hey, this is Cleveland Medics 36 coming in with two patients. We have a 15-mil, GSW to the right or left upper arm. MSP is intact, though. He's stable. How old again? He is 15. One five? One five. Thank you. Go ahead. Then we have a 17. He has abrasions to his left knee because he failed. He's a minor, so it's coming along. All right. Give me the vitals. We'll click on a 15. They're going to ask me. [REDACTED]. Uh-huh. [REDACTED]. Heart rate 104. Respirations 18. Thank you. Sugar 125. All right. Five out? Yep. Thank you. Bye. Thank you. Bye.</t>
  </si>
  <si>
    <t>Hello, UH. Hey, this is Cleveland Medics 36 coming in with two patients. We have a 15-mil, GSW to the right or left upper arm. MSP is intact, though. He's stable. How old again? He is 15. One five? One five. Thank you. Go ahead. Then we have a 17. He has abrasions to his left knee because he failed. He's a minor, so it's coming along. All right. Give me the vitals. We'll click on a 15. They're going to ask me. 134 over 82. Uh-huh. 134 over 82. Heart rate 104. [REDACTED]. Thank you. Sugar 125. All right. Five out? Yep. Thank you. Bye. Thank you. Bye.</t>
  </si>
  <si>
    <t>Hello, UH. Hey, this is Cleveland Medics 36 coming in with two patients. We have a 15-mil, [REDACTED]. MSP is intact, though. He's stable. How old again? He is 15. One five? One five. Thank you. Go ahead. Then we have a 17. He has [REDACTED]. He's a minor, so it's coming along. All right. Give me the vitals. We'll click on a 15. They're going to ask me. 134 over 82. Uh-huh. 134 over 82. Heart rate 104. Respirations 18. Thank you. Sugar 125. All right. Five out? Yep. Thank you. Bye. Thank you. Bye.</t>
  </si>
  <si>
    <t>Good morning University. Good morning UH. This is Cleveland 41. We are in Rochester, Philadelphia. ETA 7 minutes. We are bringing in a six-year-old male that is zero six-year-old male that was struck by a vehicle at approximately 25 miles an hour. He had no loss of consciousness. He did hit his head. There was no damage to the vehicle. We have a collar on him. He's complaining only of he has a abrasion to his right ankle. No deformity. No other injuries or complaints. We just put the collar on due to the mechanism. He's got a heart rate of 124. He's 113 over 77. 98% on room air. He's acting appropriately and mom is with us. We're gonna see you in about seven minutes. All right you guys get here safely. All right see you then.</t>
  </si>
  <si>
    <t>6 year old male struck by vehicle at approximately 25 mph no loss of consciousness, no damage to vehicle, abrasion to right ankle heart rate of 124. He's 113 over 77. 98% on room air.</t>
  </si>
  <si>
    <t>The transcript states the patient was struck by a vehicle at approximately 25 miles an hour.</t>
  </si>
  <si>
    <t>['six-year-old male', 'zero six-year-old male']</t>
  </si>
  <si>
    <t>['heart rate of 124']</t>
  </si>
  <si>
    <t>['113 over 77']</t>
  </si>
  <si>
    <t>["He's acting appropriately"]</t>
  </si>
  <si>
    <t>Good morning University. Good morning UH. This is Cleveland 41. We are in Rochester, Philadelphia. ETA 7 minutes. We are bringing in a six-year-old male that is zero six-year-old male that was struck by a vehicle at approximately 25 miles an hour. He had no loss of consciousness. He did hit his head. There was no damage to the vehicle. We have a collar on him. He's complaining only of he has a abrasion to his right ankle. No deformity. No other injuries or complaints. We just put the collar on due to the mechanism. He's got a [REDACTED]. He's 113 over 77. 98% on room air. He's acting appropriately and mom is with us. We're gonna see you in about seven minutes. All right you guys get here safely. All right see you then.</t>
  </si>
  <si>
    <t>Good morning University. Good morning UH. This is Cleveland 41. We are in Rochester, Philadelphia. ETA 7 minutes. We are bringing in a six-year-old male that is zero six-year-old male that was struck by a vehicle at approximately 25 miles an hour. He had no loss of consciousness. He did hit his head. There was no damage to the vehicle. We have a collar on him. He's complaining only of he has a abrasion to his right ankle. No deformity. No other injuries or complaints. We just put the collar on due to the mechanism. He's got a heart rate of 124. He's [REDACTED]. 98% on room air. He's acting appropriately and mom is with us. We're gonna see you in about seven minutes. All right you guys get here safely. All right see you then.</t>
  </si>
  <si>
    <t>Good morning University. Good morning UH. This is Cleveland 41. We are in Rochester, Philadelphia. ETA 7 minutes. We are bringing in a six-year-old male that is zero six-year-old male that was struck by a vehicle at approximately 25 miles an hour. He had no loss of consciousness. He did hit his head. There was no damage to the vehicle. We have a collar on him. He's complaining only of he has a abrasion to his right ankle. No deformity. No other injuries or complaints. We just put the collar on due to the mechanism. He's got a heart rate of 124. He's 113 over 77. 98% on room air. [REDACTED] and mom is with us. We're gonna see you in about seven minutes. All right you guys get here safely. All right see you then.</t>
  </si>
  <si>
    <t>UITD. It's Cleveland Medic 36, we're en route with a 14 year old female. She has two GSWs, a through and through to the right wrist and a through and through to the right side. Her last pressure is 120 over 80, heart rate is 81. Sign us in the score lead is 200% on room error. Alert and orientation time score will be to you guys by 5.</t>
  </si>
  <si>
    <t>14 year old female two GSW, through and through to the right wrist and a through and through to the right side. Her last pressure is 120 over 80, heart rate is 81. Alert and orientation</t>
  </si>
  <si>
    <t>GSW to right wrist and right side</t>
  </si>
  <si>
    <t>The transcript mentions two gunshot wounds (GSWs) to the right wrist and right side of the patient.</t>
  </si>
  <si>
    <t>['heart rate is 81']</t>
  </si>
  <si>
    <t>['two GSWs', 'through and through to the right wrist', 'through and through to the right side']</t>
  </si>
  <si>
    <t>UITD. It's Cleveland Medic 36, we're en route with a [REDACTED]. She has two GSWs, a through and through to the right wrist and a through and through to the right side. Her last pressure is 120 over 80, heart rate is 81. Sign us in the score lead is 200% on room error. Alert and orientation time score will be to you guys by 5.</t>
  </si>
  <si>
    <t>UITD. It's Cleveland Medic 36, we're en route with a 14 year old female. She has two GSWs, a through and through to the right wrist and a through and through to the right side. Her last pressure is 120 over 80, [REDACTED]. Sign us in the score lead is 200% on room error. Alert and orientation time score will be to you guys by 5.</t>
  </si>
  <si>
    <t>UITD. It's Cleveland Medic 36, we're en route with a 14 year old female. She has two GSWs, a through and through to the right wrist and a through and through to the right side. Her last [REDACTED], heart rate is 81. Sign us in the score lead is 200% on room error. Alert and orientation time score will be to you guys by 5.</t>
  </si>
  <si>
    <t>UITD. It's Cleveland Medic 36, we're en route with a 14 year old female. She has [REDACTED], a [REDACTED] and a [REDACTED]. Her last pressure is 120 over 80, heart rate is 81. Sign us in the score lead is 200% on room error. Alert and orientation time score will be to you guys by 5.</t>
  </si>
  <si>
    <t>UH. Hey, good evening. This is Cleveland Medics 6. Alright, so listen, I'm bringing you a 32 year old female driver. Doesn't look like she was restrained, involved in an MVA. She's going at least 25-30 miles an hour. She hit a tree. All airbags deployed, front windshield was starred. She has pinpoint pupils. Not very cooperative. I've got a pressure right now of 100 over 70. Heart rate's 122. She is 92 to 93% room air. She's in control of her airway. She's not about every now and again, but she's easily aroused. She also had two children in the backseat of the car. A five year old female, a six year old male. Both are complaining of head pain. They were not restrained at the time of impact either. Significant damage to the front end of the vehicle. Like I said, I'm able to do a three lead on her, but to put a C collar on her and third and IB and anything like that, I can't get that done. No worries. Alright, what's your ETA? Probably about five to seven. Alright, we'll see you then. Alright, thanks. Bye. Bye.</t>
  </si>
  <si>
    <t>L2, 5 y/o, Vitals(BP, HR, RR), GCS: , MOI (MVA, unrestrained, head pain), ETA: 5-7 minutes</t>
  </si>
  <si>
    <t>32 female driver, MVA, 25-30 mph hit a tree, airbags deployed, front windshield starred, pinpoint pupils, no cooperative, pressure right now of 100 over 70. Heart rate's 122. She is 92 to 93% room air. two children in the backseat of the car. A five year old female, a six year old male. Both are complaining of head pain</t>
  </si>
  <si>
    <t>MVA into a tree</t>
  </si>
  <si>
    <t>The transcript describes a motor vehicle accident where the vehicle hit a tree.</t>
  </si>
  <si>
    <t>['32 year old female', 'A five year old female', 'a six year old male']</t>
  </si>
  <si>
    <t>["Heart rate's 122"]</t>
  </si>
  <si>
    <t>['pressure right now of 100 over 70']</t>
  </si>
  <si>
    <t>UH. Hey, good evening. This is Cleveland Medics 6. Alright, so listen, I'm bringing you a [REDACTED] driver. Doesn't look like she was restrained, involved in an MVA. She's going at least 25-30 miles an hour. She hit a tree. All airbags deployed, front windshield was starred. She has pinpoint pupils. Not very cooperative. I've got a pressure right now of 100 over 70. Heart rate's 122. She is 92 to 93% room air. She's in control of her airway. She's not about every now and again, but she's easily aroused. She also had two children in the backseat of the car. [REDACTED], [REDACTED]. Both are complaining of head pain. They were not restrained at the time of impact either. Significant damage to the front end of the vehicle. Like I said, I'm able to do a three lead on her, but to put a C collar on her and third and IB and anything like that, I can't get that done. No worries. Alright, what's your ETA? Probably about five to seven. Alright, we'll see you then. Alright, thanks. Bye. Bye.</t>
  </si>
  <si>
    <t>UH. Hey, good evening. This is Cleveland Medics 6. Alright, so listen, I'm bringing you a 32 year old female driver. Doesn't look like she was restrained, involved in an MVA. She's going at least 25-30 miles an hour. She hit a tree. All airbags deployed, front windshield was starred. She has pinpoint pupils. Not very cooperative. I've got a pressure right now of 100 over 70. [REDACTED]. She is 92 to 93% room air. She's in control of her airway. She's not about every now and again, but she's easily aroused. She also had two children in the backseat of the car. A five year old female, a six year old male. Both are complaining of head pain. They were not restrained at the time of impact either. Significant damage to the front end of the vehicle. Like I said, I'm able to do a three lead on her, but to put a C collar on her and third and IB and anything like that, I can't get that done. No worries. Alright, what's your ETA? Probably about five to seven. Alright, we'll see you then. Alright, thanks. Bye. Bye.</t>
  </si>
  <si>
    <t>UH. Hey, good evening. This is Cleveland Medics 6. Alright, so listen, I'm bringing you a 32 year old female driver. Doesn't look like she was restrained, involved in an MVA. She's going at least 25-30 miles an hour. She hit a tree. All airbags deployed, front windshield was starred. She has pinpoint pupils. Not very cooperative. I've got a [REDACTED]. Heart rate's 122. She is 92 to 93% room air. She's in control of her airway. She's not about every now and again, but she's easily aroused. She also had two children in the backseat of the car. A five year old female, a six year old male. Both are complaining of head pain. They were not restrained at the time of impact either. Significant damage to the front end of the vehicle. Like I said, I'm able to do a three lead on her, but to put a C collar on her and third and IB and anything like that, I can't get that done. No worries. Alright, what's your ETA? Probably about five to seven. Alright, we'll see you then. Alright, thanks. Bye. Bye.</t>
  </si>
  <si>
    <t>Motor vehicle accident (MVA) with impact against a tree</t>
  </si>
  <si>
    <t>The transcript describes a vehicle collision where the driver hit a tree, indicating an MVA.</t>
  </si>
  <si>
    <t>['Not very cooperative', "She's not about every now and again, but she's easily aroused"]</t>
  </si>
  <si>
    <t>['involved in an MVA', 'She hit a tree', 'All airbags deployed', 'front windshield was starred', 'Significant damage to the front end of the vehicle']</t>
  </si>
  <si>
    <t>UH. Hey, good evening. This is Cleveland Medics 6. Alright, so listen, I'm bringing you a 32 year old female driver. Doesn't look like she was restrained, involved in an MVA. She's going at least 25-30 miles an hour. She hit a tree. All airbags deployed, front windshield was starred. She has pinpoint pupils. [REDACTED]. I've got a pressure right now of 100 over 70. Heart rate's 122. She is 92 to 93% room air. She's in control of her airway. [REDACTED]. She also had two children in the backseat of the car. A five year old female, a six year old male. Both are complaining of head pain. They were not restrained at the time of impact either. Significant damage to the front end of the vehicle. Like I said, I'm able to do a three lead on her, but to put a C collar on her and third and IB and anything like that, I can't get that done. No worries. Alright, what's your ETA? Probably about five to seven. Alright, we'll see you then. Alright, thanks. Bye. Bye.</t>
  </si>
  <si>
    <t>UH. Hey, good evening. This is Cleveland Medics 6. Alright, so listen, I'm bringing you a 32 year old female driver. Doesn't look like she was restrained, [REDACTED]. She's going at least 25-30 miles an hour. [REDACTED]. [REDACTED], [REDACTED]. She has pinpoint pupils. Not very cooperative. I've got a pressure right now of 100 over 70. Heart rate's 122. She is 92 to 93% room air. She's in control of her airway. She's not about every now and again, but she's easily aroused. She also had two children in the backseat of the car. A five year old female, a six year old male. Both are complaining of head pain. They were not restrained at the time of impact either. [REDACTED]. Like I said, I'm able to do a three lead on her, but to put a C collar on her and third and IB and anything like that, I can't get that done. No worries. Alright, what's your ETA? Probably about five to seven. Alright, we'll see you then. Alright, thanks. Bye. Bye.</t>
  </si>
  <si>
    <t>UH. Go ahead. Hello? I can hear you. Hello, I'm bringing you a pediatric trauma. Repeat, this is a pediatric trauma. A seven-year-old male that was hit by a car. He's currently A&amp;O times four. He's complaining of left hip pain where the car hit him. We have him currently on a C color. He's putting no other pain. We have a C color placed. He is answering all of my questions. I currently have a pulse of 118, a blood pressure of 124 over PELP, a respires of 22 times, escrow 2 of 98. We currently have an IV of AC. We'll be at your facility in about 10. Do we know how fast the car was going? The car was going about 30 to 35. Any head injury? A little scratch on his nose, but he does not, he thinks that was from him getting like a scripted problem. Okay. His head does not hurt at all. All right. Is his pelvis stable? Yes, his pulse is at 118. His pelvis or his hip? Yes. Okay, it's stable. Yes. All right. Well, we'll see you guys when you get here. I'll let rainbows know you're on your way. Thanks. Thanks. Bye.</t>
  </si>
  <si>
    <t>7 year old male hit by car A&amp;O 4 complaining of left hip pain, C collar, no other pain, pulse 118 a blood pressure 124 respires 22, going 30 -35 mph</t>
  </si>
  <si>
    <t>The transcript states that a seven-year-old male was hit by a car.</t>
  </si>
  <si>
    <t>['pulse of 118', 'pulse is at 118']</t>
  </si>
  <si>
    <t>['blood pressure of 124 over PELP']</t>
  </si>
  <si>
    <t>['respires of 22 times']</t>
  </si>
  <si>
    <t>['A&amp;O times four', 'answering all of my questions']</t>
  </si>
  <si>
    <t>UH. Go ahead. Hello? I can hear you. Hello, I'm bringing you a pediatric trauma. Repeat, this is a pediatric trauma. A [REDACTED] that was hit by a car. He's currently A&amp;O times four. He's complaining of left hip pain where the car hit him. We have him currently on a C color. He's putting no other pain. We have a C color placed. He is answering all of my questions. I currently have a pulse of 118, a blood pressure of 124 over PELP, a respires of 22 times, escrow 2 of 98. We currently have an IV of AC. We'll be at your facility in about 10. Do we know how fast the car was going? The car was going about 30 to 35. Any head injury? A little scratch on his nose, but he does not, he thinks that was from him getting like a scripted problem. Okay. His head does not hurt at all. All right. Is his pelvis stable? Yes, his pulse is at 118. His pelvis or his hip? Yes. Okay, it's stable. Yes. All right. Well, we'll see you guys when you get here. I'll let rainbows know you're on your way. Thanks. Thanks. Bye.</t>
  </si>
  <si>
    <t>UH. Go ahead. Hello? I can hear you. Hello, I'm bringing you a pediatric trauma. Repeat, this is a pediatric trauma. A seven-year-old male that was hit by a car. He's currently A&amp;O times four. He's complaining of left hip pain where the car hit him. We have him currently on a C color. He's putting no other pain. We have a C color placed. He is answering all of my questions. I currently have a [REDACTED], a blood pressure of 124 over PELP, a respires of 22 times, escrow 2 of 98. We currently have an IV of AC. We'll be at your facility in about 10. Do we know how fast the car was going? The car was going about 30 to 35. Any head injury? A little scratch on his nose, but he does not, he thinks that was from him getting like a scripted problem. Okay. His head does not hurt at all. All right. Is his pelvis stable? Yes, his [REDACTED]. His pelvis or his hip? Yes. Okay, it's stable. Yes. All right. Well, we'll see you guys when you get here. I'll let rainbows know you're on your way. Thanks. Thanks. Bye.</t>
  </si>
  <si>
    <t>UH. Go ahead. Hello? I can hear you. Hello, I'm bringing you a pediatric trauma. Repeat, this is a pediatric trauma. A seven-year-old male that was hit by a car. He's currently A&amp;O times four. He's complaining of left hip pain where the car hit him. We have him currently on a C color. He's putting no other pain. We have a C color placed. He is answering all of my questions. I currently have a pulse of 118, a [REDACTED], a respires of 22 times, escrow 2 of 98. We currently have an IV of AC. We'll be at your facility in about 10. Do we know how fast the car was going? The car was going about 30 to 35. Any head injury? A little scratch on his nose, but he does not, he thinks that was from him getting like a scripted problem. Okay. His head does not hurt at all. All right. Is his pelvis stable? Yes, his pulse is at 118. His pelvis or his hip? Yes. Okay, it's stable. Yes. All right. Well, we'll see you guys when you get here. I'll let rainbows know you're on your way. Thanks. Thanks. Bye.</t>
  </si>
  <si>
    <t>UH. Go ahead. Hello? I can hear you. Hello, I'm bringing you a pediatric trauma. Repeat, this is a pediatric trauma. A seven-year-old male that was hit by a car. He's currently A&amp;O times four. He's complaining of left hip pain where the car hit him. We have him currently on a C color. He's putting no other pain. We have a C color placed. He is answering all of my questions. I currently have a pulse of 118, a blood pressure of 124 over PELP, a [REDACTED], escrow 2 of 98. We currently have an IV of AC. We'll be at your facility in about 10. Do we know how fast the car was going? The car was going about 30 to 35. Any head injury? A little scratch on his nose, but he does not, he thinks that was from him getting like a scripted problem. Okay. His head does not hurt at all. All right. Is his pelvis stable? Yes, his pulse is at 118. His pelvis or his hip? Yes. Okay, it's stable. Yes. All right. Well, we'll see you guys when you get here. I'll let rainbows know you're on your way. Thanks. Thanks. Bye.</t>
  </si>
  <si>
    <t>UH. Go ahead. Hello? I can hear you. Hello, I'm bringing you a pediatric trauma. Repeat, this is a pediatric trauma. A seven-year-old male that was hit by a car. He's currently [REDACTED]. He's complaining of left hip pain where the car hit him. We have him currently on a C color. He's putting no other pain. We have a C color placed. He is [REDACTED]. I currently have a pulse of 118, a blood pressure of 124 over PELP, a respires of 22 times, escrow 2 of 98. We currently have an IV of AC. We'll be at your facility in about 10. Do we know how fast the car was going? The car was going about 30 to 35. Any head injury? A little scratch on his nose, but he does not, he thinks that was from him getting like a scripted problem. Okay. His head does not hurt at all. All right. Is his pelvis stable? Yes, his pulse is at 118. His pelvis or his hip? Yes. Okay, it's stable. Yes. All right. Well, we'll see you guys when you get here. I'll let rainbows know you're on your way. Thanks. Thanks. Bye.</t>
  </si>
  <si>
    <t>to be you at your a UH Cleveland EMS my six bringing you a patient good case we're bringing you a pediatric not to trauma fell from approximately six feet onto her head changing my whole status altermentation that's a vital story a pressure of one swell or 60 heart rate is 110 is 100% air 20 established six up are you there yeah can you hear me yeah yeah I got how old is she five years of age she's a pediatric not to trauma okay I got that got the vital what's your ETA and is she awake right now you know I'll permit a shadow over the LSD I know I will call back and let him know you're coming thank you you</t>
  </si>
  <si>
    <t>fell approximately six feet onto her head 60 heart rate is 110 is 100% air</t>
  </si>
  <si>
    <t>Fall from approximately six feet onto head</t>
  </si>
  <si>
    <t>The transcript mentions a pediatric patient who fell from approximately six feet onto her head.</t>
  </si>
  <si>
    <t>['five years of age', 'pediatric']</t>
  </si>
  <si>
    <t>['heart rate is 110']</t>
  </si>
  <si>
    <t>['pressure of one swell or 60']</t>
  </si>
  <si>
    <t>['altermentation', 'is she awake right now']</t>
  </si>
  <si>
    <t>['fell from approximately six feet onto her head']</t>
  </si>
  <si>
    <t>to be you at your a UH Cleveland EMS my six bringing you a patient good case we're bringing you a [REDACTED] not to trauma fell from approximately six feet onto her head changing my whole status altermentation that's a vital story a pressure of one swell or 60 heart rate is 110 is 100% air 20 established six up are you there yeah can you hear me yeah yeah I got how old is she [REDACTED] she's a [REDACTED] not to trauma okay I got that got the vital what's your ETA and is she awake right now you know I'll permit a shadow over the LSD I know I will call back and let him know you're coming thank you you</t>
  </si>
  <si>
    <t>to be you at your a UH Cleveland EMS my six bringing you a patient good case we're bringing you a pediatric not to trauma fell from approximately six feet onto her head changing my whole status altermentation that's a vital story a pressure of one swell or 60 [REDACTED] is 100% air 20 established six up are you there yeah can you hear me yeah yeah I got how old is she five years of age she's a pediatric not to trauma okay I got that got the vital what's your ETA and is she awake right now you know I'll permit a shadow over the LSD I know I will call back and let him know you're coming thank you you</t>
  </si>
  <si>
    <t>to be you at your a UH Cleveland EMS my six bringing you a patient good case we're bringing you a pediatric not to trauma fell from approximately six feet onto her head changing my whole status altermentation that's a vital story a [REDACTED] heart rate is 110 is 100% air 20 established six up are you there yeah can you hear me yeah yeah I got how old is she five years of age she's a pediatric not to trauma okay I got that got the vital what's your ETA and is she awake right now you know I'll permit a shadow over the LSD I know I will call back and let him know you're coming thank you you</t>
  </si>
  <si>
    <t>to be you at your a UH Cleveland EMS my six bringing you a patient good case we're bringing you a pediatric not to trauma fell from approximately six feet onto her head changing my whole status [REDACTED] that's a vital story a pressure of one swell or 60 heart rate is 110 is 100% air 20 established six up are you there yeah can you hear me yeah yeah I got how old is she five years of age she's a pediatric not to trauma okay I got that got the vital what's your ETA and [REDACTED] you know I'll permit a shadow over the LSD I know I will call back and let him know you're coming thank you you</t>
  </si>
  <si>
    <t>to be you at your a UH Cleveland EMS my six bringing you a patient good case we're bringing you a pediatric not to trauma [REDACTED] changing my whole status altermentation that's a vital story a pressure of one swell or 60 heart rate is 110 is 100% air 20 established six up are you there yeah can you hear me yeah yeah I got how old is she five years of age she's a pediatric not to trauma okay I got that got the vital what's your ETA and is she awake right now you know I'll permit a shadow over the LSD I know I will call back and let him know you're coming thank you you</t>
  </si>
  <si>
    <t>Hey UH, this is Euclid, Medic 1. We're coming at you with a 13 year old female. She was struck by a car. The car was at a complete stop. The driver said the light turned green and he sped up towards her. She now has right knee pain. The knee is slightly swollen but no obvious fractures, breaks or anything. She also has pain around the shin area. Other than that, she denied us giving her IV. She said she's kind of scared of needles. She's alert and oriented. Last vitals were 165 over 98, 99 on room air and 104 pulse. No medical history. She should be there in 10ish. So how fast does he think he's going? From what I got from it, so the guy was at a complete stop and then he sped up. So I'm sure he got up to maybe, because she was coming through the crosswalk, probably 10, 15, I don't exactly know. But she didn't get smacked to the ground. Okay. She said her knee got hit and then the scooter she was on kind of went up and kept her up. Oh, she was on a scooter? Yes. Alrighty. They're gonna they'll probably make her, yeah, they are going to make her trauma. Yeah. How far are you out? We're going to be about 10 minutes out. Okay. Like I said, we were going to grab an IV. She said she's scared of needles. Okay, that's fine. Okay. We'll see you. Bye. See you. Bye.</t>
  </si>
  <si>
    <t>13 year old female, struck by car, right knee pain, swollen but no obvious fractures, pain in shin area, alert oriented, 165 over 98, 99 on room air and 104 pulse. the guy was at a complete stop and then he sped up.</t>
  </si>
  <si>
    <t>Struck by a car while on a scooter</t>
  </si>
  <si>
    <t>The transcript describes a 13-year-old female who was struck by a car while she was on a scooter.</t>
  </si>
  <si>
    <t>['104 pulse']</t>
  </si>
  <si>
    <t>['165 over 98']</t>
  </si>
  <si>
    <t>["She's alert and oriented"]</t>
  </si>
  <si>
    <t>Hey UH, this is Euclid, Medic 1. We're coming at you with a [REDACTED]. She was struck by a car. The car was at a complete stop. The driver said the light turned green and he sped up towards her. She now has right knee pain. The knee is slightly swollen but no obvious fractures, breaks or anything. She also has pain around the shin area. Other than that, she denied us giving her IV. She said she's kind of scared of needles. She's alert and oriented. Last vitals were 165 over 98, 99 on room air and 104 pulse. No medical history. She should be there in 10ish. So how fast does he think he's going? From what I got from it, so the guy was at a complete stop and then he sped up. So I'm sure he got up to maybe, because she was coming through the crosswalk, probably 10, 15, I don't exactly know. But she didn't get smacked to the ground. Okay. She said her knee got hit and then the scooter she was on kind of went up and kept her up. Oh, she was on a scooter? Yes. Alrighty. They're gonna they'll probably make her, yeah, they are going to make her trauma. Yeah. How far are you out? We're going to be about 10 minutes out. Okay. Like I said, we were going to grab an IV. She said she's scared of needles. Okay, that's fine. Okay. We'll see you. Bye. See you. Bye.</t>
  </si>
  <si>
    <t>Hey UH, this is Euclid, Medic 1. We're coming at you with a 13 year old female. She was struck by a car. The car was at a complete stop. The driver said the light turned green and he sped up towards her. She now has right knee pain. The knee is slightly swollen but no obvious fractures, breaks or anything. She also has pain around the shin area. Other than that, she denied us giving her IV. She said she's kind of scared of needles. She's alert and oriented. Last vitals were 165 over 98, 99 on room air and [REDACTED]. No medical history. She should be there in 10ish. So how fast does he think he's going? From what I got from it, so the guy was at a complete stop and then he sped up. So I'm sure he got up to maybe, because she was coming through the crosswalk, probably 10, 15, I don't exactly know. But she didn't get smacked to the ground. Okay. She said her knee got hit and then the scooter she was on kind of went up and kept her up. Oh, she was on a scooter? Yes. Alrighty. They're gonna they'll probably make her, yeah, they are going to make her trauma. Yeah. How far are you out? We're going to be about 10 minutes out. Okay. Like I said, we were going to grab an IV. She said she's scared of needles. Okay, that's fine. Okay. We'll see you. Bye. See you. Bye.</t>
  </si>
  <si>
    <t>Hey UH, this is Euclid, Medic 1. We're coming at you with a 13 year old female. She was struck by a car. The car was at a complete stop. The driver said the light turned green and he sped up towards her. She now has right knee pain. The knee is slightly swollen but no obvious fractures, breaks or anything. She also has pain around the shin area. Other than that, she denied us giving her IV. She said she's kind of scared of needles. She's alert and oriented. Last vitals were [REDACTED], 99 on room air and 104 pulse. No medical history. She should be there in 10ish. So how fast does he think he's going? From what I got from it, so the guy was at a complete stop and then he sped up. So I'm sure he got up to maybe, because she was coming through the crosswalk, probably 10, 15, I don't exactly know. But she didn't get smacked to the ground. Okay. She said her knee got hit and then the scooter she was on kind of went up and kept her up. Oh, she was on a scooter? Yes. Alrighty. They're gonna they'll probably make her, yeah, they are going to make her trauma. Yeah. How far are you out? We're going to be about 10 minutes out. Okay. Like I said, we were going to grab an IV. She said she's scared of needles. Okay, that's fine. Okay. We'll see you. Bye. See you. Bye.</t>
  </si>
  <si>
    <t>Hey UH, this is Euclid, Medic 1. We're coming at you with a 13 year old female. She was struck by a car. The car was at a complete stop. The driver said the light turned green and he sped up towards her. She now has right knee pain. The knee is slightly swollen but no obvious fractures, breaks or anything. She also has pain around the shin area. Other than that, she denied us giving her IV. She said she's kind of scared of needles. [REDACTED]. Last vitals were 165 over 98, 99 on room air and 104 pulse. No medical history. She should be there in 10ish. So how fast does he think he's going? From what I got from it, so the guy was at a complete stop and then he sped up. So I'm sure he got up to maybe, because she was coming through the crosswalk, probably 10, 15, I don't exactly know. But she didn't get smacked to the ground. Okay. She said her knee got hit and then the scooter she was on kind of went up and kept her up. Oh, she was on a scooter? Yes. Alrighty. They're gonna they'll probably make her, yeah, they are going to make her trauma. Yeah. How far are you out? We're going to be about 10 minutes out. Okay. Like I said, we were going to grab an IV. She said she's scared of needles. Okay, that's fine. Okay. We'll see you. Bye. See you. Bye.</t>
  </si>
  <si>
    <t>Hi, this is Sean. Hey, it's Hannah from PZD. Can you activate a limited trauma for us? I sure can. A 10-year-old, he's already here. MVC, unrestrained, rear passenger. Unrestrained, rear passenger, 10-year-old. Okay, we'll do. Okay, and he's here now. Okay, no problem.</t>
  </si>
  <si>
    <t>L2, 10 y/o, Vitals(BP, HR, RR), GCS: , MOI (MVC, unrestrained, rear passenger), ETA: Already here</t>
  </si>
  <si>
    <t>10 year old MVC unrestrained rear passenger</t>
  </si>
  <si>
    <t>MVC, unrestrained, rear passenger</t>
  </si>
  <si>
    <t>The transcript mentions a 10-year-old involved in an MVC as an unrestrained rear passenger.</t>
  </si>
  <si>
    <t>['10-year-old', '10-year-old']</t>
  </si>
  <si>
    <t>['MVC, unrestrained, rear passenger', 'Unrestrained, rear passenger']</t>
  </si>
  <si>
    <t>Hi, this is Sean. Hey, it's Hannah from PZD. Can you activate a limited trauma for us? I sure can. A [REDACTED], he's already here. MVC, unrestrained, rear passenger. Unrestrained, rear passenger, [REDACTED]. Okay, we'll do. Okay, and he's here now. Okay, no problem.</t>
  </si>
  <si>
    <t>Hi, this is Sean. Hey, it's Hannah from PZD. Can you activate a limited trauma for us? I sure can. A 10-year-old, he's already here. [REDACTED]. [REDACTED], 10-year-old. Okay, we'll do. Okay, and he's here now. Okay, no problem.</t>
  </si>
  <si>
    <t>Hey, good evening. This is Cleveland 13. I'm bringing you an eight-year-old female pedestrian struck. Probably about 10 to 15 miles per hour. Vehicle tried to stop it with the snow. She slid. She was trying to cross the intersection. She's A&amp;O times three right now. Doesn't sound like she had any loss of consciousness. She has C-collared. She has a hematoma to the anterior forehead. Pupils are equal and reactive. No other injuries. She does have, I'm sorry, abrasions to the lip. Pressure right now is 116 over 76. Heart rate is 106. 100% room air. We do have a line, and we should be there. It looks like science and tech on the monitor. We should be there in about five minutes. All right. We'll see you guys when you get here. Thanks. Bye. Bye.</t>
  </si>
  <si>
    <t>eight year old female pedestrian struck, 10 - 15 miles per hour, A&amp;O x3, c collared, hematoma to anterior forehead, pupils equal and reactive, pressure 116 over 76, heart rate 106, 100% room air</t>
  </si>
  <si>
    <t>The transcript describes an eight-year-old female pedestrian who was struck by a vehicle.</t>
  </si>
  <si>
    <t>['eight-year-old female']</t>
  </si>
  <si>
    <t>['Heart rate is 106']</t>
  </si>
  <si>
    <t>['Pressure right now is 116 over 76']</t>
  </si>
  <si>
    <t>['A&amp;O times three']</t>
  </si>
  <si>
    <t>Hey, good evening. This is Cleveland 13. I'm bringing you an [REDACTED] pedestrian struck. Probably about 10 to 15 miles per hour. Vehicle tried to stop it with the snow. She slid. She was trying to cross the intersection. She's A&amp;O times three right now. Doesn't sound like she had any loss of consciousness. She has C-collared. She has a hematoma to the anterior forehead. Pupils are equal and reactive. No other injuries. She does have, I'm sorry, abrasions to the lip. Pressure right now is 116 over 76. Heart rate is 106. 100% room air. We do have a line, and we should be there. It looks like science and tech on the monitor. We should be there in about five minutes. All right. We'll see you guys when you get here. Thanks. Bye. Bye.</t>
  </si>
  <si>
    <t>Hey, good evening. This is Cleveland 13. I'm bringing you an eight-year-old female pedestrian struck. Probably about 10 to 15 miles per hour. Vehicle tried to stop it with the snow. She slid. She was trying to cross the intersection. She's A&amp;O times three right now. Doesn't sound like she had any loss of consciousness. She has C-collared. She has a hematoma to the anterior forehead. Pupils are equal and reactive. No other injuries. She does have, I'm sorry, abrasions to the lip. Pressure right now is 116 over 76. [REDACTED]. 100% room air. We do have a line, and we should be there. It looks like science and tech on the monitor. We should be there in about five minutes. All right. We'll see you guys when you get here. Thanks. Bye. Bye.</t>
  </si>
  <si>
    <t>Hey, good evening. This is Cleveland 13. I'm bringing you an eight-year-old female pedestrian struck. Probably about 10 to 15 miles per hour. Vehicle tried to stop it with the snow. She slid. She was trying to cross the intersection. She's A&amp;O times three right now. Doesn't sound like she had any loss of consciousness. She has C-collared. She has a hematoma to the anterior forehead. Pupils are equal and reactive. No other injuries. She does have, I'm sorry, abrasions to the lip. [REDACTED]. Heart rate is 106. 100% room air. We do have a line, and we should be there. It looks like science and tech on the monitor. We should be there in about five minutes. All right. We'll see you guys when you get here. Thanks. Bye. Bye.</t>
  </si>
  <si>
    <t>Hey, good evening. This is Cleveland 13. I'm bringing you an eight-year-old female pedestrian struck. Probably about 10 to 15 miles per hour. Vehicle tried to stop it with the snow. She slid. She was trying to cross the intersection. She's [REDACTED] right now. Doesn't sound like she had any loss of consciousness. She has C-collared. She has a hematoma to the anterior forehead. Pupils are equal and reactive. No other injuries. She does have, I'm sorry, abrasions to the lip. Pressure right now is 116 over 76. Heart rate is 106. 100% room air. We do have a line, and we should be there. It looks like science and tech on the monitor. We should be there in about five minutes. All right. We'll see you guys when you get here. Thanks. Bye. Bye.</t>
  </si>
  <si>
    <t>Hi, this is Cleveland Medic 17 with Patient Care Report. Who is this? Cleveland EMS Medic 17. Oh, okay, I can hear you. Go ahead, 17. All right, so we are en route to you all with a 13-year-old male. He was riding like an ATV-type vehicle, went out of control, and he struck a pole, like a utility pole. He's unsure of how fast he was going. He doesn't know what the top speed was, but he said it was going pretty fast. He is complaining of pain in his left elbow and left knee. The left elbow does appear to be visibly swollen, but I would not call it gross deformity. The left knee is unremarkable in observation. He is guarding his left elbow pretty good, probably the most severe pain. But he's fully alert and oriented, did not lose consciousness. He's got a lot of consciousness. Vitals are stable. He's got blood pressure 119 over 85 with a pulse of 94. Respiration is 24. 96% on-room air. He has no medical history, but his glucose is 171. Our ETA is going to be about 10 minutes. So you're unsure how fast he was going? Yeah, he was. He was riding with... He and his friend were riding it. He does not know what the top speed was. He can't even give an estimate of how fast it was going. I mean, you know, he's 13. Okay, so are we talking like top speed or like first gear? No, no idea. I would say so. This looks like a kid's size ATV. Yeah. I would say at most he might have been going 25 miles an hour. I don't see those things going faster than that. Okay, okay. Okay. Yeah. Okay. Okay. Okay. Okay. Okay. No loss of consciousness? That's correct. Okay. No concern for, do you know what his GCS is? I would say his GCS is 15. Okay. And no signs of, like, paralysis or anything related to the C-spine? That's correct. He was, despite his pain in his knee, he was able to stand and take a few steps, and he denied any pain in his head or neck, and he refused a C-collar. Okay. All right. I will take all this information, sir, and I will relay it to PEDS, and let them know you'll be here in, how soon was your ETA again? Ten minutes. Ten minutes. Okay. Thanks. Thank you.</t>
  </si>
  <si>
    <t>13-year-old male riding ATV type vehicle, struck a Paul going pretty fast. Complaining of pain in left elbow and left knee. Left elbow, visibly swollen left knee on remarkable guarding left elbow. Alert and oriented, loss of consciousness. blood pressure 119 over 85 with a pulse of 94. Respiration is 24. 96% on-room air. He has no medical history, but his glucose is 171.</t>
  </si>
  <si>
    <t>ATV crash into utility pole</t>
  </si>
  <si>
    <t>The report describes the patient losing control of an ATV and striking a utility pole.</t>
  </si>
  <si>
    <t>['13-year-old male', "he's 13"]</t>
  </si>
  <si>
    <t>['pulse of 94']</t>
  </si>
  <si>
    <t>['blood pressure 119 over 85']</t>
  </si>
  <si>
    <t>['Respiration is 24']</t>
  </si>
  <si>
    <t>['fully alert and oriented', 'did not lose consciousness', 'No loss of consciousness']</t>
  </si>
  <si>
    <t>Hi, this is Cleveland Medic 17 with Patient Care Report. Who is this? Cleveland EMS Medic 17. Oh, okay, I can hear you. Go ahead, 17. All right, so we are en route to you all with a [REDACTED]. He was riding like an ATV-type vehicle, went out of control, and he struck a pole, like a utility pole. He's unsure of how fast he was going. He doesn't know what the top speed was, but he said it was going pretty fast. He is complaining of pain in his left elbow and left knee. The left elbow does appear to be visibly swollen, but I would not call it gross deformity. The left knee is unremarkable in observation. He is guarding his left elbow pretty good, probably the most severe pain. But he's fully alert and oriented, did not lose consciousness. He's got a lot of consciousness. Vitals are stable. He's got blood pressure 119 over 85 with a pulse of 94. Respiration is 24. 96% on-room air. He has no medical history, but his glucose is 171. Our ETA is going to be about 10 minutes. So you're unsure how fast he was going? Yeah, he was. He was riding with... He and his friend were riding it. He does not know what the top speed was. He can't even give an estimate of how fast it was going. I mean, you know, [REDACTED]. Okay, so are we talking like top speed or like first gear? No, no idea. I would say so. This looks like a kid's size ATV. Yeah. I would say at most he might have been going 25 miles an hour. I don't see those things going faster than that. Okay, okay. Okay. Yeah. Okay. Okay. Okay. Okay. Okay. No loss of consciousness? That's correct. Okay. No concern for, do you know what his GCS is? I would say his GCS is 15. Okay. And no signs of, like, paralysis or anything related to the C-spine? That's correct. He was, despite his pain in his knee, he was able to stand and take a few steps, and he denied any pain in his head or neck, and he refused a C-collar. Okay. All right. I will take all this information, sir, and I will relay it to PEDS, and let them know you'll be here in, how soon was your ETA again? Ten minutes. Ten minutes. Okay. Thanks. Thank you.</t>
  </si>
  <si>
    <t>Hi, this is Cleveland Medic 17 with Patient Care Report. Who is this? Cleveland EMS Medic 17. Oh, okay, I can hear you. Go ahead, 17. All right, so we are en route to you all with a 13-year-old male. He was riding like an ATV-type vehicle, went out of control, and he struck a pole, like a utility pole. He's unsure of how fast he was going. He doesn't know what the top speed was, but he said it was going pretty fast. He is complaining of pain in his left elbow and left knee. The left elbow does appear to be visibly swollen, but I would not call it gross deformity. The left knee is unremarkable in observation. He is guarding his left elbow pretty good, probably the most severe pain. But he's fully alert and oriented, did not lose consciousness. He's got a lot of consciousness. Vitals are stable. He's got blood pressure 119 over 85 with a [REDACTED]. Respiration is 24. 96% on-room air. He has no medical history, but his glucose is 171. Our ETA is going to be about 10 minutes. So you're unsure how fast he was going? Yeah, he was. He was riding with... He and his friend were riding it. He does not know what the top speed was. He can't even give an estimate of how fast it was going. I mean, you know, he's 13. Okay, so are we talking like top speed or like first gear? No, no idea. I would say so. This looks like a kid's size ATV. Yeah. I would say at most he might have been going 25 miles an hour. I don't see those things going faster than that. Okay, okay. Okay. Yeah. Okay. Okay. Okay. Okay. Okay. No loss of consciousness? That's correct. Okay. No concern for, do you know what his GCS is? I would say his GCS is 15. Okay. And no signs of, like, paralysis or anything related to the C-spine? That's correct. He was, despite his pain in his knee, he was able to stand and take a few steps, and he denied any pain in his head or neck, and he refused a C-collar. Okay. All right. I will take all this information, sir, and I will relay it to PEDS, and let them know you'll be here in, how soon was your ETA again? Ten minutes. Ten minutes. Okay. Thanks. Thank you.</t>
  </si>
  <si>
    <t>Hi, this is Cleveland Medic 17 with Patient Care Report. Who is this? Cleveland EMS Medic 17. Oh, okay, I can hear you. Go ahead, 17. All right, so we are en route to you all with a 13-year-old male. He was riding like an ATV-type vehicle, went out of control, and he struck a pole, like a utility pole. He's unsure of how fast he was going. He doesn't know what the top speed was, but he said it was going pretty fast. He is complaining of pain in his left elbow and left knee. The left elbow does appear to be visibly swollen, but I would not call it gross deformity. The left knee is unremarkable in observation. He is guarding his left elbow pretty good, probably the most severe pain. But he's fully alert and oriented, did not lose consciousness. He's got a lot of consciousness. Vitals are stable. He's got [REDACTED] with a pulse of 94. Respiration is 24. 96% on-room air. He has no medical history, but his glucose is 171. Our ETA is going to be about 10 minutes. So you're unsure how fast he was going? Yeah, he was. He was riding with... He and his friend were riding it. He does not know what the top speed was. He can't even give an estimate of how fast it was going. I mean, you know, he's 13. Okay, so are we talking like top speed or like first gear? No, no idea. I would say so. This looks like a kid's size ATV. Yeah. I would say at most he might have been going 25 miles an hour. I don't see those things going faster than that. Okay, okay. Okay. Yeah. Okay. Okay. Okay. Okay. Okay. No loss of consciousness? That's correct. Okay. No concern for, do you know what his GCS is? I would say his GCS is 15. Okay. And no signs of, like, paralysis or anything related to the C-spine? That's correct. He was, despite his pain in his knee, he was able to stand and take a few steps, and he denied any pain in his head or neck, and he refused a C-collar. Okay. All right. I will take all this information, sir, and I will relay it to PEDS, and let them know you'll be here in, how soon was your ETA again? Ten minutes. Ten minutes. Okay. Thanks. Thank you.</t>
  </si>
  <si>
    <t>Hi, this is Cleveland Medic 17 with Patient Care Report. Who is this? Cleveland EMS Medic 17. Oh, okay, I can hear you. Go ahead, 17. All right, so we are en route to you all with a 13-year-old male. He was riding like an ATV-type vehicle, went out of control, and he struck a pole, like a utility pole. He's unsure of how fast he was going. He doesn't know what the top speed was, but he said it was going pretty fast. He is complaining of pain in his left elbow and left knee. The left elbow does appear to be visibly swollen, but I would not call it gross deformity. The left knee is unremarkable in observation. He is guarding his left elbow pretty good, probably the most severe pain. But he's fully alert and oriented, did not lose consciousness. He's got a lot of consciousness. Vitals are stable. He's got blood pressure 119 over 85 with a pulse of 94. [REDACTED]. 96% on-room air. He has no medical history, but his glucose is 171. Our ETA is going to be about 10 minutes. So you're unsure how fast he was going? Yeah, he was. He was riding with... He and his friend were riding it. He does not know what the top speed was. He can't even give an estimate of how fast it was going. I mean, you know, he's 13. Okay, so are we talking like top speed or like first gear? No, no idea. I would say so. This looks like a kid's size ATV. Yeah. I would say at most he might have been going 25 miles an hour. I don't see those things going faster than that. Okay, okay. Okay. Yeah. Okay. Okay. Okay. Okay. Okay. No loss of consciousness? That's correct. Okay. No concern for, do you know what his GCS is? I would say his GCS is 15. Okay. And no signs of, like, paralysis or anything related to the C-spine? That's correct. He was, despite his pain in his knee, he was able to stand and take a few steps, and he denied any pain in his head or neck, and he refused a C-collar. Okay. All right. I will take all this information, sir, and I will relay it to PEDS, and let them know you'll be here in, how soon was your ETA again? Ten minutes. Ten minutes. Okay. Thanks. Thank you.</t>
  </si>
  <si>
    <t>Hi, this is Cleveland Medic 17 with Patient Care Report. Who is this? Cleveland EMS Medic 17. Oh, okay, I can hear you. Go ahead, 17. All right, so we are en route to you all with a 13-year-old male. He was riding like an ATV-type vehicle, went out of control, and he struck a pole, like a utility pole. He's unsure of how fast he was going. He doesn't know what the top speed was, but he said it was going pretty fast. He is complaining of pain in his left elbow and left knee. The left elbow does appear to be visibly swollen, but I would not call it gross deformity. The left knee is unremarkable in observation. He is guarding his left elbow pretty good, probably the most severe pain. But he's [REDACTED], [REDACTED]. He's got a lot of consciousness. Vitals are stable. He's got blood pressure 119 over 85 with a pulse of 94. Respiration is 24. 96% on-room air. He has no medical history, but his glucose is 171. Our ETA is going to be about 10 minutes. So you're unsure how fast he was going? Yeah, he was. He was riding with... He and his friend were riding it. He does not know what the top speed was. He can't even give an estimate of how fast it was going. I mean, you know, he's 13. Okay, so are we talking like top speed or like first gear? No, no idea. I would say so. This looks like a kid's size ATV. Yeah. I would say at most he might have been going 25 miles an hour. I don't see those things going faster than that. Okay, okay. Okay. Yeah. Okay. Okay. Okay. Okay. Okay. [REDACTED]? That's correct. Okay. No concern for, do you know what his GCS is? I would say his GCS is 15. Okay. And no signs of, like, paralysis or anything related to the C-spine? That's correct. He was, despite his pain in his knee, he was able to stand and take a few steps, and he denied any pain in his head or neck, and he refused a C-collar. Okay. All right. I will take all this information, sir, and I will relay it to PEDS, and let them know you'll be here in, how soon was your ETA again? Ten minutes. Ten minutes. Okay. Thanks. Thank you.</t>
  </si>
  <si>
    <t>Hello UH. What's up Rich, this is Cleveland Medics 41. I'm bringing you a 14 year old male with a GSW to the right shoulder. Heart rate is 140, blood pressure is 140 over 96, 98% remare. I'll be to you in about 6 minutes. Alright, awaken alert. Awaken alert. Thank you.</t>
  </si>
  <si>
    <t>14 year old male GSW right shoulder, HR 140 blood pressure 140 over 96, 98% room air, awake and alert</t>
  </si>
  <si>
    <t>GSW to right shoulder</t>
  </si>
  <si>
    <t>The transcript clearly states the patient has a gunshot wound (GSW) to the right shoulder.</t>
  </si>
  <si>
    <t>['Heart rate is 140']</t>
  </si>
  <si>
    <t>['blood pressure is 140 over 96']</t>
  </si>
  <si>
    <t>['GSW to the right shoulder']</t>
  </si>
  <si>
    <t>Hello UH. What's up Rich, this is Cleveland Medics 41. I'm bringing you a [REDACTED] with a GSW to the right shoulder. Heart rate is 140, blood pressure is 140 over 96, 98% remare. I'll be to you in about 6 minutes. Alright, awaken alert. Awaken alert. Thank you.</t>
  </si>
  <si>
    <t>Hello UH. What's up Rich, this is Cleveland Medics 41. I'm bringing you a 14 year old male with a GSW to the right shoulder. [REDACTED], blood pressure is 140 over 96, 98% remare. I'll be to you in about 6 minutes. Alright, awaken alert. Awaken alert. Thank you.</t>
  </si>
  <si>
    <t>Hello UH. What's up Rich, this is Cleveland Medics 41. I'm bringing you a 14 year old male with a GSW to the right shoulder. Heart rate is 140, [REDACTED], 98% remare. I'll be to you in about 6 minutes. Alright, awaken alert. Awaken alert. Thank you.</t>
  </si>
  <si>
    <t>Hello UH. What's up Rich, this is Cleveland Medics 41. I'm bringing you a 14 year old male with a GSW to the right shoulder. Heart rate is 140, blood pressure is 140 over 96, 98% remare. I'll be to you in about 6 minutes. Alright, [REDACTED]. [REDACTED]. Thank you.</t>
  </si>
  <si>
    <t>Hello UH. What's up Rich, this is Cleveland Medics 41. I'm bringing you a 14 year old male with a [REDACTED]. Heart rate is 140, blood pressure is 140 over 96, 98% remare. I'll be to you in about 6 minutes. Alright, awaken alert. Awaken alert. Thank you.</t>
  </si>
  <si>
    <t>This is Leanne. Hey, Leanne. Hey, we're getting this helicopter, a 23-month-old from flights, a hand injury. We do want to make it a limited trauma. Okay, that's what I figured. I was just waiting to see what we knew. I know. We were going to wait for the patient to get here, but let's just make it a limited because we don't know anything. Yeah, that's why I said I looked it up, but, you know, he wasn't even made it into the building, so. Okay, limited trauma, please. All right, just let me know if we need to upgrade. Okay, bye. Bye.</t>
  </si>
  <si>
    <t>23 month olf hand injury</t>
  </si>
  <si>
    <t>The transcript mentions a hand injury but does not specify the cause or mechanism of the injury.</t>
  </si>
  <si>
    <t>['23-month-old']</t>
  </si>
  <si>
    <t>['hand injury']</t>
  </si>
  <si>
    <t>This is Leanne. Hey, Leanne. Hey, we're getting this helicopter, a [REDACTED] from flights, a hand injury. We do want to make it a limited trauma. Okay, that's what I figured. I was just waiting to see what we knew. I know. We were going to wait for the patient to get here, but let's just make it a limited because we don't know anything. Yeah, that's why I said I looked it up, but, you know, he wasn't even made it into the building, so. Okay, limited trauma, please. All right, just let me know if we need to upgrade. Okay, bye. Bye.</t>
  </si>
  <si>
    <t>This is Leanne. Hey, Leanne. Hey, we're getting this helicopter, a 23-month-old from flights, a [REDACTED]. We do want to make it a limited trauma. Okay, that's what I figured. I was just waiting to see what we knew. I know. We were going to wait for the patient to get here, but let's just make it a limited because we don't know anything. Yeah, that's why I said I looked it up, but, you know, he wasn't even made it into the building, so. Okay, limited trauma, please. All right, just let me know if we need to upgrade. Okay, bye. Bye.</t>
  </si>
  <si>
    <t>UH. Hey UH, it's Cleveland Medics 6. We are currently coming to you with a two-year-old female. She was under strained, front passenger and a MVA. Moderate front end damage, sir. Heavy front end damage. She was unconscious on our arrival. She's got a pretty pretty significant contusion to the left side of her head. She is regaining consciousness slowly. She's crying for us vitals currently are 96 heart rate, sinus on the floor 120 over 82 was the last pressure. She's 96 percent. Lung sounds are clear and equal. We've got a 28 respiratory rate. Other than the head contusion, she definitely has some injuries inside her mouth. No deformity to any of the joints. Pupils were equal. We're gonna be there in probably like five, six minutes. Okay, approximately how many? How fast was the car going? Sir, damage wise, how fast do you think the truck, the car was going? 30, 35? 35 miles. She was in the front seat, unrestrained? Correct, yeah. Alright, we'll see you when you get here. Thank you. Thank you.</t>
  </si>
  <si>
    <t>two year old female, unrestrained front passenger, MVA. Heavy front end damage, unconscious on arrival, contusion to left side of head, crying for us, vitals currently are 96 heart rate, sinus on the floor 120 over 82 was the last pressure. She's 96 percent. Lung sounds are clear and equal. We've got a 28 respiratory rate.</t>
  </si>
  <si>
    <t>MVA with heavy front end damage</t>
  </si>
  <si>
    <t>The transcript describes a motor vehicle accident (MVA) with heavy front end damage involving a two-year-old unrestrained in the front passenger seat.</t>
  </si>
  <si>
    <t>['96 heart rate']</t>
  </si>
  <si>
    <t>['120 over 82 was the last pressure']</t>
  </si>
  <si>
    <t>['28 respiratory rate']</t>
  </si>
  <si>
    <t>UH. Hey UH, it's Cleveland Medics 6. We are currently coming to you with a [REDACTED]. She was under strained, front passenger and a MVA. Moderate front end damage, sir. Heavy front end damage. She was unconscious on our arrival. She's got a pretty pretty significant contusion to the left side of her head. She is regaining consciousness slowly. She's crying for us vitals currently are 96 heart rate, sinus on the floor 120 over 82 was the last pressure. She's 96 percent. Lung sounds are clear and equal. We've got a 28 respiratory rate. Other than the head contusion, she definitely has some injuries inside her mouth. No deformity to any of the joints. Pupils were equal. We're gonna be there in probably like five, six minutes. Okay, approximately how many? How fast was the car going? Sir, damage wise, how fast do you think the truck, the car was going? 30, 35? 35 miles. She was in the front seat, unrestrained? Correct, yeah. Alright, we'll see you when you get here. Thank you. Thank you.</t>
  </si>
  <si>
    <t>UH. Hey UH, it's Cleveland Medics 6. We are currently coming to you with a two-year-old female. She was under strained, front passenger and a MVA. Moderate front end damage, sir. Heavy front end damage. She was unconscious on our arrival. She's got a pretty pretty significant contusion to the left side of her head. She is regaining consciousness slowly. She's crying for us vitals currently are [REDACTED], sinus on the floor 120 over 82 was the last pressure. She's 96 percent. Lung sounds are clear and equal. We've got a 28 respiratory rate. Other than the head contusion, she definitely has some injuries inside her mouth. No deformity to any of the joints. Pupils were equal. We're gonna be there in probably like five, six minutes. Okay, approximately how many? How fast was the car going? Sir, damage wise, how fast do you think the truck, the car was going? 30, 35? 35 miles. She was in the front seat, unrestrained? Correct, yeah. Alright, we'll see you when you get here. Thank you. Thank you.</t>
  </si>
  <si>
    <t>UH. Hey UH, it's Cleveland Medics 6. We are currently coming to you with a two-year-old female. She was under strained, front passenger and a MVA. Moderate front end damage, sir. Heavy front end damage. She was unconscious on our arrival. She's got a pretty pretty significant contusion to the left side of her head. She is regaining consciousness slowly. She's crying for us vitals currently are 96 heart rate, sinus on the floor [REDACTED]. She's 96 percent. Lung sounds are clear and equal. We've got a 28 respiratory rate. Other than the head contusion, she definitely has some injuries inside her mouth. No deformity to any of the joints. Pupils were equal. We're gonna be there in probably like five, six minutes. Okay, approximately how many? How fast was the car going? Sir, damage wise, how fast do you think the truck, the car was going? 30, 35? 35 miles. She was in the front seat, unrestrained? Correct, yeah. Alright, we'll see you when you get here. Thank you. Thank you.</t>
  </si>
  <si>
    <t>UH. Hey UH, it's Cleveland Medics 6. We are currently coming to you with a two-year-old female. She was under strained, front passenger and a MVA. Moderate front end damage, sir. Heavy front end damage. She was unconscious on our arrival. She's got a pretty pretty significant contusion to the left side of her head. She is regaining consciousness slowly. She's crying for us vitals currently are 96 heart rate, sinus on the floor 120 over 82 was the last pressure. She's 96 percent. Lung sounds are clear and equal. We've got a [REDACTED]. Other than the head contusion, she definitely has some injuries inside her mouth. No deformity to any of the joints. Pupils were equal. We're gonna be there in probably like five, six minutes. Okay, approximately how many? How fast was the car going? Sir, damage wise, how fast do you think the truck, the car was going? 30, 35? 35 miles. She was in the front seat, unrestrained? Correct, yeah. Alright, we'll see you when you get here. Thank you. Thank you.</t>
  </si>
  <si>
    <t>UH. Hey, this is you for medic one. We have a 14 year old male who was hit by a car at an unknown speed. He doesn't really have any complaints besides a little bit of like right hip pain. He's got a couple abrasions. Nothing obvious. Vitals are hard of 110, 96% of room there. Last pressure was 140 over 80. Otherwise, he's a no four. We'll be there in like 10 minutes. He didn't lose consciousness or anything? I'm sorry? He didn't pass out or anything? No, no. Okay. I did not hit his head. Just his hips. And you said unknown speed? Yes. All right. Thanks. How far out? Yep. Probably about eight to 10. Okay. Thanks. Bye.</t>
  </si>
  <si>
    <t>14 year old male hit by car at unknown speed, bit of right hip pain, couple abrasions, vitals are hr of 110, 96%, pressure 140 over 80. did not hit his head</t>
  </si>
  <si>
    <t>The transcript states the patient was "hit by a car at an unknown speed."</t>
  </si>
  <si>
    <t>['hard of 110']</t>
  </si>
  <si>
    <t>UH. Hey, this is you for medic one. We have a [REDACTED] who was hit by a car at an unknown speed. He doesn't really have any complaints besides a little bit of like right hip pain. He's got a couple abrasions. Nothing obvious. Vitals are hard of 110, 96% of room there. Last pressure was 140 over 80. Otherwise, he's a no four. We'll be there in like 10 minutes. He didn't lose consciousness or anything? I'm sorry? He didn't pass out or anything? No, no. Okay. I did not hit his head. Just his hips. And you said unknown speed? Yes. All right. Thanks. How far out? Yep. Probably about eight to 10. Okay. Thanks. Bye.</t>
  </si>
  <si>
    <t>UH. Hey, this is you for medic one. We have a 14 year old male who was hit by a car at an unknown speed. He doesn't really have any complaints besides a little bit of like right hip pain. He's got a couple abrasions. Nothing obvious. Vitals are [REDACTED], 96% of room there. Last pressure was 140 over 80. Otherwise, he's a no four. We'll be there in like 10 minutes. He didn't lose consciousness or anything? I'm sorry? He didn't pass out or anything? No, no. Okay. I did not hit his head. Just his hips. And you said unknown speed? Yes. All right. Thanks. How far out? Yep. Probably about eight to 10. Okay. Thanks. Bye.</t>
  </si>
  <si>
    <t>UH Danny. Hey UH, this is Mentor Squad 1132 for report. Hey, what's going on? Bringing UH, three year old male coming from home. Patient fell backwards and that kind of was limp. He was having breathing, kind of breathing patterns of two grunts. We got him on blow by non rebreather right now. Got off to 99% on the blow by. Now he's having a hard time staying awake. His grandmother is riding with us, trying to keep him awake. Let's see, we got a C collar on him just in case. They said he only fell back once there and hit his head. He does have history of epilepsy. 114 over 63 on blood pressure. Heart rate was 110 and blood sugar is 153. He should be there in about 10 minutes. Does Graham have a heart attack? Does grandma think that he had a seizure and then fell back or? No, she says he just has a history. She said that he gets stiff after seizures, but he doesn't seem stiff at this time, so. And right now he's still hard to wake up. How's his breathing now? Because you said he was grunting. Pretty sparse. Getting a little sleep. Yeah, he was having like, it was like two weird breaths. They were both cleared bilaterally. What's his, um, trying to see. All right. Does he respond to painful or verbal or anything or he's just completely kind of out of it? He's completely kind of out of it. I'm just rubbing him. He just kind of has a glaze right now. Oh, okay. Okay. Okay, glaze. All right. I don't know. They might make this a trauma. Just because of he's not acting right. Right. So, and it was just a fall from standing backwards? Yeah, from one step fell back at his head. Oh, he was on, he was one step up? Yes. Okay. One step up. All right. Alrighty. If his condition or anything changes, give us a call back. Okay, I will. How far are you out? About ten minutes. Okay, awesome. We'll see you soon. Bye. Thanks.</t>
  </si>
  <si>
    <t>three year old male fell backwards and kind of was limp. breathing patterns of two grunts, on blow by non rebreather, 99% on the blow by, hard time staying awake, hit his head. history of epilepsy. 114 over 63 on blood pressure. Heart rate was 110 and blood sugar is 153. 10 minutes</t>
  </si>
  <si>
    <t>Fall from one step</t>
  </si>
  <si>
    <t>The report mentions the patient fell backwards from one step and hit his head.</t>
  </si>
  <si>
    <t>['three year old male']</t>
  </si>
  <si>
    <t>['Heart rate was 110']</t>
  </si>
  <si>
    <t>['114 over 63 on blood pressure']</t>
  </si>
  <si>
    <t>UH Danny. Hey UH, this is Mentor Squad 1132 for report. Hey, what's going on? Bringing UH, [REDACTED] coming from home. Patient fell backwards and that kind of was limp. He was having breathing, kind of breathing patterns of two grunts. We got him on blow by non rebreather right now. Got off to 99% on the blow by. Now he's having a hard time staying awake. His grandmother is riding with us, trying to keep him awake. Let's see, we got a C collar on him just in case. They said he only fell back once there and hit his head. He does have history of epilepsy. 114 over 63 on blood pressure. Heart rate was 110 and blood sugar is 153. He should be there in about 10 minutes. Does Graham have a heart attack? Does grandma think that he had a seizure and then fell back or? No, she says he just has a history. She said that he gets stiff after seizures, but he doesn't seem stiff at this time, so. And right now he's still hard to wake up. How's his breathing now? Because you said he was grunting. Pretty sparse. Getting a little sleep. Yeah, he was having like, it was like two weird breaths. They were both cleared bilaterally. What's his, um, trying to see. All right. Does he respond to painful or verbal or anything or he's just completely kind of out of it? He's completely kind of out of it. I'm just rubbing him. He just kind of has a glaze right now. Oh, okay. Okay. Okay, glaze. All right. I don't know. They might make this a trauma. Just because of he's not acting right. Right. So, and it was just a fall from standing backwards? Yeah, from one step fell back at his head. Oh, he was on, he was one step up? Yes. Okay. One step up. All right. Alrighty. If his condition or anything changes, give us a call back. Okay, I will. How far are you out? About ten minutes. Okay, awesome. We'll see you soon. Bye. Thanks.</t>
  </si>
  <si>
    <t>UH Danny. Hey UH, this is Mentor Squad 1132 for report. Hey, what's going on? Bringing UH, three year old male coming from home. Patient fell backwards and that kind of was limp. He was having breathing, kind of breathing patterns of two grunts. We got him on blow by non rebreather right now. Got off to 99% on the blow by. Now he's having a hard time staying awake. His grandmother is riding with us, trying to keep him awake. Let's see, we got a C collar on him just in case. They said he only fell back once there and hit his head. He does have history of epilepsy. 114 over 63 on blood pressure. [REDACTED] and blood sugar is 153. He should be there in about 10 minutes. Does Graham have a heart attack? Does grandma think that he had a seizure and then fell back or? No, she says he just has a history. She said that he gets stiff after seizures, but he doesn't seem stiff at this time, so. And right now he's still hard to wake up. How's his breathing now? Because you said he was grunting. Pretty sparse. Getting a little sleep. Yeah, he was having like, it was like two weird breaths. They were both cleared bilaterally. What's his, um, trying to see. All right. Does he respond to painful or verbal or anything or he's just completely kind of out of it? He's completely kind of out of it. I'm just rubbing him. He just kind of has a glaze right now. Oh, okay. Okay. Okay, glaze. All right. I don't know. They might make this a trauma. Just because of he's not acting right. Right. So, and it was just a fall from standing backwards? Yeah, from one step fell back at his head. Oh, he was on, he was one step up? Yes. Okay. One step up. All right. Alrighty. If his condition or anything changes, give us a call back. Okay, I will. How far are you out? About ten minutes. Okay, awesome. We'll see you soon. Bye. Thanks.</t>
  </si>
  <si>
    <t>UH Danny. Hey UH, this is Mentor Squad 1132 for report. Hey, what's going on? Bringing UH, three year old male coming from home. Patient fell backwards and that kind of was limp. He was having breathing, kind of breathing patterns of two grunts. We got him on blow by non rebreather right now. Got off to 99% on the blow by. Now he's having a hard time staying awake. His grandmother is riding with us, trying to keep him awake. Let's see, we got a C collar on him just in case. They said he only fell back once there and hit his head. He does have history of epilepsy. [REDACTED]. Heart rate was 110 and blood sugar is 153. He should be there in about 10 minutes. Does Graham have a heart attack? Does grandma think that he had a seizure and then fell back or? No, she says he just has a history. She said that he gets stiff after seizures, but he doesn't seem stiff at this time, so. And right now he's still hard to wake up. How's his breathing now? Because you said he was grunting. Pretty sparse. Getting a little sleep. Yeah, he was having like, it was like two weird breaths. They were both cleared bilaterally. What's his, um, trying to see. All right. Does he respond to painful or verbal or anything or he's just completely kind of out of it? He's completely kind of out of it. I'm just rubbing him. He just kind of has a glaze right now. Oh, okay. Okay. Okay, glaze. All right. I don't know. They might make this a trauma. Just because of he's not acting right. Right. So, and it was just a fall from standing backwards? Yeah, from one step fell back at his head. Oh, he was on, he was one step up? Yes. Okay. One step up. All right. Alrighty. If his condition or anything changes, give us a call back. Okay, I will. How far are you out? About ten minutes. Okay, awesome. We'll see you soon. Bye. Thanks.</t>
  </si>
  <si>
    <t>och</t>
  </si>
  <si>
    <t>Children's ER, this is Dr. Weiss. I have a trauma report coming to you guys. I have a 16-year-old female. She was a passenger in an automobile accident. It was a head-on. We did require extrication. Here she's got an obvious broken left arm, some facial laceration. She was knocked out. She's conscious alert oriented at this time. Current vital signs is a heart rate of 84, pressure of 99 on 64, respirations of 18, and setting at 97%. GCS is 15? Yeah, GCS is 15 right now. Has she gotten anything for pain at all? I'm actually just opening up my narcotics right now. I was going to give her some fentanyl and go from there. Okay, sounds good. We are probably 10 to 15. Alright, sounds good. We'll see you when you get here.</t>
  </si>
  <si>
    <t>16-year-old female. passenger in an automobile accident. head-on. require extrication. broken left arm, some facial laceration. She was knocked out. She's conscious alert oriented at this time. Current vital signs is a heart rate of 84, pressure of 99 on 64, respirations of 18, and setting at 97%. GCS is 15 right now.</t>
  </si>
  <si>
    <t>L2, 9y/o, Vitals(BP 99/64, HR 84, RR 18), GCS:15, MOI(MVC), ETA:10 min</t>
  </si>
  <si>
    <t>Head-on automobile accident</t>
  </si>
  <si>
    <t>The report clearly states the patient was a passenger in a head-on automobile accident.</t>
  </si>
  <si>
    <t>['16-year-old female']</t>
  </si>
  <si>
    <t>['pressure of 99 on 64']</t>
  </si>
  <si>
    <t>['respirations of 18']</t>
  </si>
  <si>
    <t>["She's conscious alert oriented at this time"]</t>
  </si>
  <si>
    <t>Children's ER, this is Dr. Weiss. I have a trauma report coming to you guys. I have a [REDACTED]. She was a passenger in an automobile accident. It was a head-on. We did require extrication. Here she's got an obvious broken left arm, some facial laceration. She was knocked out. She's conscious alert oriented at this time. Current vital signs is a heart rate of 84, pressure of 99 on 64, respirations of 18, and setting at 97%. GCS is 15? Yeah, GCS is 15 right now. Has she gotten anything for pain at all? I'm actually just opening up my narcotics right now. I was going to give her some fentanyl and go from there. Okay, sounds good. We are probably 10 to 15. Alright, sounds good. We'll see you when you get here.</t>
  </si>
  <si>
    <t>Children's ER, this is Dr. Weiss. I have a trauma report coming to you guys. I have a 16-year-old female. She was a passenger in an automobile accident. It was a head-on. We did require extrication. Here she's got an obvious broken left arm, some facial laceration. She was knocked out. She's conscious alert oriented at this time. Current vital signs is a [REDACTED], pressure of 99 on 64, respirations of 18, and setting at 97%. GCS is 15? Yeah, GCS is 15 right now. Has she gotten anything for pain at all? I'm actually just opening up my narcotics right now. I was going to give her some fentanyl and go from there. Okay, sounds good. We are probably 10 to 15. Alright, sounds good. We'll see you when you get here.</t>
  </si>
  <si>
    <t>Children's ER, this is Dr. Weiss. I have a trauma report coming to you guys. I have a 16-year-old female. She was a passenger in an automobile accident. It was a head-on. We did require extrication. Here she's got an obvious broken left arm, some facial laceration. She was knocked out. She's conscious alert oriented at this time. Current vital signs is a heart rate of 84, [REDACTED], respirations of 18, and setting at 97%. GCS is 15? Yeah, GCS is 15 right now. Has she gotten anything for pain at all? I'm actually just opening up my narcotics right now. I was going to give her some fentanyl and go from there. Okay, sounds good. We are probably 10 to 15. Alright, sounds good. We'll see you when you get here.</t>
  </si>
  <si>
    <t>Children's ER, this is Dr. Weiss. I have a trauma report coming to you guys. I have a 16-year-old female. She was a passenger in an automobile accident. It was a head-on. We did require extrication. Here she's got an obvious broken left arm, some facial laceration. She was knocked out. She's conscious alert oriented at this time. Current vital signs is a heart rate of 84, pressure of 99 on 64, [REDACTED], and setting at 97%. GCS is 15? Yeah, GCS is 15 right now. Has she gotten anything for pain at all? I'm actually just opening up my narcotics right now. I was going to give her some fentanyl and go from there. Okay, sounds good. We are probably 10 to 15. Alright, sounds good. We'll see you when you get here.</t>
  </si>
  <si>
    <t>Children's ER, this is Dr. Weiss. I have a trauma report coming to you guys. I have a 16-year-old female. She was a passenger in an automobile accident. It was a head-on. We did require extrication. Here she's got an obvious broken left arm, some facial laceration. She was knocked out. [REDACTED]. Current vital signs is a heart rate of 84, pressure of 99 on 64, respirations of 18, and setting at 97%. GCS is 15? Yeah, GCS is 15 right now. Has she gotten anything for pain at all? I'm actually just opening up my narcotics right now. I was going to give her some fentanyl and go from there. Okay, sounds good. We are probably 10 to 15. Alright, sounds good. We'll see you when you get here.</t>
  </si>
  <si>
    <t>Hi, this is Casey with Mercy Anna. I just want to call in a report. Sure, what's up? So I'm coming in with a 12-year-old female. She was found laying on the side of the road. She was reported as a missing person from her school. She left there on foot. She walked probably approximately six miles. She was last seen at like 5 p.m. She left with no shoes on. She was in a sweatshirt and light pants. And she was unsure. When it got called in, it was called in as a pedestrian struck by a car. She was unable to let us know, tell us if she was struck by a car. She is placed in a seat collar. Her heart rate is currently 108. Her blood pressure is 139 over 82. Her end title is 35. Her respirations are 18, and her FBO2 is 99% on room air. And we're approximately 20 minutes away from you guys. What's her GCS? 15. Yep. And she's currently just complaining of her feet hurt because, like I said, she walked approximately six miles in the cold with no shoes on. Any obvious injuries? Nope, not that we can see. Well, she does have a small laceration on her forehead and a small laceration on her finger, but that's about it. Okay. How old is she? She's 12, you said, right? Yep. Her birthday is 7-12-2010. Okay. We'll be on the off. I'll look out for her. Thank you. Okay. Thank you. Bye. Bye.</t>
  </si>
  <si>
    <t>12-year-old female.  called in as a pedestrian struck by a car. She was unable to let us know, tell us if she was struck by a car. Her heart rate is currently 108. Her blood pressure is 139 over 82. Her end title is 35. Her respirations are 18, and her FBO2 is 99% on room air. 15. small laceration on her forehead and a small laceration on her finger,</t>
  </si>
  <si>
    <t>L2, 12y/o, Vitals(BP 139/82, HR 108, RR 18), GCS:15, MOI(Ped Vs Car), missing from school, walked 6 miles, found on side of road shoeless, foot pain and forehead lac, ETA:20 min</t>
  </si>
  <si>
    <t>The report mentions a possible pedestrian struck by a car, but the patient cannot confirm this, and there are no obvious injuries consistent with being struck.</t>
  </si>
  <si>
    <t>['12-year-old female', "She's 12", 'Her birthday is 7-12-2010']</t>
  </si>
  <si>
    <t>['heart rate is currently 108']</t>
  </si>
  <si>
    <t>['blood pressure is 139 over 82']</t>
  </si>
  <si>
    <t>["she's currently just complaining of her feet hurt"]</t>
  </si>
  <si>
    <t>Hi, this is Casey with Mercy Anna. I just want to call in a report. Sure, what's up? So I'm coming in with a [REDACTED]. She was found laying on the side of the road. She was reported as a missing person from her school. She left there on foot. She walked probably approximately six miles. She was last seen at like 5 p.m. She left with no shoes on. She was in a sweatshirt and light pants. And she was unsure. When it got called in, it was called in as a pedestrian struck by a car. She was unable to let us know, tell us if she was struck by a car. She is placed in a seat collar. Her heart rate is currently 108. Her blood pressure is 139 over 82. Her end title is 35. Her respirations are 18, and her FBO2 is 99% on room air. And we're approximately 20 minutes away from you guys. What's her GCS? 15. Yep. And she's currently just complaining of her feet hurt because, like I said, she walked approximately six miles in the cold with no shoes on. Any obvious injuries? Nope, not that we can see. Well, she does have a small laceration on her forehead and a small laceration on her finger, but that's about it. Okay. How old is she? [REDACTED], you said, right? Yep. [REDACTED]. Okay. We'll be on the off. I'll look out for her. Thank you. Okay. Thank you. Bye. Bye.</t>
  </si>
  <si>
    <t>Hi, this is Casey with Mercy Anna. I just want to call in a report. Sure, what's up? So I'm coming in with a 12-year-old female. She was found laying on the side of the road. She was reported as a missing person from her school. She left there on foot. She walked probably approximately six miles. She was last seen at like 5 p.m. She left with no shoes on. She was in a sweatshirt and light pants. And she was unsure. When it got called in, it was called in as a pedestrian struck by a car. She was unable to let us know, tell us if she was struck by a car. She is placed in a seat collar. Her [REDACTED]. Her blood pressure is 139 over 82. Her end title is 35. Her respirations are 18, and her FBO2 is 99% on room air. And we're approximately 20 minutes away from you guys. What's her GCS? 15. Yep. And she's currently just complaining of her feet hurt because, like I said, she walked approximately six miles in the cold with no shoes on. Any obvious injuries? Nope, not that we can see. Well, she does have a small laceration on her forehead and a small laceration on her finger, but that's about it. Okay. How old is she? She's 12, you said, right? Yep. Her birthday is 7-12-2010. Okay. We'll be on the off. I'll look out for her. Thank you. Okay. Thank you. Bye. Bye.</t>
  </si>
  <si>
    <t>Hi, this is Casey with Mercy Anna. I just want to call in a report. Sure, what's up? So I'm coming in with a 12-year-old female. She was found laying on the side of the road. She was reported as a missing person from her school. She left there on foot. She walked probably approximately six miles. She was last seen at like 5 p.m. She left with no shoes on. She was in a sweatshirt and light pants. And she was unsure. When it got called in, it was called in as a pedestrian struck by a car. She was unable to let us know, tell us if she was struck by a car. She is placed in a seat collar. Her heart rate is currently 108. Her [REDACTED]. Her end title is 35. Her respirations are 18, and her FBO2 is 99% on room air. And we're approximately 20 minutes away from you guys. What's her GCS? 15. Yep. And she's currently just complaining of her feet hurt because, like I said, she walked approximately six miles in the cold with no shoes on. Any obvious injuries? Nope, not that we can see. Well, she does have a small laceration on her forehead and a small laceration on her finger, but that's about it. Okay. How old is she? She's 12, you said, right? Yep. Her birthday is 7-12-2010. Okay. We'll be on the off. I'll look out for her. Thank you. Okay. Thank you. Bye. Bye.</t>
  </si>
  <si>
    <t>Hi, this is Casey with Mercy Anna. I just want to call in a report. Sure, what's up? So I'm coming in with a 12-year-old female. She was found laying on the side of the road. She was reported as a missing person from her school. She left there on foot. She walked probably approximately six miles. She was last seen at like 5 p.m. She left with no shoes on. She was in a sweatshirt and light pants. And she was unsure. When it got called in, it was called in as a pedestrian struck by a car. She was unable to let us know, tell us if she was struck by a car. She is placed in a seat collar. Her heart rate is currently 108. Her blood pressure is 139 over 82. Her end title is 35. Her respirations are 18, and her FBO2 is 99% on room air. And we're approximately 20 minutes away from you guys. What's her GCS? 15. Yep. And [REDACTED] because, like I said, she walked approximately six miles in the cold with no shoes on. Any obvious injuries? Nope, not that we can see. Well, she does have a small laceration on her forehead and a small laceration on her finger, but that's about it. Okay. How old is she? She's 12, you said, right? Yep. Her birthday is 7-12-2010. Okay. We'll be on the off. I'll look out for her. Thank you. Okay. Thank you. Bye. Bye.</t>
  </si>
  <si>
    <t>Dr. Mountain, can I help you? Hey, Doctor, this is a paramedic with AMR. I just want to give a call. I have a 12-year-old male. He was an unfelted driver of a vehicle, said he was going 80 miles per hour, head on into a tree. And that was about 5 o'clock tonight. I guess the police picked him up from the scene, drove him to his brother's house. Now the patient's complaining of, like, eye pain, a headache, and right arm pain. No obvious deformity or anything anywhere. Fails are okay. Yeah, I just figured I'd give you a call ahead of time. All right, all of his vitals are okay, you said? Yeah, 737E1 right now, I guess a little high, 76 heart rate. All right, is he in a C collar? He is. Okay, and how far out are you? About four or five minutes. Okay, we'll see you in a little bit, thanks. All right, thank you. All right, bye.</t>
  </si>
  <si>
    <t>12-year-old male. unfelted driver of a vehicle,  going 80 miles per hour, head on into a tree. eye pain, a headache, and right arm pain. 737E1  76 heart rate.</t>
  </si>
  <si>
    <t>L2, 12y/o, Vitals(BP [??]/[??], HR [??], RR [??]), GCS:15, MOI(MVC), unrestrained driver vs tree at 50mph, ETA:2 min</t>
  </si>
  <si>
    <t>Head-on collision with a tree</t>
  </si>
  <si>
    <t>The transcript describes a 12-year-old male who was an unbelted driver and crashed head-on into a tree.</t>
  </si>
  <si>
    <t>['76 heart rate']</t>
  </si>
  <si>
    <t>['unfelted driver of a vehicle', 'going 80 miles per hour, head on into a tree']</t>
  </si>
  <si>
    <t>Dr. Mountain, can I help you? Hey, Doctor, this is a paramedic with AMR. I just want to give a call. I have a [REDACTED]. He was an unfelted driver of a vehicle, said he was going 80 miles per hour, head on into a tree. And that was about 5 o'clock tonight. I guess the police picked him up from the scene, drove him to his brother's house. Now the patient's complaining of, like, eye pain, a headache, and right arm pain. No obvious deformity or anything anywhere. Fails are okay. Yeah, I just figured I'd give you a call ahead of time. All right, all of his vitals are okay, you said? Yeah, 737E1 right now, I guess a little high, 76 heart rate. All right, is he in a C collar? He is. Okay, and how far out are you? About four or five minutes. Okay, we'll see you in a little bit, thanks. All right, thank you. All right, bye.</t>
  </si>
  <si>
    <t>Dr. Mountain, can I help you? Hey, Doctor, this is a paramedic with AMR. I just want to give a call. I have a 12-year-old male. He was an unfelted driver of a vehicle, said he was going 80 miles per hour, head on into a tree. And that was about 5 o'clock tonight. I guess the police picked him up from the scene, drove him to his brother's house. Now the patient's complaining of, like, eye pain, a headache, and right arm pain. No obvious deformity or anything anywhere. Fails are okay. Yeah, I just figured I'd give you a call ahead of time. All right, all of his vitals are okay, you said? Yeah, 737E1 right now, I guess a little high, [REDACTED]. All right, is he in a C collar? He is. Okay, and how far out are you? About four or five minutes. Okay, we'll see you in a little bit, thanks. All right, thank you. All right, bye.</t>
  </si>
  <si>
    <t>Dr. Mountain, can I help you? Hey, Doctor, this is a paramedic with AMR. I just want to give a call. I have a 12-year-old male. He was an [REDACTED], said he was [REDACTED]. And that was about 5 o'clock tonight. I guess the police picked him up from the scene, drove him to his brother's house. Now the patient's complaining of, like, eye pain, a headache, and right arm pain. No obvious deformity or anything anywhere. Fails are okay. Yeah, I just figured I'd give you a call ahead of time. All right, all of his vitals are okay, you said? Yeah, 737E1 right now, I guess a little high, 76 heart rate. All right, is he in a C collar? He is. Okay, and how far out are you? About four or five minutes. Okay, we'll see you in a little bit, thanks. All right, thank you. All right, bye.</t>
  </si>
  <si>
    <t>ER, Dr. Rahman. Hi, Doc. It's Brent, Critical Care with Rapid Jamulands in Lockport. How are you? Hey, what's up? I have a 17-year-old female, unbelted passenger of a two-car motor vehicle accident, T-bone. She got the airbag. Again, was not belted. Positive loss of consciousness. Does have a hematoma to the head and also a hematoma to her foot. Good PMS. Conscious, alert, and oriented right now. Just wondering with the age there, if you're recommending more children's or more ECMC? I mean, you can pick either. Okay. I didn't know. Last time I came in, it was kind of a war, so I just didn't want to get into that again. No, no. You can come here or you can go to ECMC. It's up to you. Whatever's closer. Okay. I mean, we're coming from Oxford, so they're both the same, so... Okay. Yeah, no, other than the obvious head injury there from not being belted and the positive loss of consciousness, I think she definitely warrants a trauma eval. Yeah. What are her vitals? Uh, TECI 120s, blood pressure 132 over 82, SpO2s 97, 98, room air, GCS 15. Okay. Hang on a sec. Okay, well... Okay. All right. So you're coming here, right? Yeah, we'll come up to you. Okay. ETA? Uh, from Lockport, probably 25 to 30. 25 to 30. Okay. All right. Thanks. All right. All right. Thank you.</t>
  </si>
  <si>
    <t>17-year-old female, unbelted passeY7nger of a two-car motor vehicle accident, T-bone. She got the airbag. Positive loss of consciousness. Does have a hematoma to the head and also a hematoma to her foot. TECI 120s, blood pressure 132 over 82, SpO2s 97, 98, room air, GCS 15.</t>
  </si>
  <si>
    <t>L2, 17y/o, Vitals(BP 132/82, HR 120, RR 22), GCS:15, MOI(MVC), 17YO F unbelted LOC hematoma head and foot, ETA:25 min</t>
  </si>
  <si>
    <t>Two-car motor vehicle accident, T-bone</t>
  </si>
  <si>
    <t>The transcript mentions a 17-year-old female involved as an unbelted passenger in a two-car motor vehicle accident, specifically a T-bone collision.</t>
  </si>
  <si>
    <t>['17-year-old female']</t>
  </si>
  <si>
    <t>['TECI 120s']</t>
  </si>
  <si>
    <t>['blood pressure 132 over 82']</t>
  </si>
  <si>
    <t>['Conscious, alert, and oriented right now']</t>
  </si>
  <si>
    <t>ER, Dr. Rahman. Hi, Doc. It's Brent, Critical Care with Rapid Jamulands in Lockport. How are you? Hey, what's up? I have a [REDACTED], unbelted passenger of a two-car motor vehicle accident, T-bone. She got the airbag. Again, was not belted. Positive loss of consciousness. Does have a hematoma to the head and also a hematoma to her foot. Good PMS. Conscious, alert, and oriented right now. Just wondering with the age there, if you're recommending more children's or more ECMC? I mean, you can pick either. Okay. I didn't know. Last time I came in, it was kind of a war, so I just didn't want to get into that again. No, no. You can come here or you can go to ECMC. It's up to you. Whatever's closer. Okay. I mean, we're coming from Oxford, so they're both the same, so... Okay. Yeah, no, other than the obvious head injury there from not being belted and the positive loss of consciousness, I think she definitely warrants a trauma eval. Yeah. What are her vitals? Uh, TECI 120s, blood pressure 132 over 82, SpO2s 97, 98, room air, GCS 15. Okay. Hang on a sec. Okay, well... Okay. All right. So you're coming here, right? Yeah, we'll come up to you. Okay. ETA? Uh, from Lockport, probably 25 to 30. 25 to 30. Okay. All right. Thanks. All right. All right. Thank you.</t>
  </si>
  <si>
    <t>ER, Dr. Rahman. Hi, Doc. It's Brent, Critical Care with Rapid Jamulands in Lockport. How are you? Hey, what's up? I have a 17-year-old female, unbelted passenger of a two-car motor vehicle accident, T-bone. She got the airbag. Again, was not belted. Positive loss of consciousness. Does have a hematoma to the head and also a hematoma to her foot. Good PMS. Conscious, alert, and oriented right now. Just wondering with the age there, if you're recommending more children's or more ECMC? I mean, you can pick either. Okay. I didn't know. Last time I came in, it was kind of a war, so I just didn't want to get into that again. No, no. You can come here or you can go to ECMC. It's up to you. Whatever's closer. Okay. I mean, we're coming from Oxford, so they're both the same, so... Okay. Yeah, no, other than the obvious head injury there from not being belted and the positive loss of consciousness, I think she definitely warrants a trauma eval. Yeah. What are her vitals? Uh, [REDACTED], blood pressure 132 over 82, SpO2s 97, 98, room air, GCS 15. Okay. Hang on a sec. Okay, well... Okay. All right. So you're coming here, right? Yeah, we'll come up to you. Okay. ETA? Uh, from Lockport, probably 25 to 30. 25 to 30. Okay. All right. Thanks. All right. All right. Thank you.</t>
  </si>
  <si>
    <t>ER, Dr. Rahman. Hi, Doc. It's Brent, Critical Care with Rapid Jamulands in Lockport. How are you? Hey, what's up? I have a 17-year-old female, unbelted passenger of a two-car motor vehicle accident, T-bone. She got the airbag. Again, was not belted. Positive loss of consciousness. Does have a hematoma to the head and also a hematoma to her foot. Good PMS. Conscious, alert, and oriented right now. Just wondering with the age there, if you're recommending more children's or more ECMC? I mean, you can pick either. Okay. I didn't know. Last time I came in, it was kind of a war, so I just didn't want to get into that again. No, no. You can come here or you can go to ECMC. It's up to you. Whatever's closer. Okay. I mean, we're coming from Oxford, so they're both the same, so... Okay. Yeah, no, other than the obvious head injury there from not being belted and the positive loss of consciousness, I think she definitely warrants a trauma eval. Yeah. What are her vitals? Uh, TECI 120s, [REDACTED], SpO2s 97, 98, room air, GCS 15. Okay. Hang on a sec. Okay, well... Okay. All right. So you're coming here, right? Yeah, we'll come up to you. Okay. ETA? Uh, from Lockport, probably 25 to 30. 25 to 30. Okay. All right. Thanks. All right. All right. Thank you.</t>
  </si>
  <si>
    <t>ER, Dr. Rahman. Hi, Doc. It's Brent, Critical Care with Rapid Jamulands in Lockport. How are you? Hey, what's up? I have a 17-year-old female, unbelted passenger of a two-car motor vehicle accident, T-bone. She got the airbag. Again, was not belted. Positive loss of consciousness. Does have a hematoma to the head and also a hematoma to her foot. Good PMS. [REDACTED]. Just wondering with the age there, if you're recommending more children's or more ECMC? I mean, you can pick either. Okay. I didn't know. Last time I came in, it was kind of a war, so I just didn't want to get into that again. No, no. You can come here or you can go to ECMC. It's up to you. Whatever's closer. Okay. I mean, we're coming from Oxford, so they're both the same, so... Okay. Yeah, no, other than the obvious head injury there from not being belted and the positive loss of consciousness, I think she definitely warrants a trauma eval. Yeah. What are her vitals? Uh, TECI 120s, blood pressure 132 over 82, SpO2s 97, 98, room air, GCS 15. Okay. Hang on a sec. Okay, well... Okay. All right. So you're coming here, right? Yeah, we'll come up to you. Okay. ETA? Uh, from Lockport, probably 25 to 30. 25 to 30. Okay. All right. Thanks. All right. All right. Thank you.</t>
  </si>
  <si>
    <t>ER, Dr. Ruffin. Hi, this is Rachel from City Ambulance. I have a 17-year-old male that was in a motor vehicle accident with front-end damage to the vehicle, airbag deployment, complaining of chest pain, shortness of breath, and belly pain. He is GCS of 14, a little confused, asking repetitive questioning. I'm not sure about a flat lung. I can hear lung sounds on both sides, but his lips are white, and he keeps on saying that he has trouble breathing. Anything on the chest exam? I'm sorry? Anything on his chest exam visible? No. Do you have a pulse ox? Yeah, I have 100%. I have him on two liters. What was he without the oxygen? He was at 93. Okay. So not too bad, and he went right up with the oxygen. Blood pressure was initially soft of like 90 over 90, or 47. BP now with fluids is 108 over 71. Heart rate of 70, sinus rhythm on the monitor. Respirations about, I would say, 22. Okay. He was still in the car, right? What? He was still in the car, right? Yeah, he had not self-extricated. Okay. He said that he did lose consciousness, and his brother or his friend said that he did as well. Was there somebody else in the car? There was two others, but they were ambulatory on scene. Okay. Okay. Mom is notified. Her name is Laura, right? What's her phone number? 930-4202. 4602? So 930-4602, if you need that. Her name is Laura. Okay. Does he have any, like, open wounds or bleeding or fractures? Not that I've seen. I've done just an exam through clothes. I'm about to cut off everything. Okay. Okay. His spinal no-albuminization is in place. Okay. He should be there maybe, maybe like 12 minutes. 12 minutes. Okay. Yeah. All right. Sounds good. Thank you. Thanks, man. Bye.</t>
  </si>
  <si>
    <t>17-year-old male motor vehicle accident  airbag deployment, complaining of chest pain, shortness of breath, and belly pain.  GCS of 14, trouble breathing. 100%. I have him on two liters. What was he without the oxygen? He was at 93. BP now with fluids is 108 over 71. Heart rate of 70, sinus rhythm on the monitor. Respirations about, I would say, 22. He said that he did lose consciousness,</t>
  </si>
  <si>
    <t>L2, 17y/o, Vitals(BP 108/71, HR 70, RR 22), GCS:14, MOI(MVC), 17YO m AIRBAGS loc chest pain belly pain, ETA:10 min</t>
  </si>
  <si>
    <t>Motor vehicle accident with front-end damage</t>
  </si>
  <si>
    <t>The transcript describes a 17-year-old male involved in a motor vehicle accident with front-end damage and airbag deployment.</t>
  </si>
  <si>
    <t>['Heart rate of 70']</t>
  </si>
  <si>
    <t>['Blood pressure was initially soft of like 90 over 90, or 47', 'BP now with fluids is 108 over 71']</t>
  </si>
  <si>
    <t>['Respirations about, I would say, 22']</t>
  </si>
  <si>
    <t>['a little confused, asking repetitive questioning']</t>
  </si>
  <si>
    <t>['motor vehicle accident with front-end damage to the vehicle, airbag deployment']</t>
  </si>
  <si>
    <t>ER, Dr. Ruffin. Hi, this is Rachel from City Ambulance. I have a [REDACTED] that was in a motor vehicle accident with front-end damage to the vehicle, airbag deployment, complaining of chest pain, shortness of breath, and belly pain. He is GCS of 14, a little confused, asking repetitive questioning. I'm not sure about a flat lung. I can hear lung sounds on both sides, but his lips are white, and he keeps on saying that he has trouble breathing. Anything on the chest exam? I'm sorry? Anything on his chest exam visible? No. Do you have a pulse ox? Yeah, I have 100%. I have him on two liters. What was he without the oxygen? He was at 93. Okay. So not too bad, and he went right up with the oxygen. Blood pressure was initially soft of like 90 over 90, or 47. BP now with fluids is 108 over 71. Heart rate of 70, sinus rhythm on the monitor. Respirations about, I would say, 22. Okay. He was still in the car, right? What? He was still in the car, right? Yeah, he had not self-extricated. Okay. He said that he did lose consciousness, and his brother or his friend said that he did as well. Was there somebody else in the car? There was two others, but they were ambulatory on scene. Okay. Okay. Mom is notified. Her name is Laura, right? What's her phone number? 930-4202. 4602? So 930-4602, if you need that. Her name is Laura. Okay. Does he have any, like, open wounds or bleeding or fractures? Not that I've seen. I've done just an exam through clothes. I'm about to cut off everything. Okay. Okay. His spinal no-albuminization is in place. Okay. He should be there maybe, maybe like 12 minutes. 12 minutes. Okay. Yeah. All right. Sounds good. Thank you. Thanks, man. Bye.</t>
  </si>
  <si>
    <t>ER, Dr. Ruffin. Hi, this is Rachel from City Ambulance. I have a 17-year-old male that was in a motor vehicle accident with front-end damage to the vehicle, airbag deployment, complaining of chest pain, shortness of breath, and belly pain. He is GCS of 14, a little confused, asking repetitive questioning. I'm not sure about a flat lung. I can hear lung sounds on both sides, but his lips are white, and he keeps on saying that he has trouble breathing. Anything on the chest exam? I'm sorry? Anything on his chest exam visible? No. Do you have a pulse ox? Yeah, I have 100%. I have him on two liters. What was he without the oxygen? He was at 93. Okay. So not too bad, and he went right up with the oxygen. Blood pressure was initially soft of like 90 over 90, or 47. BP now with fluids is 108 over 71. [REDACTED], sinus rhythm on the monitor. Respirations about, I would say, 22. Okay. He was still in the car, right? What? He was still in the car, right? Yeah, he had not self-extricated. Okay. He said that he did lose consciousness, and his brother or his friend said that he did as well. Was there somebody else in the car? There was two others, but they were ambulatory on scene. Okay. Okay. Mom is notified. Her name is Laura, right? What's her phone number? 930-4202. 4602? So 930-4602, if you need that. Her name is Laura. Okay. Does he have any, like, open wounds or bleeding or fractures? Not that I've seen. I've done just an exam through clothes. I'm about to cut off everything. Okay. Okay. His spinal no-albuminization is in place. Okay. He should be there maybe, maybe like 12 minutes. 12 minutes. Okay. Yeah. All right. Sounds good. Thank you. Thanks, man. Bye.</t>
  </si>
  <si>
    <t>ER, Dr. Ruffin. Hi, this is Rachel from City Ambulance. I have a 17-year-old male that was in a motor vehicle accident with front-end damage to the vehicle, airbag deployment, complaining of chest pain, shortness of breath, and belly pain. He is GCS of 14, a little confused, asking repetitive questioning. I'm not sure about a flat lung. I can hear lung sounds on both sides, but his lips are white, and he keeps on saying that he has trouble breathing. Anything on the chest exam? I'm sorry? Anything on his chest exam visible? No. Do you have a pulse ox? Yeah, I have 100%. I have him on two liters. What was he without the oxygen? He was at 93. Okay. So not too bad, and he went right up with the oxygen. [REDACTED]. [REDACTED]. Heart rate of 70, sinus rhythm on the monitor. Respirations about, I would say, 22. Okay. He was still in the car, right? What? He was still in the car, right? Yeah, he had not self-extricated. Okay. He said that he did lose consciousness, and his brother or his friend said that he did as well. Was there somebody else in the car? There was two others, but they were ambulatory on scene. Okay. Okay. Mom is notified. Her name is Laura, right? What's her phone number? 930-4202. 4602? So 930-4602, if you need that. Her name is Laura. Okay. Does he have any, like, open wounds or bleeding or fractures? Not that I've seen. I've done just an exam through clothes. I'm about to cut off everything. Okay. Okay. His spinal no-albuminization is in place. Okay. He should be there maybe, maybe like 12 minutes. 12 minutes. Okay. Yeah. All right. Sounds good. Thank you. Thanks, man. Bye.</t>
  </si>
  <si>
    <t>ER, Dr. Ruffin. Hi, this is Rachel from City Ambulance. I have a 17-year-old male that was in a motor vehicle accident with front-end damage to the vehicle, airbag deployment, complaining of chest pain, shortness of breath, and belly pain. He is GCS of 14, a little confused, asking repetitive questioning. I'm not sure about a flat lung. I can hear lung sounds on both sides, but his lips are white, and he keeps on saying that he has trouble breathing. Anything on the chest exam? I'm sorry? Anything on his chest exam visible? No. Do you have a pulse ox? Yeah, I have 100%. I have him on two liters. What was he without the oxygen? He was at 93. Okay. So not too bad, and he went right up with the oxygen. Blood pressure was initially soft of like 90 over 90, or 47. BP now with fluids is 108 over 71. Heart rate of 70, sinus rhythm on the monitor. [REDACTED]. Okay. He was still in the car, right? What? He was still in the car, right? Yeah, he had not self-extricated. Okay. He said that he did lose consciousness, and his brother or his friend said that he did as well. Was there somebody else in the car? There was two others, but they were ambulatory on scene. Okay. Okay. Mom is notified. Her name is Laura, right? What's her phone number? 930-4202. 4602? So 930-4602, if you need that. Her name is Laura. Okay. Does he have any, like, open wounds or bleeding or fractures? Not that I've seen. I've done just an exam through clothes. I'm about to cut off everything. Okay. Okay. His spinal no-albuminization is in place. Okay. He should be there maybe, maybe like 12 minutes. 12 minutes. Okay. Yeah. All right. Sounds good. Thank you. Thanks, man. Bye.</t>
  </si>
  <si>
    <t>ER, Dr. Ruffin. Hi, this is Rachel from City Ambulance. I have a 17-year-old male that was in a motor vehicle accident with front-end damage to the vehicle, airbag deployment, complaining of chest pain, shortness of breath, and belly pain. He is GCS of 14, [REDACTED]. I'm not sure about a flat lung. I can hear lung sounds on both sides, but his lips are white, and he keeps on saying that he has trouble breathing. Anything on the chest exam? I'm sorry? Anything on his chest exam visible? No. Do you have a pulse ox? Yeah, I have 100%. I have him on two liters. What was he without the oxygen? He was at 93. Okay. So not too bad, and he went right up with the oxygen. Blood pressure was initially soft of like 90 over 90, or 47. BP now with fluids is 108 over 71. Heart rate of 70, sinus rhythm on the monitor. Respirations about, I would say, 22. Okay. He was still in the car, right? What? He was still in the car, right? Yeah, he had not self-extricated. Okay. He said that he did lose consciousness, and his brother or his friend said that he did as well. Was there somebody else in the car? There was two others, but they were ambulatory on scene. Okay. Okay. Mom is notified. Her name is Laura, right? What's her phone number? 930-4202. 4602? So 930-4602, if you need that. Her name is Laura. Okay. Does he have any, like, open wounds or bleeding or fractures? Not that I've seen. I've done just an exam through clothes. I'm about to cut off everything. Okay. Okay. His spinal no-albuminization is in place. Okay. He should be there maybe, maybe like 12 minutes. 12 minutes. Okay. Yeah. All right. Sounds good. Thank you. Thanks, man. Bye.</t>
  </si>
  <si>
    <t>ER, Dr. Ruffin. Hi, this is Rachel from City Ambulance. I have a 17-year-old male that was in a [REDACTED], complaining of chest pain, shortness of breath, and belly pain. He is GCS of 14, a little confused, asking repetitive questioning. I'm not sure about a flat lung. I can hear lung sounds on both sides, but his lips are white, and he keeps on saying that he has trouble breathing. Anything on the chest exam? I'm sorry? Anything on his chest exam visible? No. Do you have a pulse ox? Yeah, I have 100%. I have him on two liters. What was he without the oxygen? He was at 93. Okay. So not too bad, and he went right up with the oxygen. Blood pressure was initially soft of like 90 over 90, or 47. BP now with fluids is 108 over 71. Heart rate of 70, sinus rhythm on the monitor. Respirations about, I would say, 22. Okay. He was still in the car, right? What? He was still in the car, right? Yeah, he had not self-extricated. Okay. He said that he did lose consciousness, and his brother or his friend said that he did as well. Was there somebody else in the car? There was two others, but they were ambulatory on scene. Okay. Okay. Mom is notified. Her name is Laura, right? What's her phone number? 930-4202. 4602? So 930-4602, if you need that. Her name is Laura. Okay. Does he have any, like, open wounds or bleeding or fractures? Not that I've seen. I've done just an exam through clothes. I'm about to cut off everything. Okay. Okay. His spinal no-albuminization is in place. Okay. He should be there maybe, maybe like 12 minutes. 12 minutes. Okay. Yeah. All right. Sounds good. Thank you. Thanks, man. Bye.</t>
  </si>
  <si>
    <t>Children's ED, this is Josh. Hi, can you hear me? Yep, I can hear you. This is Mercy Plant, we've got a patient coming in. Okay, go ahead. I have a four-year-old male, fell roughly, call it a couple hundred feet, into the Niagara Gorge. He has a pretty significant head injury, looks like it's possible skull fracture on the back of his head, bleeding semi-controlled with jaws and padding. He was pretty much unresponsive the whole entire time. We just RSI'd him. Unable to get the tube, but he does have an eye gel in with good readings and good stats. Okay, can you give me his vitals? Sorry, go ahead. His vitals, can you give them to me, please? Last heart rate was 130, pressure was 100 on 70s, and then he's now, we can't get a stat because his hands are so cold. Okay. Now, what's his respiratory rate? We're bagging him with the eye gel. We're going for about 20 right now. Okay, gotcha. And a GCS? Initially, he was probably maybe a four or a five at best. Just kind of groaning to painful stimuli, but nothing intelligible. Okay, and we said no tube, correct? He has eye gel only, yes. Okay, the eye gel, gotcha. But we have a great reading with that. What's the rest of the ETA? We're working on getting loaded up. We'll probably be there once we start. About, hi, 15, 20 minutes or so. Okay, and he has pulses? Yes, we have pulses. Okay. All right, anything else you guys have questions on? I don't think so. He's going to be a... Do you guys have any IV access? He's going to be a... Sorry, go ahead. IV access? Yes, 20 in the left AC. Okay. Gotcha. All righty, so 15, 20 minutes. You guys give him a call if he clinically... He changes. Are you flying, driving? How are you getting here? Flying. Flying. They're at the Niagara Gorge? Yeah? Okay. Yeah. All righty, guys, thank you so much. Thank you, bye. Bye.</t>
  </si>
  <si>
    <t>four-year-old male, fell roughly, call it a couple hundred feet, into the Niagara Gorge. significant head injury, looks like it's possible skull fracture on the back of his head, bleeding semi-controlled with jaws and padding. He was pretty much unresponsive the whole entire time. We just RSI'd him. Unable to get the tube, Last heart rate was 130, pressure was 100 on 70s,  We're bagging him  And a GCS? Initially, he was probably maybe a four or a five at best. we have pulses.</t>
  </si>
  <si>
    <t>L1, 4y/o, Vitals(BP 100/70, HR 130, RR 20), GCS:4, MOI(Fall&gt;10 or 3x Child height), 100 ft fall, igel in place, skull deformity, moaning, bleeding semi controlled with direct pressure, ETA:15 min</t>
  </si>
  <si>
    <t>Fall into the Niagara Gorge</t>
  </si>
  <si>
    <t>The transcript mentions a four-year-old male who fell a couple hundred feet into the Niagara Gorge.</t>
  </si>
  <si>
    <t>['heart rate was 130']</t>
  </si>
  <si>
    <t>['pressure was 100 on 70s']</t>
  </si>
  <si>
    <t>['pretty much unresponsive the whole entire time', 'Just kind of groaning to painful stimuli, but nothing intelligible']</t>
  </si>
  <si>
    <t>['fell roughly, call it a couple hundred feet, into the Niagara Gorge']</t>
  </si>
  <si>
    <t>Children's ED, this is Josh. Hi, can you hear me? Yep, I can hear you. This is Mercy Plant, we've got a patient coming in. Okay, go ahead. I have a [REDACTED], fell roughly, call it a couple hundred feet, into the Niagara Gorge. He has a pretty significant head injury, looks like it's possible skull fracture on the back of his head, bleeding semi-controlled with jaws and padding. He was pretty much unresponsive the whole entire time. We just RSI'd him. Unable to get the tube, but he does have an eye gel in with good readings and good stats. Okay, can you give me his vitals? Sorry, go ahead. His vitals, can you give them to me, please? Last heart rate was 130, pressure was 100 on 70s, and then he's now, we can't get a stat because his hands are so cold. Okay. Now, what's his respiratory rate? We're bagging him with the eye gel. We're going for about 20 right now. Okay, gotcha. And a GCS? Initially, he was probably maybe a four or a five at best. Just kind of groaning to painful stimuli, but nothing intelligible. Okay, and we said no tube, correct? He has eye gel only, yes. Okay, the eye gel, gotcha. But we have a great reading with that. What's the rest of the ETA? We're working on getting loaded up. We'll probably be there once we start. About, hi, 15, 20 minutes or so. Okay, and he has pulses? Yes, we have pulses. Okay. All right, anything else you guys have questions on? I don't think so. He's going to be a... Do you guys have any IV access? He's going to be a... Sorry, go ahead. IV access? Yes, 20 in the left AC. Okay. Gotcha. All righty, so 15, 20 minutes. You guys give him a call if he clinically... He changes. Are you flying, driving? How are you getting here? Flying. Flying. They're at the Niagara Gorge? Yeah? Okay. Yeah. All righty, guys, thank you so much. Thank you, bye. Bye.</t>
  </si>
  <si>
    <t>Children's ED, this is Josh. Hi, can you hear me? Yep, I can hear you. This is Mercy Plant, we've got a patient coming in. Okay, go ahead. I have a four-year-old male, fell roughly, call it a couple hundred feet, into the Niagara Gorge. He has a pretty significant head injury, looks like it's possible skull fracture on the back of his head, bleeding semi-controlled with jaws and padding. He was pretty much unresponsive the whole entire time. We just RSI'd him. Unable to get the tube, but he does have an eye gel in with good readings and good stats. Okay, can you give me his vitals? Sorry, go ahead. His vitals, can you give them to me, please? Last [REDACTED], pressure was 100 on 70s, and then he's now, we can't get a stat because his hands are so cold. Okay. Now, what's his respiratory rate? We're bagging him with the eye gel. We're going for about 20 right now. Okay, gotcha. And a GCS? Initially, he was probably maybe a four or a five at best. Just kind of groaning to painful stimuli, but nothing intelligible. Okay, and we said no tube, correct? He has eye gel only, yes. Okay, the eye gel, gotcha. But we have a great reading with that. What's the rest of the ETA? We're working on getting loaded up. We'll probably be there once we start. About, hi, 15, 20 minutes or so. Okay, and he has pulses? Yes, we have pulses. Okay. All right, anything else you guys have questions on? I don't think so. He's going to be a... Do you guys have any IV access? He's going to be a... Sorry, go ahead. IV access? Yes, 20 in the left AC. Okay. Gotcha. All righty, so 15, 20 minutes. You guys give him a call if he clinically... He changes. Are you flying, driving? How are you getting here? Flying. Flying. They're at the Niagara Gorge? Yeah? Okay. Yeah. All righty, guys, thank you so much. Thank you, bye. Bye.</t>
  </si>
  <si>
    <t>Children's ED, this is Josh. Hi, can you hear me? Yep, I can hear you. This is Mercy Plant, we've got a patient coming in. Okay, go ahead. I have a four-year-old male, fell roughly, call it a couple hundred feet, into the Niagara Gorge. He has a pretty significant head injury, looks like it's possible skull fracture on the back of his head, bleeding semi-controlled with jaws and padding. He was pretty much unresponsive the whole entire time. We just RSI'd him. Unable to get the tube, but he does have an eye gel in with good readings and good stats. Okay, can you give me his vitals? Sorry, go ahead. His vitals, can you give them to me, please? Last heart rate was 130, [REDACTED], and then he's now, we can't get a stat because his hands are so cold. Okay. Now, what's his respiratory rate? We're bagging him with the eye gel. We're going for about 20 right now. Okay, gotcha. And a GCS? Initially, he was probably maybe a four or a five at best. Just kind of groaning to painful stimuli, but nothing intelligible. Okay, and we said no tube, correct? He has eye gel only, yes. Okay, the eye gel, gotcha. But we have a great reading with that. What's the rest of the ETA? We're working on getting loaded up. We'll probably be there once we start. About, hi, 15, 20 minutes or so. Okay, and he has pulses? Yes, we have pulses. Okay. All right, anything else you guys have questions on? I don't think so. He's going to be a... Do you guys have any IV access? He's going to be a... Sorry, go ahead. IV access? Yes, 20 in the left AC. Okay. Gotcha. All righty, so 15, 20 minutes. You guys give him a call if he clinically... He changes. Are you flying, driving? How are you getting here? Flying. Flying. They're at the Niagara Gorge? Yeah? Okay. Yeah. All righty, guys, thank you so much. Thank you, bye. Bye.</t>
  </si>
  <si>
    <t>Children's ED, this is Josh. Hi, can you hear me? Yep, I can hear you. This is Mercy Plant, we've got a patient coming in. Okay, go ahead. I have a four-year-old male, fell roughly, call it a couple hundred feet, into the Niagara Gorge. He has a pretty significant head injury, looks like it's possible skull fracture on the back of his head, bleeding semi-controlled with jaws and padding. He was [REDACTED]. We just RSI'd him. Unable to get the tube, but he does have an eye gel in with good readings and good stats. Okay, can you give me his vitals? Sorry, go ahead. His vitals, can you give them to me, please? Last heart rate was 130, pressure was 100 on 70s, and then he's now, we can't get a stat because his hands are so cold. Okay. Now, what's his respiratory rate? We're bagging him with the eye gel. We're going for about 20 right now. Okay, gotcha. And a GCS? Initially, he was probably maybe a four or a five at best. [REDACTED]. Okay, and we said no tube, correct? He has eye gel only, yes. Okay, the eye gel, gotcha. But we have a great reading with that. What's the rest of the ETA? We're working on getting loaded up. We'll probably be there once we start. About, hi, 15, 20 minutes or so. Okay, and he has pulses? Yes, we have pulses. Okay. All right, anything else you guys have questions on? I don't think so. He's going to be a... Do you guys have any IV access? He's going to be a... Sorry, go ahead. IV access? Yes, 20 in the left AC. Okay. Gotcha. All righty, so 15, 20 minutes. You guys give him a call if he clinically... He changes. Are you flying, driving? How are you getting here? Flying. Flying. They're at the Niagara Gorge? Yeah? Okay. Yeah. All righty, guys, thank you so much. Thank you, bye. Bye.</t>
  </si>
  <si>
    <t>Children's ED, this is Josh. Hi, can you hear me? Yep, I can hear you. This is Mercy Plant, we've got a patient coming in. Okay, go ahead. I have a four-year-old male, [REDACTED]. He has a pretty significant head injury, looks like it's possible skull fracture on the back of his head, bleeding semi-controlled with jaws and padding. He was pretty much unresponsive the whole entire time. We just RSI'd him. Unable to get the tube, but he does have an eye gel in with good readings and good stats. Okay, can you give me his vitals? Sorry, go ahead. His vitals, can you give them to me, please? Last heart rate was 130, pressure was 100 on 70s, and then he's now, we can't get a stat because his hands are so cold. Okay. Now, what's his respiratory rate? We're bagging him with the eye gel. We're going for about 20 right now. Okay, gotcha. And a GCS? Initially, he was probably maybe a four or a five at best. Just kind of groaning to painful stimuli, but nothing intelligible. Okay, and we said no tube, correct? He has eye gel only, yes. Okay, the eye gel, gotcha. But we have a great reading with that. What's the rest of the ETA? We're working on getting loaded up. We'll probably be there once we start. About, hi, 15, 20 minutes or so. Okay, and he has pulses? Yes, we have pulses. Okay. All right, anything else you guys have questions on? I don't think so. He's going to be a... Do you guys have any IV access? He's going to be a... Sorry, go ahead. IV access? Yes, 20 in the left AC. Okay. Gotcha. All righty, so 15, 20 minutes. You guys give him a call if he clinically... He changes. Are you flying, driving? How are you getting here? Flying. Flying. They're at the Niagara Gorge? Yeah? Okay. Yeah. All righty, guys, thank you so much. Thank you, bye. Bye.</t>
  </si>
  <si>
    <t>Sean's here, Dr. Shada. Hi, Dr. Shada. It's Jason Miles. How are you? Doing all right. How are you? Not bad. I got a four-year-old involved in a motor vehicle crash who has quite a bit of swelling and pain to the left femur. Okay. It does look like it's large and very tender to the touch. She won't move it. She does have a pulsed motor sensation at this time. Heart rate is 123. Is that what you said? Yes. Okay. Positive, pulsed. Heart rate's 126, 156 over 97, and we're probably 8 to 10 out. And how fast was the car going? And how was she hitting? She was not in a car seat. Not in a car seat? Correct. Okay. And it was on the front passenger side. I'm not sure. Where were you? Where were you sitting in the back seat, girl? On the same side as Mommy? Behind Mommy or on the other side? Oh, were you driving? Yeah. Okay. Driver side rear she was sitting in. Okay. The opposite side that was hit. So, problem, femur fracture, no car seat. How old? Four. Four. Okay. We'll see when you get in. I have a six-year-old. He's just BLS. Okay. Come in for evaluation. Same thing, no car seat. Hit pretty good. He was in the other side of the car. Okay. So. All right. Thanks. All right? Yep. Bye. Bye.</t>
  </si>
  <si>
    <t>four-year-old involved in a motor vehicle crash swelling and pain to the left femur. Heart rate is 123.  Heart rate's 126, 156 over 97, She was not in a car seat.</t>
  </si>
  <si>
    <t>L2, 4y/o, Vitals(BP 156/97, HR 126, RR [??]), GCS:15, MOI(MVC), femur fx, not in car seat, ETA:5 min</t>
  </si>
  <si>
    <t>Motor vehicle crash (MVC)</t>
  </si>
  <si>
    <t>The transcript describes a motor vehicle crash involving a four-year-old and a six-year-old, with specific details about the crash and injuries.</t>
  </si>
  <si>
    <t>['Heart rate is 123', "Heart rate's 126"]</t>
  </si>
  <si>
    <t>['156 over 97']</t>
  </si>
  <si>
    <t>Sean's here, Dr. Shada. Hi, Dr. Shada. It's Jason Miles. How are you? Doing all right. How are you? Not bad. I got a four-year-old involved in a motor vehicle crash who has quite a bit of swelling and pain to the left femur. Okay. It does look like it's large and very tender to the touch. She won't move it. She does have a pulsed motor sensation at this time. [REDACTED]. Is that what you said? Yes. Okay. Positive, pulsed. [REDACTED], 156 over 97, and we're probably 8 to 10 out. And how fast was the car going? And how was she hitting? She was not in a car seat. Not in a car seat? Correct. Okay. And it was on the front passenger side. I'm not sure. Where were you? Where were you sitting in the back seat, girl? On the same side as Mommy? Behind Mommy or on the other side? Oh, were you driving? Yeah. Okay. Driver side rear she was sitting in. Okay. The opposite side that was hit. So, problem, femur fracture, no car seat. How old? Four. Four. Okay. We'll see when you get in. I have a six-year-old. He's just BLS. Okay. Come in for evaluation. Same thing, no car seat. Hit pretty good. He was in the other side of the car. Okay. So. All right. Thanks. All right? Yep. Bye. Bye.</t>
  </si>
  <si>
    <t>Sean's here, Dr. Shada. Hi, Dr. Shada. It's Jason Miles. How are you? Doing all right. How are you? Not bad. I got a four-year-old involved in a motor vehicle crash who has quite a bit of swelling and pain to the left femur. Okay. It does look like it's large and very tender to the touch. She won't move it. She does have a pulsed motor sensation at this time. Heart rate is 123. Is that what you said? Yes. Okay. Positive, pulsed. Heart rate's 126, [REDACTED], and we're probably 8 to 10 out. And how fast was the car going? And how was she hitting? She was not in a car seat. Not in a car seat? Correct. Okay. And it was on the front passenger side. I'm not sure. Where were you? Where were you sitting in the back seat, girl? On the same side as Mommy? Behind Mommy or on the other side? Oh, were you driving? Yeah. Okay. Driver side rear she was sitting in. Okay. The opposite side that was hit. So, problem, femur fracture, no car seat. How old? Four. Four. Okay. We'll see when you get in. I have a six-year-old. He's just BLS. Okay. Come in for evaluation. Same thing, no car seat. Hit pretty good. He was in the other side of the car. Okay. So. All right. Thanks. All right? Yep. Bye. Bye.</t>
  </si>
  <si>
    <t>Oh, sorry, emergency department. This is Alana. Hi, this is a paramedic with AMR. I just want to give you guys a heads up. Hey. I have a seven-year-old female. She fell out of a second-story window onto the driveway. No loss of consciousness that we know of. She got up herself and walked inside. She has like a three to four centimeter lack underneath her chin, and she lost three teeth in her mouth before we got there. The CCS right now is 15. The vitals are good, 93 over 54. Heart rate is 106, 97%. So improved error. We'll be there in five minutes or so. Perfect. Sounds good. Thank you. Thank you. Bye. Bye.</t>
  </si>
  <si>
    <t>seven-year-old female. She fell out of a second-story window onto the driveway. No loss of consciousness that we know of. has three to four centimeter lack underneath her chin, and she lost three teeth in her mouth The CCS right now is 15. 93 over 54. Heart rate is 106, 97%.</t>
  </si>
  <si>
    <t>L2, 7y/o, Vitals(BP 92/54, HR 96, RR [??]), GCS:15, MOI(Fall&gt;10 or 3x Child height), fall from 2nd story window, no LOC, chin lac, ETA:4 min</t>
  </si>
  <si>
    <t>The paramedic reported that the patient fell out of a second-story window onto the driveway.</t>
  </si>
  <si>
    <t>['seven-year-old female']</t>
  </si>
  <si>
    <t>['93 over 54']</t>
  </si>
  <si>
    <t>['fell out of a second-story window onto the driveway']</t>
  </si>
  <si>
    <t>Oh, sorry, emergency department. This is Alana. Hi, this is a paramedic with AMR. I just want to give you guys a heads up. Hey. I have a [REDACTED]. She fell out of a second-story window onto the driveway. No loss of consciousness that we know of. She got up herself and walked inside. She has like a three to four centimeter lack underneath her chin, and she lost three teeth in her mouth before we got there. The CCS right now is 15. The vitals are good, 93 over 54. Heart rate is 106, 97%. So improved error. We'll be there in five minutes or so. Perfect. Sounds good. Thank you. Thank you. Bye. Bye.</t>
  </si>
  <si>
    <t>Oh, sorry, emergency department. This is Alana. Hi, this is a paramedic with AMR. I just want to give you guys a heads up. Hey. I have a seven-year-old female. She fell out of a second-story window onto the driveway. No loss of consciousness that we know of. She got up herself and walked inside. She has like a three to four centimeter lack underneath her chin, and she lost three teeth in her mouth before we got there. The CCS right now is 15. The vitals are good, 93 over 54. [REDACTED], 97%. So improved error. We'll be there in five minutes or so. Perfect. Sounds good. Thank you. Thank you. Bye. Bye.</t>
  </si>
  <si>
    <t>Oh, sorry, emergency department. This is Alana. Hi, this is a paramedic with AMR. I just want to give you guys a heads up. Hey. I have a seven-year-old female. She fell out of a second-story window onto the driveway. No loss of consciousness that we know of. She got up herself and walked inside. She has like a three to four centimeter lack underneath her chin, and she lost three teeth in her mouth before we got there. The CCS right now is 15. The vitals are good, [REDACTED]. Heart rate is 106, 97%. So improved error. We'll be there in five minutes or so. Perfect. Sounds good. Thank you. Thank you. Bye. Bye.</t>
  </si>
  <si>
    <t>Oh, sorry, emergency department. This is Alana. Hi, this is a paramedic with AMR. I just want to give you guys a heads up. Hey. I have a seven-year-old female. She [REDACTED]. No loss of consciousness that we know of. She got up herself and walked inside. She has like a three to four centimeter lack underneath her chin, and she lost three teeth in her mouth before we got there. The CCS right now is 15. The vitals are good, 93 over 54. Heart rate is 106, 97%. So improved error. We'll be there in five minutes or so. Perfect. Sounds good. Thank you. Thank you. Bye. Bye.</t>
  </si>
  <si>
    <t>This is Dr. Ruano. Hi, I'm calling for a patient number. Okay. I have a 14-year-old male patient. He's got one GSW to the upper back. He's conscious and alert right now. There is no exit wound. Bleeding's controlled. Vitals are stable. He's refusing an IV. I'm working on it, but we're like maybe not even 10 minutes away. 10 minutes. Okay, can I get his vitals? Yes, heart rate is 106. Okay. Pressure is 150 over 94. Okay. He's 95% room air. Okay. 22 respirations. Okay. GCS 15. 15. Yes. Okay, so GCS upper back without an exit wound? Yep. Okay. He's moving all extremities well. No paralysis. Back? Like is it on the right, the left, midline? It's upper, pretty close to midline. I think a little to the right side. Okay. But it's pretty midline. Okay. Okay. Okay. Are you guys good with that? Do you want me to go to ECM? No, no, no. Okay. Nope. That sounds great. We're just going to page it out as a trauma for when you guys arrive. Okay? Cool. Thank you so much. Like I said, I'm trying to get an IV. He doesn't want me to post him, but. We'll get one here if anything. All right. Cool. Thank you. Bye.</t>
  </si>
  <si>
    <t>I have a 14-year-old male one VSW to the upper back. He's conscious and alert no exit wound Bleeding's controlled. Vitals are stable. heart rate is 106. Pressure is 150 over 94. He's 95% room air. 22 respirations. GCS 15.</t>
  </si>
  <si>
    <t>L1, 14y/o, Vitals(BP [??]/[??], HR [??], RR [??]), GCS:15, MOI(GSW), GSW to back, ETA:7 min</t>
  </si>
  <si>
    <t>GSW to upper back</t>
  </si>
  <si>
    <t>The transcript mentions a 14-year-old male with a gunshot wound (GSW) to the upper back.</t>
  </si>
  <si>
    <t>['14-year-old male patient']</t>
  </si>
  <si>
    <t>['heart rate is 106']</t>
  </si>
  <si>
    <t>['Pressure is 150 over 94']</t>
  </si>
  <si>
    <t>['one GSW to the upper back']</t>
  </si>
  <si>
    <t>This is Dr. Ruano. Hi, I'm calling for a patient number. Okay. I have a [REDACTED]. He's got one GSW to the upper back. He's conscious and alert right now. There is no exit wound. Bleeding's controlled. Vitals are stable. He's refusing an IV. I'm working on it, but we're like maybe not even 10 minutes away. 10 minutes. Okay, can I get his vitals? Yes, heart rate is 106. Okay. Pressure is 150 over 94. Okay. He's 95% room air. Okay. 22 respirations. Okay. GCS 15. 15. Yes. Okay, so GCS upper back without an exit wound? Yep. Okay. He's moving all extremities well. No paralysis. Back? Like is it on the right, the left, midline? It's upper, pretty close to midline. I think a little to the right side. Okay. But it's pretty midline. Okay. Okay. Okay. Are you guys good with that? Do you want me to go to ECM? No, no, no. Okay. Nope. That sounds great. We're just going to page it out as a trauma for when you guys arrive. Okay? Cool. Thank you so much. Like I said, I'm trying to get an IV. He doesn't want me to post him, but. We'll get one here if anything. All right. Cool. Thank you. Bye.</t>
  </si>
  <si>
    <t>This is Dr. Ruano. Hi, I'm calling for a patient number. Okay. I have a 14-year-old male patient. He's got one GSW to the upper back. He's conscious and alert right now. There is no exit wound. Bleeding's controlled. Vitals are stable. He's refusing an IV. I'm working on it, but we're like maybe not even 10 minutes away. 10 minutes. Okay, can I get his vitals? Yes, [REDACTED]. Okay. Pressure is 150 over 94. Okay. He's 95% room air. Okay. 22 respirations. Okay. GCS 15. 15. Yes. Okay, so GCS upper back without an exit wound? Yep. Okay. He's moving all extremities well. No paralysis. Back? Like is it on the right, the left, midline? It's upper, pretty close to midline. I think a little to the right side. Okay. But it's pretty midline. Okay. Okay. Okay. Are you guys good with that? Do you want me to go to ECM? No, no, no. Okay. Nope. That sounds great. We're just going to page it out as a trauma for when you guys arrive. Okay? Cool. Thank you so much. Like I said, I'm trying to get an IV. He doesn't want me to post him, but. We'll get one here if anything. All right. Cool. Thank you. Bye.</t>
  </si>
  <si>
    <t>This is Dr. Ruano. Hi, I'm calling for a patient number. Okay. I have a 14-year-old male patient. He's got one GSW to the upper back. He's conscious and alert right now. There is no exit wound. Bleeding's controlled. Vitals are stable. He's refusing an IV. I'm working on it, but we're like maybe not even 10 minutes away. 10 minutes. Okay, can I get his vitals? Yes, heart rate is 106. Okay. [REDACTED]. Okay. He's 95% room air. Okay. 22 respirations. Okay. GCS 15. 15. Yes. Okay, so GCS upper back without an exit wound? Yep. Okay. He's moving all extremities well. No paralysis. Back? Like is it on the right, the left, midline? It's upper, pretty close to midline. I think a little to the right side. Okay. But it's pretty midline. Okay. Okay. Okay. Are you guys good with that? Do you want me to go to ECM? No, no, no. Okay. Nope. That sounds great. We're just going to page it out as a trauma for when you guys arrive. Okay? Cool. Thank you so much. Like I said, I'm trying to get an IV. He doesn't want me to post him, but. We'll get one here if anything. All right. Cool. Thank you. Bye.</t>
  </si>
  <si>
    <t>This is Dr. Ruano. Hi, I'm calling for a patient number. Okay. I have a 14-year-old male patient. He's got one GSW to the upper back. He's conscious and alert right now. There is no exit wound. Bleeding's controlled. Vitals are stable. He's refusing an IV. I'm working on it, but we're like maybe not even 10 minutes away. 10 minutes. Okay, can I get his vitals? Yes, heart rate is 106. Okay. Pressure is 150 over 94. Okay. He's 95% room air. Okay. [REDACTED]. Okay. GCS 15. 15. Yes. Okay, so GCS upper back without an exit wound? Yep. Okay. He's moving all extremities well. No paralysis. Back? Like is it on the right, the left, midline? It's upper, pretty close to midline. I think a little to the right side. Okay. But it's pretty midline. Okay. Okay. Okay. Are you guys good with that? Do you want me to go to ECM? No, no, no. Okay. Nope. That sounds great. We're just going to page it out as a trauma for when you guys arrive. Okay? Cool. Thank you so much. Like I said, I'm trying to get an IV. He doesn't want me to post him, but. We'll get one here if anything. All right. Cool. Thank you. Bye.</t>
  </si>
  <si>
    <t>This is Dr. Ruano. Hi, I'm calling for a patient number. Okay. I have a 14-year-old male patient. He's got [REDACTED]. He's conscious and alert right now. There is no exit wound. Bleeding's controlled. Vitals are stable. He's refusing an IV. I'm working on it, but we're like maybe not even 10 minutes away. 10 minutes. Okay, can I get his vitals? Yes, heart rate is 106. Okay. Pressure is 150 over 94. Okay. He's 95% room air. Okay. 22 respirations. Okay. GCS 15. 15. Yes. Okay, so GCS upper back without an exit wound? Yep. Okay. He's moving all extremities well. No paralysis. Back? Like is it on the right, the left, midline? It's upper, pretty close to midline. I think a little to the right side. Okay. But it's pretty midline. Okay. Okay. Okay. Are you guys good with that? Do you want me to go to ECM? No, no, no. Okay. Nope. That sounds great. We're just going to page it out as a trauma for when you guys arrive. Okay? Cool. Thank you so much. Like I said, I'm trying to get an IV. He doesn't want me to post him, but. We'll get one here if anything. All right. Cool. Thank you. Bye.</t>
  </si>
  <si>
    <t>This is Dr. Veruano. Hey, Doctor. This is Paramedic Hall with Tonawanda. We're en route with a 14-year-old male who was hit by a vehicle while he was walking across the street, going approximately 30 to 35 miles per hour. Significant intrusion on the upper passenger side of the windshield, approximately 2 inches. Awesome. A possible LOC, had some blurred vision, abrasions on the right elbow and his back. Last set of vitals, 15 over 66, heart rate 118, 95% on room air, glucose of 151. He's got an 18 left AC, 4 lead, and now complaining of a... And can I get his blood pressure and his respiratory rate? Sorry if I missed those. Yep. 115 over 66, respirations 18. And do you have a GCS? Is it 15? 15. Okay, awesome. What's your ETA? What's our ETA, Phil? 15. 15 minutes? Okay, great. We'll see you guys when you get here. Anything? Anything changes in the meanwhile, let us know, okay? All right, thank you. Thank you.</t>
  </si>
  <si>
    <t>14-year-old male who was hit by a vehicle  approximately 30 to 35 miles per hour. Significant intrusion on the upper passenger side of the windshield, approximately 2 inches. A possible LOC, had some blurred vision, abrasions on the right elbow and his back. Last set of vitals, 15 over 66, heart rate 118, 95% on room air, glucose of 151. GCS? Is it 15? 15.</t>
  </si>
  <si>
    <t>L2, 14y/o, Vitals(BP 115/66, HR 118, RR 18), GCS:15, MOI(MVC), mvc vs pedestrain, Blunt trauma:Head, pt hit windshield ? possible LOC with blurred vision, ETA:15 min</t>
  </si>
  <si>
    <t>Hit by a vehicle while walking across the street</t>
  </si>
  <si>
    <t>The transcript clearly states the patient was hit by a vehicle while walking across the street.</t>
  </si>
  <si>
    <t>['heart rate 118']</t>
  </si>
  <si>
    <t>['15 over 66', '115 over 66']</t>
  </si>
  <si>
    <t>['respirations 18']</t>
  </si>
  <si>
    <t>This is Dr. Veruano. Hey, Doctor. This is Paramedic Hall with Tonawanda. We're en route with a [REDACTED] who was hit by a vehicle while he was walking across the street, going approximately 30 to 35 miles per hour. Significant intrusion on the upper passenger side of the windshield, approximately 2 inches. Awesome. A possible LOC, had some blurred vision, abrasions on the right elbow and his back. Last set of vitals, 15 over 66, heart rate 118, 95% on room air, glucose of 151. He's got an 18 left AC, 4 lead, and now complaining of a... And can I get his blood pressure and his respiratory rate? Sorry if I missed those. Yep. 115 over 66, respirations 18. And do you have a GCS? Is it 15? 15. Okay, awesome. What's your ETA? What's our ETA, Phil? 15. 15 minutes? Okay, great. We'll see you guys when you get here. Anything? Anything changes in the meanwhile, let us know, okay? All right, thank you. Thank you.</t>
  </si>
  <si>
    <t>This is Dr. Veruano. Hey, Doctor. This is Paramedic Hall with Tonawanda. We're en route with a 14-year-old male who was hit by a vehicle while he was walking across the street, going approximately 30 to 35 miles per hour. Significant intrusion on the upper passenger side of the windshield, approximately 2 inches. Awesome. A possible LOC, had some blurred vision, abrasions on the right elbow and his back. Last set of vitals, 15 over 66, [REDACTED], 95% on room air, glucose of 151. He's got an 18 left AC, 4 lead, and now complaining of a... And can I get his blood pressure and his respiratory rate? Sorry if I missed those. Yep. 115 over 66, respirations 18. And do you have a GCS? Is it 15? 15. Okay, awesome. What's your ETA? What's our ETA, Phil? 15. 15 minutes? Okay, great. We'll see you guys when you get here. Anything? Anything changes in the meanwhile, let us know, okay? All right, thank you. Thank you.</t>
  </si>
  <si>
    <t>This is Dr. Veruano. Hey, Doctor. This is Paramedic Hall with Tonawanda. We're en route with a 14-year-old male who was hit by a vehicle while he was walking across the street, going approximately 30 to 35 miles per hour. Significant intrusion on the upper passenger side of the windshield, approximately 2 inches. Awesome. A possible LOC, had some blurred vision, abrasions on the right elbow and his back. Last set of vitals, 15 over 66, heart rate 118, 95% on room air, glucose of 151. He's got an 18 left AC, 4 lead, and now complaining of a... And can I get his blood pressure and his respiratory rate? Sorry if I missed those. Yep. 115 over 66, [REDACTED]. And do you have a GCS? Is it 15? 15. Okay, awesome. What's your ETA? What's our ETA, Phil? 15. 15 minutes? Okay, great. We'll see you guys when you get here. Anything? Anything changes in the meanwhile, let us know, okay? All right, thank you. Thank you.</t>
  </si>
  <si>
    <t>ER, Dr. Rahman. Hi, Dr. Rahman. It's MERS Control. How are you this morning? Hey, good. How are you? I'm good. I've got a report from StatMed of Act 12, and since I'm going to end up talking to you anyway, I figured I'd just call you directly. Okay. They are inbound 10 minutes to your roof with a 0-5-year-old female who was involved in a motor vehicle accident. The child did have positive loss of consciousness, is awake, GCS of 15 at this time. Okay. Large scalp laceration going from the top of the head all the way into the forehead. Okay. Bleeding is controlled. And right now we've got a set of vitals of 96 over 63. Okay. Heart rate's 110 in sinus. Respirations are 18, standing at 97%. And like I said, they'll be on the rooftop in about 10 minutes or so. Okay. Sounds good. All right. Thank you. All right. Thank you. Bye-bye.</t>
  </si>
  <si>
    <t>0-5-year-old female who was involved in a motor vehicle accident. positive loss of consciousness, is awake, GCS of 15 at this time.</t>
  </si>
  <si>
    <t>L2, 5y/o, Vitals(BP 96/63, HR 110, RR 18), GCS:15, MOI(MVC), scalp lac, ETA:10 min</t>
  </si>
  <si>
    <t>Motor vehicle accident</t>
  </si>
  <si>
    <t>The report mentions a 0-5-year-old female involved in a motor vehicle accident.</t>
  </si>
  <si>
    <t>['0-5-year-old female', 'the child']</t>
  </si>
  <si>
    <t>["Heart rate's 110 in sinus"]</t>
  </si>
  <si>
    <t>['96 over 63']</t>
  </si>
  <si>
    <t>['Respirations are 18']</t>
  </si>
  <si>
    <t>['positive loss of consciousness', 'is awake']</t>
  </si>
  <si>
    <t>['motor vehicle accident']</t>
  </si>
  <si>
    <t>ER, Dr. Rahman. Hi, Dr. Rahman. It's MERS Control. How are you this morning? Hey, good. How are you? I'm good. I've got a report from StatMed of Act 12, and since I'm going to end up talking to you anyway, I figured I'd just call you directly. Okay. They are inbound 10 minutes to your roof with a 0-5-year-old female who was involved in a motor vehicle accident. The child did have positive loss of consciousness, is awake, GCS of 15 at this time. Okay. Large scalp laceration going from the top of the head all the way into the forehead. Okay. Bleeding is controlled. And right now we've got a set of vitals of 96 over 63. Okay. [REDACTED]. Respirations are 18, standing at 97%. And like I said, they'll be on the rooftop in about 10 minutes or so. Okay. Sounds good. All right. Thank you. All right. Thank you. Bye-bye.</t>
  </si>
  <si>
    <t>ER, Dr. Rahman. Hi, Dr. Rahman. It's MERS Control. How are you this morning? Hey, good. How are you? I'm good. I've got a report from StatMed of Act 12, and since I'm going to end up talking to you anyway, I figured I'd just call you directly. Okay. They are inbound 10 minutes to your roof with a 0-5-year-old female who was involved in a motor vehicle accident. The child did have positive loss of consciousness, is awake, GCS of 15 at this time. Okay. Large scalp laceration going from the top of the head all the way into the forehead. Okay. Bleeding is controlled. And right now we've got a set of vitals of [REDACTED]. Okay. Heart rate's 110 in sinus. Respirations are 18, standing at 97%. And like I said, they'll be on the rooftop in about 10 minutes or so. Okay. Sounds good. All right. Thank you. All right. Thank you. Bye-bye.</t>
  </si>
  <si>
    <t>ER, Dr. Rahman. Hi, Dr. Rahman. It's MERS Control. How are you this morning? Hey, good. How are you? I'm good. I've got a report from StatMed of Act 12, and since I'm going to end up talking to you anyway, I figured I'd just call you directly. Okay. They are inbound 10 minutes to your roof with a 0-5-year-old female who was involved in a motor vehicle accident. The child did have positive loss of consciousness, is awake, GCS of 15 at this time. Okay. Large scalp laceration going from the top of the head all the way into the forehead. Okay. Bleeding is controlled. And right now we've got a set of vitals of 96 over 63. Okay. Heart rate's 110 in sinus. [REDACTED], standing at 97%. And like I said, they'll be on the rooftop in about 10 minutes or so. Okay. Sounds good. All right. Thank you. All right. Thank you. Bye-bye.</t>
  </si>
  <si>
    <t>ER, Dr. Rahman. Hi, Dr. Rahman. It's MERS Control. How are you this morning? Hey, good. How are you? I'm good. I've got a report from StatMed of Act 12, and since I'm going to end up talking to you anyway, I figured I'd just call you directly. Okay. They are inbound 10 minutes to your roof with a 0-5-year-old female who was involved in a motor vehicle accident. The child did have [REDACTED], [REDACTED], GCS of 15 at this time. Okay. Large scalp laceration going from the top of the head all the way into the forehead. Okay. Bleeding is controlled. And right now we've got a set of vitals of 96 over 63. Okay. Heart rate's 110 in sinus. Respirations are 18, standing at 97%. And like I said, they'll be on the rooftop in about 10 minutes or so. Okay. Sounds good. All right. Thank you. All right. Thank you. Bye-bye.</t>
  </si>
  <si>
    <t>ER, Dr. Rahman. Hi, Dr. Rahman. It's MERS Control. How are you this morning? Hey, good. How are you? I'm good. I've got a report from StatMed of Act 12, and since I'm going to end up talking to you anyway, I figured I'd just call you directly. Okay. They are inbound 10 minutes to your roof with a 0-5-year-old female who was involved in a [REDACTED]. The child did have positive loss of consciousness, is awake, GCS of 15 at this time. Okay. Large scalp laceration going from the top of the head all the way into the forehead. Okay. Bleeding is controlled. And right now we've got a set of vitals of 96 over 63. Okay. Heart rate's 110 in sinus. Respirations are 18, standing at 97%. And like I said, they'll be on the rooftop in about 10 minutes or so. Okay. Sounds good. All right. Thank you. All right. Thank you. Bye-bye.</t>
  </si>
  <si>
    <t>Jones here, Dr. Chadda. Hi, Dr. Chadda. This is Jeff Medick with Twin City. I was calling ahead to you, and I'm bringing in a 15-year-old male with an open compound fracture. Ah, what happened? So he was passing through in a side-by-side ATV when it flipped over, and when he fell out of it, the ATV tipped over to roll bar, came down on his right leg. He has obvious crepitus, and there's a small hole, some slight bleeding, so that's why we're calling it open. There's no bone sticking out or anything like that. What is it of? What bone? The right fibula. Right fibula. Okay. Yeah. Good PMS, good motion, good sensation. Pains like 5 out of 10 right now. Is he helmeted? I don't believe so. Okay. Okay. And, okay. You had vitals, like you mentioned? Yeah, blood pressure currently 143 over 78. Pulse is 80. Okay. And stats are 90% down in room air. 90%. GF? 15. 15, okay. All right. Any other complaints, neck pain, abdominal pain, loss of consciousness, anything? Nothing like that at all. Had a little slight nausea after he got loaded up and started. He's doing okay. So we got split it with a nice pack, and it's kind of helped to just stay in a little bit. Okay. And you mentioned he was in ATV off rollover? Correct. It was a side-by-side ATV. How old is he? 15. 15. Okay. How far out are you? Just like 20, 25 months. 20 months. Okay. We'll be on the lookout. All right. Thanks. Bye. Thank you. Bye. Bye. Bye.</t>
  </si>
  <si>
    <t>15-year-old male with an open compound fracture. The right fibula.  blood pressure currently 143 over 78. Pulse is 80. stats are 90% down in room air. 90%. GF? 15.</t>
  </si>
  <si>
    <t>L2, 15y/o, Vitals(BP 143/78, HR 80, RR 20), GCS:15, MOI(ATV or Motorcycle), rollover no helmet, open fx R LE, ETA:20 min</t>
  </si>
  <si>
    <t>The transcript describes the patient being in a side-by-side ATV that flipped over, leading to his injuries.</t>
  </si>
  <si>
    <t>['Pulse is 80']</t>
  </si>
  <si>
    <t>['blood pressure currently 143 over 78']</t>
  </si>
  <si>
    <t>['Nothing like that at all', "He's doing okay"]</t>
  </si>
  <si>
    <t>Jones here, Dr. Chadda. Hi, Dr. Chadda. This is Jeff Medick with Twin City. I was calling ahead to you, and I'm bringing in a [REDACTED] with an open compound fracture. Ah, what happened? So he was passing through in a side-by-side ATV when it flipped over, and when he fell out of it, the ATV tipped over to roll bar, came down on his right leg. He has obvious crepitus, and there's a small hole, some slight bleeding, so that's why we're calling it open. There's no bone sticking out or anything like that. What is it of? What bone? The right fibula. Right fibula. Okay. Yeah. Good PMS, good motion, good sensation. Pains like 5 out of 10 right now. Is he helmeted? I don't believe so. Okay. Okay. And, okay. You had vitals, like you mentioned? Yeah, blood pressure currently 143 over 78. Pulse is 80. Okay. And stats are 90% down in room air. 90%. GF? [REDACTED]. [REDACTED], okay. All right. Any other complaints, neck pain, abdominal pain, loss of consciousness, anything? Nothing like that at all. Had a little slight nausea after he got loaded up and started. He's doing okay. So we got split it with a nice pack, and it's kind of helped to just stay in a little bit. Okay. And you mentioned he was in ATV off rollover? Correct. It was a side-by-side ATV. How old is he? [REDACTED]. [REDACTED]. Okay. How far out are you? Just like 20, 25 months. 20 months. Okay. We'll be on the lookout. All right. Thanks. Bye. Thank you. Bye. Bye. Bye.</t>
  </si>
  <si>
    <t>Jones here, Dr. Chadda. Hi, Dr. Chadda. This is Jeff Medick with Twin City. I was calling ahead to you, and I'm bringing in a 15-year-old male with an open compound fracture. Ah, what happened? So he was passing through in a side-by-side ATV when it flipped over, and when he fell out of it, the ATV tipped over to roll bar, came down on his right leg. He has obvious crepitus, and there's a small hole, some slight bleeding, so that's why we're calling it open. There's no bone sticking out or anything like that. What is it of? What bone? The right fibula. Right fibula. Okay. Yeah. Good PMS, good motion, good sensation. Pains like 5 out of 10 right now. Is he helmeted? I don't believe so. Okay. Okay. And, okay. You had vitals, like you mentioned? Yeah, blood pressure currently 143 over 78. [REDACTED]. Okay. And stats are 90% down in room air. 90%. GF? 15. 15, okay. All right. Any other complaints, neck pain, abdominal pain, loss of consciousness, anything? Nothing like that at all. Had a little slight nausea after he got loaded up and started. He's doing okay. So we got split it with a nice pack, and it's kind of helped to just stay in a little bit. Okay. And you mentioned he was in ATV off rollover? Correct. It was a side-by-side ATV. How old is he? 15. 15. Okay. How far out are you? Just like 20, 25 months. 20 months. Okay. We'll be on the lookout. All right. Thanks. Bye. Thank you. Bye. Bye. Bye.</t>
  </si>
  <si>
    <t>Jones here, Dr. Chadda. Hi, Dr. Chadda. This is Jeff Medick with Twin City. I was calling ahead to you, and I'm bringing in a 15-year-old male with an open compound fracture. Ah, what happened? So he was passing through in a side-by-side ATV when it flipped over, and when he fell out of it, the ATV tipped over to roll bar, came down on his right leg. He has obvious crepitus, and there's a small hole, some slight bleeding, so that's why we're calling it open. There's no bone sticking out or anything like that. What is it of? What bone? The right fibula. Right fibula. Okay. Yeah. Good PMS, good motion, good sensation. Pains like 5 out of 10 right now. Is he helmeted? I don't believe so. Okay. Okay. And, okay. You had vitals, like you mentioned? Yeah, [REDACTED]. Pulse is 80. Okay. And stats are 90% down in room air. 90%. GF? 15. 15, okay. All right. Any other complaints, neck pain, abdominal pain, loss of consciousness, anything? Nothing like that at all. Had a little slight nausea after he got loaded up and started. He's doing okay. So we got split it with a nice pack, and it's kind of helped to just stay in a little bit. Okay. And you mentioned he was in ATV off rollover? Correct. It was a side-by-side ATV. How old is he? 15. 15. Okay. How far out are you? Just like 20, 25 months. 20 months. Okay. We'll be on the lookout. All right. Thanks. Bye. Thank you. Bye. Bye. Bye.</t>
  </si>
  <si>
    <t>Jones here, Dr. Chadda. Hi, Dr. Chadda. This is Jeff Medick with Twin City. I was calling ahead to you, and I'm bringing in a 15-year-old male with an open compound fracture. Ah, what happened? So he was passing through in a side-by-side ATV when it flipped over, and when he fell out of it, the ATV tipped over to roll bar, came down on his right leg. He has obvious crepitus, and there's a small hole, some slight bleeding, so that's why we're calling it open. There's no bone sticking out or anything like that. What is it of? What bone? The right fibula. Right fibula. Okay. Yeah. Good PMS, good motion, good sensation. Pains like 5 out of 10 right now. Is he helmeted? I don't believe so. Okay. Okay. And, okay. You had vitals, like you mentioned? Yeah, blood pressure currently 143 over 78. Pulse is 80. Okay. And stats are 90% down in room air. 90%. GF? 15. 15, okay. All right. Any other complaints, neck pain, abdominal pain, loss of consciousness, anything? [REDACTED]. Had a little slight nausea after he got loaded up and started. [REDACTED]. So we got split it with a nice pack, and it's kind of helped to just stay in a little bit. Okay. And you mentioned he was in ATV off rollover? Correct. It was a side-by-side ATV. How old is he? 15. 15. Okay. How far out are you? Just like 20, 25 months. 20 months. Okay. We'll be on the lookout. All right. Thanks. Bye. Thank you. Bye. Bye. Bye.</t>
  </si>
  <si>
    <t>Edie, this is Dr. Vareto. Hi, this is Vareto with TwinCity. What's going on? I have a 13-year-old female who was hit by a car. Hit by a car? Okay. Yes. The business actually had a video of it. Okay. She was crossing the street when the car came. She hit the side of it, and you can see that she rolled, and she was unconscious for a period of time. Okay. So she has no, like, she didn't tell us her name or anything, and she keeps repeating herself. So, and she has a deformity on her left collarbone. Okay. Can I get her vitals? Heart rate's 106. BP is 125 over 73, and she's 100% on room air. And respiratory rate? Respiratory rate is 20. And GCS? She's confused right now. Confused? So maybe 14? 14, yeah. Okay. She's following commands and everything. She just keeps confused. Like, she couldn't even spell her name right. Okay. Okay. Okay. What's your ETA? Probably about 13 minutes. 13 minutes. Okay. We'll see you when you get here. Thank you. All right. Thank you. Thanks. Thanks. Thanks.</t>
  </si>
  <si>
    <t>13-year-old female who was hit by a car. she was unconscious for a period of time.  she has a deformity on her left collarbone.   Heart rate's 106. BP is 125 over 73, and she's 100% on room air. Respiratory rate is 20. And GCS? 14,</t>
  </si>
  <si>
    <t>L2, 13y/o, Vitals(BP 105/73, HR 106, RR 20), GCS:14, MOI(Ped Vs Car), hit by car while crossing street LOC, now confused, ETA:10 min</t>
  </si>
  <si>
    <t>The transcript explicitly states that the 13-year-old female was hit by a car while crossing the street.</t>
  </si>
  <si>
    <t>["Heart rate's 106"]</t>
  </si>
  <si>
    <t>['BP is 125 over 73']</t>
  </si>
  <si>
    <t>['Respiratory rate is 20']</t>
  </si>
  <si>
    <t>Edie, this is Dr. Vareto. Hi, this is Vareto with TwinCity. What's going on? I have a [REDACTED] who was hit by a car. Hit by a car? Okay. Yes. The business actually had a video of it. Okay. She was crossing the street when the car came. She hit the side of it, and you can see that she rolled, and she was unconscious for a period of time. Okay. So she has no, like, she didn't tell us her name or anything, and she keeps repeating herself. So, and she has a deformity on her left collarbone. Okay. Can I get her vitals? Heart rate's 106. BP is 125 over 73, and she's 100% on room air. And respiratory rate? Respiratory rate is 20. And GCS? She's confused right now. Confused? So maybe 14? 14, yeah. Okay. She's following commands and everything. She just keeps confused. Like, she couldn't even spell her name right. Okay. Okay. Okay. What's your ETA? Probably about 13 minutes. 13 minutes. Okay. We'll see you when you get here. Thank you. All right. Thank you. Thanks. Thanks. Thanks.</t>
  </si>
  <si>
    <t>Edie, this is Dr. Vareto. Hi, this is Vareto with TwinCity. What's going on? I have a 13-year-old female who was hit by a car. Hit by a car? Okay. Yes. The business actually had a video of it. Okay. She was crossing the street when the car came. She hit the side of it, and you can see that she rolled, and she was unconscious for a period of time. Okay. So she has no, like, she didn't tell us her name or anything, and she keeps repeating herself. So, and she has a deformity on her left collarbone. Okay. Can I get her vitals? [REDACTED]. BP is 125 over 73, and she's 100% on room air. And respiratory rate? Respiratory rate is 20. And GCS? She's confused right now. Confused? So maybe 14? 14, yeah. Okay. She's following commands and everything. She just keeps confused. Like, she couldn't even spell her name right. Okay. Okay. Okay. What's your ETA? Probably about 13 minutes. 13 minutes. Okay. We'll see you when you get here. Thank you. All right. Thank you. Thanks. Thanks. Thanks.</t>
  </si>
  <si>
    <t>Edie, this is Dr. Vareto. Hi, this is Vareto with TwinCity. What's going on? I have a 13-year-old female who was hit by a car. Hit by a car? Okay. Yes. The business actually had a video of it. Okay. She was crossing the street when the car came. She hit the side of it, and you can see that she rolled, and she was unconscious for a period of time. Okay. So she has no, like, she didn't tell us her name or anything, and she keeps repeating herself. So, and she has a deformity on her left collarbone. Okay. Can I get her vitals? Heart rate's 106. [REDACTED], and she's 100% on room air. And respiratory rate? Respiratory rate is 20. And GCS? She's confused right now. Confused? So maybe 14? 14, yeah. Okay. She's following commands and everything. She just keeps confused. Like, she couldn't even spell her name right. Okay. Okay. Okay. What's your ETA? Probably about 13 minutes. 13 minutes. Okay. We'll see you when you get here. Thank you. All right. Thank you. Thanks. Thanks. Thanks.</t>
  </si>
  <si>
    <t>Edie, this is Dr. Vareto. Hi, this is Vareto with TwinCity. What's going on? I have a 13-year-old female who was hit by a car. Hit by a car? Okay. Yes. The business actually had a video of it. Okay. She was crossing the street when the car came. She hit the side of it, and you can see that she rolled, and she was unconscious for a period of time. Okay. So she has no, like, she didn't tell us her name or anything, and she keeps repeating herself. So, and she has a deformity on her left collarbone. Okay. Can I get her vitals? Heart rate's 106. BP is 125 over 73, and she's 100% on room air. And respiratory rate? [REDACTED]. And GCS? She's confused right now. Confused? So maybe 14? 14, yeah. Okay. She's following commands and everything. She just keeps confused. Like, she couldn't even spell her name right. Okay. Okay. Okay. What's your ETA? Probably about 13 minutes. 13 minutes. Okay. We'll see you when you get here. Thank you. All right. Thank you. Thanks. Thanks. Thanks.</t>
  </si>
  <si>
    <t>Hey, it's Ryan. Hey, it's Jeff Abbott with the Mercy Flight. I just took this kid. Okay. You want TXA on him or anything? We gave him 80 a rock at 150 a ketamine. 80 a rock, 150K. What's the vitals? 152. 152 over 92. Sat at 96. And title is 62 right now and a heart rate of 136. I took a quick look with VL, but it was kind of the bougie was just jamming up, so I pulled right out and went right DL on the first pass. What's that, Sue? Seven. All right. How far away are you? Probably about 140 pounds. Give us about 25 by the time we get spun up. 25 minutes? Yeah. Any other obvious injuries? No, I don't see any. It just looks like head. He was snoring pretty bad and desanding into the 80s. Okay. Even though he has a head injury, I went and put a nasal airway in, but I pulled it right away because he was kind of grunting and stuff. That's fine. I think it was a quench. You could hold off on him, man. Just keep him sedated. I would try to don't do any more ketamine. You can give him fentanyl and Versed if you need. Yeah, that's where I would go. I'd go fentanyl and Versed. That's fine. Or Procofol. Do you want TXA? No, you could hold off. Go ahead. You could hold off. That's fine. Okay. Hold off on it. All right. Thanks, guys. All right. Thanks, guys. See you in a bit.</t>
  </si>
  <si>
    <t>We gave him 80 a rock at 150 a ketamine. 80 a rock, 150K. What's the vitals? 152. 152 over 92. Sat at 96. And title is 62 right now and a heart rate of 136.</t>
  </si>
  <si>
    <t>L1, 14y/o, Vitals(BP 152/92, HR 115, RR [??]), GCS:3, MOI(ATV or Motorcycle), motor bike accident. pt was solmulent-&gt; intubated at scene., Blunt trauma:Head, ETA:20 min</t>
  </si>
  <si>
    <t>The transcript does not provide specific details about how the head injury occurred.</t>
  </si>
  <si>
    <t>['this kid']</t>
  </si>
  <si>
    <t>['heart rate of 136']</t>
  </si>
  <si>
    <t>['152 over 92']</t>
  </si>
  <si>
    <t>['head injury']</t>
  </si>
  <si>
    <t>Hey, it's Ryan. Hey, it's Jeff Abbott with the Mercy Flight. I just took [REDACTED]. Okay. You want TXA on him or anything? We gave him 80 a rock at 150 a ketamine. 80 a rock, 150K. What's the vitals? 152. 152 over 92. Sat at 96. And title is 62 right now and a heart rate of 136. I took a quick look with VL, but it was kind of the bougie was just jamming up, so I pulled right out and went right DL on the first pass. What's that, Sue? Seven. All right. How far away are you? Probably about 140 pounds. Give us about 25 by the time we get spun up. 25 minutes? Yeah. Any other obvious injuries? No, I don't see any. It just looks like head. He was snoring pretty bad and desanding into the 80s. Okay. Even though he has a head injury, I went and put a nasal airway in, but I pulled it right away because he was kind of grunting and stuff. That's fine. I think it was a quench. You could hold off on him, man. Just keep him sedated. I would try to don't do any more ketamine. You can give him fentanyl and Versed if you need. Yeah, that's where I would go. I'd go fentanyl and Versed. That's fine. Or Procofol. Do you want TXA? No, you could hold off. Go ahead. You could hold off. That's fine. Okay. Hold off on it. All right. Thanks, guys. All right. Thanks, guys. See you in a bit.</t>
  </si>
  <si>
    <t>Hey, it's Ryan. Hey, it's Jeff Abbott with the Mercy Flight. I just took this kid. Okay. You want TXA on him or anything? We gave him 80 a rock at 150 a ketamine. 80 a rock, 150K. What's the vitals? 152. 152 over 92. Sat at 96. And title is 62 right now and a [REDACTED]. I took a quick look with VL, but it was kind of the bougie was just jamming up, so I pulled right out and went right DL on the first pass. What's that, Sue? Seven. All right. How far away are you? Probably about 140 pounds. Give us about 25 by the time we get spun up. 25 minutes? Yeah. Any other obvious injuries? No, I don't see any. It just looks like head. He was snoring pretty bad and desanding into the 80s. Okay. Even though he has a head injury, I went and put a nasal airway in, but I pulled it right away because he was kind of grunting and stuff. That's fine. I think it was a quench. You could hold off on him, man. Just keep him sedated. I would try to don't do any more ketamine. You can give him fentanyl and Versed if you need. Yeah, that's where I would go. I'd go fentanyl and Versed. That's fine. Or Procofol. Do you want TXA? No, you could hold off. Go ahead. You could hold off. That's fine. Okay. Hold off on it. All right. Thanks, guys. All right. Thanks, guys. See you in a bit.</t>
  </si>
  <si>
    <t>Hey, it's Ryan. Hey, it's Jeff Abbott with the Mercy Flight. I just took this kid. Okay. You want TXA on him or anything? We gave him 80 a rock at 150 a ketamine. 80 a rock, 150K. What's the vitals? 152. [REDACTED]. Sat at 96. And title is 62 right now and a heart rate of 136. I took a quick look with VL, but it was kind of the bougie was just jamming up, so I pulled right out and went right DL on the first pass. What's that, Sue? Seven. All right. How far away are you? Probably about 140 pounds. Give us about 25 by the time we get spun up. 25 minutes? Yeah. Any other obvious injuries? No, I don't see any. It just looks like head. He was snoring pretty bad and desanding into the 80s. Okay. Even though he has a head injury, I went and put a nasal airway in, but I pulled it right away because he was kind of grunting and stuff. That's fine. I think it was a quench. You could hold off on him, man. Just keep him sedated. I would try to don't do any more ketamine. You can give him fentanyl and Versed if you need. Yeah, that's where I would go. I'd go fentanyl and Versed. That's fine. Or Procofol. Do you want TXA? No, you could hold off. Go ahead. You could hold off. That's fine. Okay. Hold off on it. All right. Thanks, guys. All right. Thanks, guys. See you in a bit.</t>
  </si>
  <si>
    <t>Hey, it's Ryan. Hey, it's Jeff Abbott with the Mercy Flight. I just took this kid. Okay. You want TXA on him or anything? We gave him 80 a rock at 150 a ketamine. 80 a rock, 150K. What's the vitals? 152. 152 over 92. Sat at 96. And title is 62 right now and a heart rate of 136. I took a quick look with VL, but it was kind of the bougie was just jamming up, so I pulled right out and went right DL on the first pass. What's that, Sue? Seven. All right. How far away are you? Probably about 140 pounds. Give us about 25 by the time we get spun up. 25 minutes? Yeah. Any other obvious injuries? No, I don't see any. It just looks like head. He was snoring pretty bad and desanding into the 80s. Okay. Even though he has a [REDACTED], I went and put a nasal airway in, but I pulled it right away because he was kind of grunting and stuff. That's fine. I think it was a quench. You could hold off on him, man. Just keep him sedated. I would try to don't do any more ketamine. You can give him fentanyl and Versed if you need. Yeah, that's where I would go. I'd go fentanyl and Versed. That's fine. Or Procofol. Do you want TXA? No, you could hold off. Go ahead. You could hold off. That's fine. Okay. Hold off on it. All right. Thanks, guys. All right. Thanks, guys. See you in a bit.</t>
  </si>
  <si>
    <t>OSHAI emergency room, this is Dr. DePalma. Hi, Doctor. This is Ryan in Paramedics and AMR. I'm approximately 10 to 12 out with a 15-year-old male involved in an NDA on the 33. Significant MOI going about 65 miles an hour. Complaining of hip pain. Complaining of wrist pain, hip pain. He does have a laceration on the back of his head. And you didn't lose consciousness, right? No. No loss of consciousness. Did the airbags deploy and all that? Airbags? The car was on fire. The car was on fire? Yes. He got out before it was on fire, but the car was on fire when he got there. Was he able to walk at all after this? He was standing when I got to him, but he self-executed. Was he the driver or no? He was passenger. Brother was driving, brother's uninjured. Oh, wow. All right. And you said you're how far out? We're about, what, 10 out, Allie? 10. Would you say... We're about six to seven. 15, which is very agitated. You have one pressure is 134, 91, 99% 109 for the heart rate. I'm working on splitting the wrist right now. Do you have a respiratory rate for me? Yeah, about 20, 22. 20 to 22. All right. We will see you soon. Are we going just right into the trauma room? Yeah, we'll probably go to the trauma room. Yeah, thank you. Okay, thank you. All right, bye.</t>
  </si>
  <si>
    <t>15-year-old male involved in an NDA going about 65 miles an hour. Complaining of wrist pain, hip pain. He does have a laceration on the back of his head. pressure is 134, 91, 99% 109 for the heart rate. about 20, 22.</t>
  </si>
  <si>
    <t>L2, 15y/o, Vitals(BP 134/91, HR 109, RR 22), GCS:15, MOI(MVC), passenger, going 65mph, car started on fire, ETA:6 min</t>
  </si>
  <si>
    <t>NDA on the 33 at 65 miles an hour</t>
  </si>
  <si>
    <t>The transcript mentions a "15-year-old male involved in an NDA on the 33" with significant MOI at 65 miles an hour.</t>
  </si>
  <si>
    <t>['109 for the heart rate']</t>
  </si>
  <si>
    <t>['one pressure is 134, 91']</t>
  </si>
  <si>
    <t>['about 20, 22', '20 to 22']</t>
  </si>
  <si>
    <t>OSHAI emergency room, this is Dr. DePalma. Hi, Doctor. This is Ryan in Paramedics and AMR. I'm approximately 10 to 12 out with a [REDACTED] involved in an NDA on the 33. Significant MOI going about 65 miles an hour. Complaining of hip pain. Complaining of wrist pain, hip pain. He does have a laceration on the back of his head. And you didn't lose consciousness, right? No. No loss of consciousness. Did the airbags deploy and all that? Airbags? The car was on fire. The car was on fire? Yes. He got out before it was on fire, but the car was on fire when he got there. Was he able to walk at all after this? He was standing when I got to him, but he self-executed. Was he the driver or no? He was passenger. Brother was driving, brother's uninjured. Oh, wow. All right. And you said you're how far out? We're about, what, 10 out, Allie? 10. Would you say... We're about six to seven. 15, which is very agitated. You have one pressure is 134, 91, 99% 109 for the heart rate. I'm working on splitting the wrist right now. Do you have a respiratory rate for me? Yeah, about 20, 22. 20 to 22. All right. We will see you soon. Are we going just right into the trauma room? Yeah, we'll probably go to the trauma room. Yeah, thank you. Okay, thank you. All right, bye.</t>
  </si>
  <si>
    <t>OSHAI emergency room, this is Dr. DePalma. Hi, Doctor. This is Ryan in Paramedics and AMR. I'm approximately 10 to 12 out with a 15-year-old male involved in an NDA on the 33. Significant MOI going about 65 miles an hour. Complaining of hip pain. Complaining of wrist pain, hip pain. He does have a laceration on the back of his head. And you didn't lose consciousness, right? No. No loss of consciousness. Did the airbags deploy and all that? Airbags? The car was on fire. The car was on fire? Yes. He got out before it was on fire, but the car was on fire when he got there. Was he able to walk at all after this? He was standing when I got to him, but he self-executed. Was he the driver or no? He was passenger. Brother was driving, brother's uninjured. Oh, wow. All right. And you said you're how far out? We're about, what, 10 out, Allie? 10. Would you say... We're about six to seven. 15, which is very agitated. You have one pressure is 134, 91, 99% [REDACTED]. I'm working on splitting the wrist right now. Do you have a respiratory rate for me? Yeah, about 20, 22. 20 to 22. All right. We will see you soon. Are we going just right into the trauma room? Yeah, we'll probably go to the trauma room. Yeah, thank you. Okay, thank you. All right, bye.</t>
  </si>
  <si>
    <t>OSHAI emergency room, this is Dr. DePalma. Hi, Doctor. This is Ryan in Paramedics and AMR. I'm approximately 10 to 12 out with a 15-year-old male involved in an NDA on the 33. Significant MOI going about 65 miles an hour. Complaining of hip pain. Complaining of wrist pain, hip pain. He does have a laceration on the back of his head. And you didn't lose consciousness, right? No. No loss of consciousness. Did the airbags deploy and all that? Airbags? The car was on fire. The car was on fire? Yes. He got out before it was on fire, but the car was on fire when he got there. Was he able to walk at all after this? He was standing when I got to him, but he self-executed. Was he the driver or no? He was passenger. Brother was driving, brother's uninjured. Oh, wow. All right. And you said you're how far out? We're about, what, 10 out, Allie? 10. Would you say... We're about six to seven. 15, which is very agitated. You have [REDACTED], 99% 109 for the heart rate. I'm working on splitting the wrist right now. Do you have a respiratory rate for me? Yeah, about 20, 22. 20 to 22. All right. We will see you soon. Are we going just right into the trauma room? Yeah, we'll probably go to the trauma room. Yeah, thank you. Okay, thank you. All right, bye.</t>
  </si>
  <si>
    <t>OSHAI emergency room, this is Dr. DePalma. Hi, Doctor. This is Ryan in Paramedics and AMR. I'm approximately 10 to 12 out with a 15-year-old male involved in an NDA on the 33. Significant MOI going about 65 miles an hour. Complaining of hip pain. Complaining of wrist pain, hip pain. He does have a laceration on the back of his head. And you didn't lose consciousness, right? No. No loss of consciousness. Did the airbags deploy and all that? Airbags? The car was on fire. The car was on fire? Yes. He got out before it was on fire, but the car was on fire when he got there. Was he able to walk at all after this? He was standing when I got to him, but he self-executed. Was he the driver or no? He was passenger. Brother was driving, brother's uninjured. Oh, wow. All right. And you said you're how far out? We're about, what, 10 out, Allie? 10. Would you say... We're about six to seven. 15, which is very agitated. You have one pressure is 134, 91, 99% 109 for the heart rate. I'm working on splitting the wrist right now. Do you have a respiratory rate for me? Yeah, [REDACTED]. [REDACTED]. All right. We will see you soon. Are we going just right into the trauma room? Yeah, we'll probably go to the trauma room. Yeah, thank you. Okay, thank you. All right, bye.</t>
  </si>
  <si>
    <t>Hi, it's Dr. Hall, PZD. Hi, how are you? I'm Supervisor 942 for AMR. I'm going to have Truck 549 coming over to you guys with a 15-year-old gunshot victim, one to the upper left chest with what looks like an exit wound. They have it plugged up with an occlusive dressing. They're called up with some further vitals and everything. Just wondering if you guys want to just start TXA. I don't know what the pediatric dose would be for TXA. Gotcha. Where are you guys coming from? We just got a police call about this. Chico, Oaxaca. The same one. Okay, from Chico, Oaxaca. Yes. Probably the same one. How far out are they? Do you know? They'll be leaving here in about five, I would say 15 minutes, 20 at most. Okay. Do you have any vitals on this patient? Let me double check. I can probably get that from you from side to side. 143 for the heart rate. We're cycling the pressure now. 92 or 40 for the initial one. GCS, let's call it 14, maybe 13. He's kind of coming in and out of it a little bit. Okay. All right. Are you guys giving anything in route? So we've got fluids going via 16. Do you want TXA? Do you want TXA for him? Is he like actively exsanguinating? Hello? Can you hear me? Yeah. Is he actively like exsanguinating or is the bleeding well controlled? Bleeding's controlled with the occlusive dressings. I just don't know about anything internally. You should be able to hold off on TXA if you guys are five minutes out. 15 to 20. Oh, sorry. I thought you said five. Yeah. Hold on one second. Let me just double check with my supervisor. Where did he go? Stop. Anyone? What's his T-mass? They want to know if they should get TXA. They want to know if they want to do it in route. He said he's not actively doing that from the outside. He said you can hold off. Yeah, we're okay. Okay. All right. No problem. All right. See you in a little bit. Thank you. Bye. Bye. Bye.</t>
  </si>
  <si>
    <t>15-year-old gunshot victim, one to the upper left chest with what looks like an exit wound. 143 for the heart rate. 92 or 40 for the initial one. GCS, let's call it 14, maybe 13. Bleeding's controlled with the occlusive dressings.</t>
  </si>
  <si>
    <t>L1, 13y/o, Vitals(BP [??]/[??], HR [??], RR [??]), GCS:00, MOI(GSW), shot in chest through back, unk age., GSW:Chest, ETA:5 min</t>
  </si>
  <si>
    <t>GSW to upper left chest</t>
  </si>
  <si>
    <t>The transcript mentions a 15-year-old gunshot victim with a wound to the upper left chest.</t>
  </si>
  <si>
    <t>['143 for the heart rate']</t>
  </si>
  <si>
    <t>['92 or 40 for the initial one']</t>
  </si>
  <si>
    <t>["he's kind of coming in and out of it a little bit"]</t>
  </si>
  <si>
    <t>Hi, it's Dr. Hall, PZD. Hi, how are you? I'm Supervisor 942 for AMR. I'm going to have Truck 549 coming over to you guys with a [REDACTED] gunshot victim, one to the upper left chest with what looks like an exit wound. They have it plugged up with an occlusive dressing. They're called up with some further vitals and everything. Just wondering if you guys want to just start TXA. I don't know what the pediatric dose would be for TXA. Gotcha. Where are you guys coming from? We just got a police call about this. Chico, Oaxaca. The same one. Okay, from Chico, Oaxaca. Yes. Probably the same one. How far out are they? Do you know? They'll be leaving here in about five, I would say 15 minutes, 20 at most. Okay. Do you have any vitals on this patient? Let me double check. I can probably get that from you from side to side. 143 for the heart rate. We're cycling the pressure now. 92 or 40 for the initial one. GCS, let's call it 14, maybe 13. He's kind of coming in and out of it a little bit. Okay. All right. Are you guys giving anything in route? So we've got fluids going via 16. Do you want TXA? Do you want TXA for him? Is he like actively exsanguinating? Hello? Can you hear me? Yeah. Is he actively like exsanguinating or is the bleeding well controlled? Bleeding's controlled with the occlusive dressings. I just don't know about anything internally. You should be able to hold off on TXA if you guys are five minutes out. 15 to 20. Oh, sorry. I thought you said five. Yeah. Hold on one second. Let me just double check with my supervisor. Where did he go? Stop. Anyone? What's his T-mass? They want to know if they should get TXA. They want to know if they want to do it in route. He said he's not actively doing that from the outside. He said you can hold off. Yeah, we're okay. Okay. All right. No problem. All right. See you in a little bit. Thank you. Bye. Bye. Bye.</t>
  </si>
  <si>
    <t>Hi, it's Dr. Hall, PZD. Hi, how are you? I'm Supervisor 942 for AMR. I'm going to have Truck 549 coming over to you guys with a 15-year-old gunshot victim, one to the upper left chest with what looks like an exit wound. They have it plugged up with an occlusive dressing. They're called up with some further vitals and everything. Just wondering if you guys want to just start TXA. I don't know what the pediatric dose would be for TXA. Gotcha. Where are you guys coming from? We just got a police call about this. Chico, Oaxaca. The same one. Okay, from Chico, Oaxaca. Yes. Probably the same one. How far out are they? Do you know? They'll be leaving here in about five, I would say 15 minutes, 20 at most. Okay. Do you have any vitals on this patient? Let me double check. I can probably get that from you from side to side. [REDACTED]. We're cycling the pressure now. 92 or 40 for the initial one. GCS, let's call it 14, maybe 13. He's kind of coming in and out of it a little bit. Okay. All right. Are you guys giving anything in route? So we've got fluids going via 16. Do you want TXA? Do you want TXA for him? Is he like actively exsanguinating? Hello? Can you hear me? Yeah. Is he actively like exsanguinating or is the bleeding well controlled? Bleeding's controlled with the occlusive dressings. I just don't know about anything internally. You should be able to hold off on TXA if you guys are five minutes out. 15 to 20. Oh, sorry. I thought you said five. Yeah. Hold on one second. Let me just double check with my supervisor. Where did he go? Stop. Anyone? What's his T-mass? They want to know if they should get TXA. They want to know if they want to do it in route. He said he's not actively doing that from the outside. He said you can hold off. Yeah, we're okay. Okay. All right. No problem. All right. See you in a little bit. Thank you. Bye. Bye. Bye.</t>
  </si>
  <si>
    <t>Hi, it's Dr. Hall, PZD. Hi, how are you? I'm Supervisor 942 for AMR. I'm going to have Truck 549 coming over to you guys with a 15-year-old gunshot victim, one to the upper left chest with what looks like an exit wound. They have it plugged up with an occlusive dressing. They're called up with some further vitals and everything. Just wondering if you guys want to just start TXA. I don't know what the pediatric dose would be for TXA. Gotcha. Where are you guys coming from? We just got a police call about this. Chico, Oaxaca. The same one. Okay, from Chico, Oaxaca. Yes. Probably the same one. How far out are they? Do you know? They'll be leaving here in about five, I would say 15 minutes, 20 at most. Okay. Do you have any vitals on this patient? Let me double check. I can probably get that from you from side to side. 143 for the heart rate. We're cycling the pressure now. [REDACTED]. GCS, let's call it 14, maybe 13. He's kind of coming in and out of it a little bit. Okay. All right. Are you guys giving anything in route? So we've got fluids going via 16. Do you want TXA? Do you want TXA for him? Is he like actively exsanguinating? Hello? Can you hear me? Yeah. Is he actively like exsanguinating or is the bleeding well controlled? Bleeding's controlled with the occlusive dressings. I just don't know about anything internally. You should be able to hold off on TXA if you guys are five minutes out. 15 to 20. Oh, sorry. I thought you said five. Yeah. Hold on one second. Let me just double check with my supervisor. Where did he go? Stop. Anyone? What's his T-mass? They want to know if they should get TXA. They want to know if they want to do it in route. He said he's not actively doing that from the outside. He said you can hold off. Yeah, we're okay. Okay. All right. No problem. All right. See you in a little bit. Thank you. Bye. Bye. Bye.</t>
  </si>
  <si>
    <t>Hi, it's Dr. Hall, PZD. Hi, how are you? I'm Supervisor 942 for AMR. I'm going to have Truck 549 coming over to you guys with a 15-year-old [REDACTED], [REDACTED]. They have it plugged up with an occlusive dressing. They're called up with some further vitals and everything. Just wondering if you guys want to just start TXA. I don't know what the pediatric dose would be for TXA. Gotcha. Where are you guys coming from? We just got a police call about this. Chico, Oaxaca. The same one. Okay, from Chico, Oaxaca. Yes. Probably the same one. How far out are they? Do you know? They'll be leaving here in about five, I would say 15 minutes, 20 at most. Okay. Do you have any vitals on this patient? Let me double check. I can probably get that from you from side to side. 143 for the heart rate. We're cycling the pressure now. 92 or 40 for the initial one. GCS, let's call it 14, maybe 13. He's kind of coming in and out of it a little bit. Okay. All right. Are you guys giving anything in route? So we've got fluids going via 16. Do you want TXA? Do you want TXA for him? Is he like actively exsanguinating? Hello? Can you hear me? Yeah. Is he actively like exsanguinating or is the bleeding well controlled? Bleeding's controlled with the occlusive dressings. I just don't know about anything internally. You should be able to hold off on TXA if you guys are five minutes out. 15 to 20. Oh, sorry. I thought you said five. Yeah. Hold on one second. Let me just double check with my supervisor. Where did he go? Stop. Anyone? What's his T-mass? They want to know if they should get TXA. They want to know if they want to do it in route. He said he's not actively doing that from the outside. He said you can hold off. Yeah, we're okay. Okay. All right. No problem. All right. See you in a little bit. Thank you. Bye. Bye. Bye.</t>
  </si>
  <si>
    <t>Hi, Doc. It's Bob on Medicaid 82. I'm just giving you an early trauma alert. Okay. I got a approximately 15-year-old male who was the operator of a side-by-side, not restrained, no helmet, went off the road, rolled it over like four times. He and his two friends were both ultimately ejected. He's got a significant head injury. He's combative. He's got a laceration on his cheek, abrasions on his opposite cheek and his jaw. Not really responsive very much. He's screaming and doesn't listen to us at all. He's had two previous lower arm fractures because he's had casts, but the right side looks like it's broke above it. Chest is good. Belly's good. Pelvis looks good. Caden, relax. Caden, relax. What would you say to him? I would say maybe 10, 11. Okay. Is he opening his eyes for you at all? Occasionally. Okay. Is he drawing to pain at all? Yes, that he will do. But he's not, like, making any purposeful noises or anything? No, no. All right. Sorry, what other vitals? 166 over 98. Heart rate over 90. 103. Respiratory rate of 42. O2 sat right now. I got him on some O2, O2 sat 95 right now. Okay. We're going to be about 25 minutes to you. 25 minutes? Where are you guys coming from? Attica. Okay. So, like me? Oh, yeah. All right. We'll see you guys soon. All right. Thanks. Thanks. Bye.</t>
  </si>
  <si>
    <t>15-year-old male who was the operator of a side-by-side, not restrained, no helmet, went off the road, rolled it over like four times. ultimately ejected. significant head injury. opening his eyes for you at all? Occasionally. Is he drawing to pain at all? Yes,  making any purposeful noises or anything? No,</t>
  </si>
  <si>
    <t>L1, 15y/o, Vitals(BP 142/87, HR 87, RR 25), GCS:10, MOI(MVC), ATV roll over, pt at 2 passengers ejected, combative, altered, Ejection from Vehicle, *10 min out*-chest bruising noted, pronounced xyphoid, dec arousal, ETA:10 min</t>
  </si>
  <si>
    <t>Side-by-side vehicle rollover</t>
  </si>
  <si>
    <t>The transcript describes a 15-year-old male who was the operator of a side-by-side vehicle that rolled over four times.</t>
  </si>
  <si>
    <t>['approximately 15-year-old male']</t>
  </si>
  <si>
    <t>['Heart rate over 90', '103']</t>
  </si>
  <si>
    <t>['166 over 98']</t>
  </si>
  <si>
    <t>['Respiratory rate of 42']</t>
  </si>
  <si>
    <t>Hi, Doc. It's Bob on Medicaid 82. I'm just giving you an early trauma alert. Okay. I got a [REDACTED] who was the operator of a side-by-side, not restrained, no helmet, went off the road, rolled it over like four times. He and his two friends were both ultimately ejected. He's got a significant head injury. He's combative. He's got a laceration on his cheek, abrasions on his opposite cheek and his jaw. Not really responsive very much. He's screaming and doesn't listen to us at all. He's had two previous lower arm fractures because he's had casts, but the right side looks like it's broke above it. Chest is good. Belly's good. Pelvis looks good. Caden, relax. Caden, relax. What would you say to him? I would say maybe 10, 11. Okay. Is he opening his eyes for you at all? Occasionally. Okay. Is he drawing to pain at all? Yes, that he will do. But he's not, like, making any purposeful noises or anything? No, no. All right. Sorry, what other vitals? 166 over 98. Heart rate over 90. 103. Respiratory rate of 42. O2 sat right now. I got him on some O2, O2 sat 95 right now. Okay. We're going to be about 25 minutes to you. 25 minutes? Where are you guys coming from? Attica. Okay. So, like me? Oh, yeah. All right. We'll see you guys soon. All right. Thanks. Thanks. Bye.</t>
  </si>
  <si>
    <t>Hi, Doc. It's Bob on Medicaid 82. I'm just giving you an early trauma alert. Okay. I got a approximately 15-year-old male who was the operator of a side-by-side, not restrained, no helmet, went off the road, rolled it over like four times. He and his two friends were both ultimately ejected. He's got a significant head injury. He's combative. He's got a laceration on his cheek, abrasions on his opposite cheek and his jaw. Not really responsive very much. He's screaming and doesn't listen to us at all. He's had two previous lower arm fractures because he's had casts, but the right side looks like it's broke above it. Chest is good. Belly's good. Pelvis looks good. Caden, relax. Caden, relax. What would you say to him? I would say maybe 10, 11. Okay. Is he opening his eyes for you at all? Occasionally. Okay. Is he drawing to pain at all? Yes, that he will do. But he's not, like, making any purposeful noises or anything? No, no. All right. Sorry, what other vitals? 166 over 98. [REDACTED]. [REDACTED]. Respiratory rate of 42. O2 sat right now. I got him on some O2, O2 sat 95 right now. Okay. We're going to be about 25 minutes to you. 25 minutes? Where are you guys coming from? Attica. Okay. So, like me? Oh, yeah. All right. We'll see you guys soon. All right. Thanks. Thanks. Bye.</t>
  </si>
  <si>
    <t>Hi, Doc. It's Bob on Medicaid 82. I'm just giving you an early trauma alert. Okay. I got a approximately 15-year-old male who was the operator of a side-by-side, not restrained, no helmet, went off the road, rolled it over like four times. He and his two friends were both ultimately ejected. He's got a significant head injury. He's combative. He's got a laceration on his cheek, abrasions on his opposite cheek and his jaw. Not really responsive very much. He's screaming and doesn't listen to us at all. He's had two previous lower arm fractures because he's had casts, but the right side looks like it's broke above it. Chest is good. Belly's good. Pelvis looks good. Caden, relax. Caden, relax. What would you say to him? I would say maybe 10, 11. Okay. Is he opening his eyes for you at all? Occasionally. Okay. Is he drawing to pain at all? Yes, that he will do. But he's not, like, making any purposeful noises or anything? No, no. All right. Sorry, what other vitals? [REDACTED]. Heart rate over 90. 103. Respiratory rate of 42. O2 sat right now. I got him on some O2, O2 sat 95 right now. Okay. We're going to be about 25 minutes to you. 25 minutes? Where are you guys coming from? Attica. Okay. So, like me? Oh, yeah. All right. We'll see you guys soon. All right. Thanks. Thanks. Bye.</t>
  </si>
  <si>
    <t>Hi, Doc. It's Bob on Medicaid 82. I'm just giving you an early trauma alert. Okay. I got a approximately 15-year-old male who was the operator of a side-by-side, not restrained, no helmet, went off the road, rolled it over like four times. He and his two friends were both ultimately ejected. He's got a significant head injury. He's combative. He's got a laceration on his cheek, abrasions on his opposite cheek and his jaw. Not really responsive very much. He's screaming and doesn't listen to us at all. He's had two previous lower arm fractures because he's had casts, but the right side looks like it's broke above it. Chest is good. Belly's good. Pelvis looks good. Caden, relax. Caden, relax. What would you say to him? I would say maybe 10, 11. Okay. Is he opening his eyes for you at all? Occasionally. Okay. Is he drawing to pain at all? Yes, that he will do. But he's not, like, making any purposeful noises or anything? No, no. All right. Sorry, what other vitals? 166 over 98. Heart rate over 90. 103. [REDACTED]. O2 sat right now. I got him on some O2, O2 sat 95 right now. Okay. We're going to be about 25 minutes to you. 25 minutes? Where are you guys coming from? Attica. Okay. So, like me? Oh, yeah. All right. We'll see you guys soon. All right. Thanks. Thanks. Bye.</t>
  </si>
  <si>
    <t>Dr. Bowden, can I help you? How you doing? It's Chris Ford with Mercy Flight. Hey. Hey, how are you? We're coming up from Olean with that transfer from the ATV with a head injury. Just wanted to give you an update on it. We're about 20 minutes out. Okay. Do you have kind of the rundown? Did you kind of get the rundown on her? Yeah, subdural hematoma, pneumocephalus, skull, or orbital fracture. Yep. Yep. Looks like a pneumo as well. Left apical pneumo. So right now, so she got 500 of Kepa, 600 of Anstap. Well, let's see, 45 milligrams of ketamine while she's in ER total over about an hour, hour and a half. C-collars in place for us. She's been continuously sedated on ketamine, 1.5 mg per kg per hour, and she's been resting comfortably for us. She did have one episode en route of a pretty good amount of emesis for us. From what we heard, that was the first round of emesis that we had throughout the entire process. But she did have that for us. Most recent set of vitals, a heart rate of 85, 114. We're 68. End tidal, we have her on end tidal nasal cannula, 38. So the rest are at 31. Set at 100% on two liters. Other than that... Why is she on two liters? Was she hypoxic or anything? No. It's just we have her on because just because the end tidal nasal cannula, that's the most she was with it. Gotcha. Okay. Yep. I don't know if she, I don't believe she ever had any hypoxic episodes. So even when she was off it doing some swaps, she was still at 100. All right. Is she... Is she arousable? She was. She was very... For the staff, she was very agitated and confused. Anytime she would flail around, she wasn't sitting still. For us, she tries just to get up. She's not responsive and didn't really follow command. Although when we got to her, she was already pretty sedated with some ketamine. But when she'd kind of come out of it, she wouldn't sit still. So they had her continuously sedated. Okay. Is she getting continuous ketamine now? Yeah. Yep. 1.5 microkits per hour. All right. Yeah, I'd rather... I mean, I would feel better if you turn that off because our neurosurgeons are going to want to get an exam on her. Okay. I mean, if she really gets combative and unmanageable, I mean, we could always bolus her with a dose or something. Okay. But if we're able to get that off and start getting her back to a normal mental status, that would probably be really good. That would be really preferable. All right. Yep. Sounds good. We're just on the 400. We're about 20 minutes out, so that should give us enough time. We'll shut off. Oh, you're not flying. No, no, no. We're on the ground. Yeah. So we've got... We're about an hour into this. Oh, I got you. Okay. All right. We'll see you in a little bit. Thanks. All right. Sounds good. Thank you very much. Bye. Bye.</t>
  </si>
  <si>
    <t>ATV with a head injury. subdural hematoma, pneumocephalus, skull, or orbital fracture. Left apical pneumo. she got 500 of Kepa, 600 of Anstap. a heart rate of 85, 114. We're 68. End tidal, we have her on end tidal nasal cannula, 38. So the rest are at 31. Set at 100% on two liters. She's not responsive and didn't really follow command.</t>
  </si>
  <si>
    <t>L2, 9y/o, Vitals(BP [??]/[??], HR [??], RR [??]), GCS:14, MOI(ATV or Motorcycle), ATV vs Deer, Subdural hematoma w/ pneumocephalus, orbital fracture coming from Olean, ETA:90 min</t>
  </si>
  <si>
    <t>ATV with a head injury</t>
  </si>
  <si>
    <t>The transcript mentions a transfer from an ATV incident resulting in a head injury.</t>
  </si>
  <si>
    <t>["114. We're 68"]</t>
  </si>
  <si>
    <t>['she was very agitated and confused', "she wasn't sitting still", "She's not responsive and didn't really follow command", "she wouldn't sit still"]</t>
  </si>
  <si>
    <t>['transfer from the ATV with a head injury']</t>
  </si>
  <si>
    <t>Dr. Bowden, can I help you? How you doing? It's Chris Ford with Mercy Flight. Hey. Hey, how are you? We're coming up from Olean with that transfer from the ATV with a head injury. Just wanted to give you an update on it. We're about 20 minutes out. Okay. Do you have kind of the rundown? Did you kind of get the rundown on her? Yeah, subdural hematoma, pneumocephalus, skull, or orbital fracture. Yep. Yep. Looks like a pneumo as well. Left apical pneumo. So right now, so she got 500 of Kepa, 600 of Anstap. Well, let's see, 45 milligrams of ketamine while she's in ER total over about an hour, hour and a half. C-collars in place for us. She's been continuously sedated on ketamine, 1.5 mg per kg per hour, and she's been resting comfortably for us. She did have one episode en route of a pretty good amount of emesis for us. From what we heard, that was the first round of emesis that we had throughout the entire process. But she did have that for us. Most recent set of vitals, a heart rate of 85, [REDACTED]. End tidal, we have her on end tidal nasal cannula, 38. So the rest are at 31. Set at 100% on two liters. Other than that... Why is she on two liters? Was she hypoxic or anything? No. It's just we have her on because just because the end tidal nasal cannula, that's the most she was with it. Gotcha. Okay. Yep. I don't know if she, I don't believe she ever had any hypoxic episodes. So even when she was off it doing some swaps, she was still at 100. All right. Is she... Is she arousable? She was. She was very... For the staff, she was very agitated and confused. Anytime she would flail around, she wasn't sitting still. For us, she tries just to get up. She's not responsive and didn't really follow command. Although when we got to her, she was already pretty sedated with some ketamine. But when she'd kind of come out of it, she wouldn't sit still. So they had her continuously sedated. Okay. Is she getting continuous ketamine now? Yeah. Yep. 1.5 microkits per hour. All right. Yeah, I'd rather... I mean, I would feel better if you turn that off because our neurosurgeons are going to want to get an exam on her. Okay. I mean, if she really gets combative and unmanageable, I mean, we could always bolus her with a dose or something. Okay. But if we're able to get that off and start getting her back to a normal mental status, that would probably be really good. That would be really preferable. All right. Yep. Sounds good. We're just on the 400. We're about 20 minutes out, so that should give us enough time. We'll shut off. Oh, you're not flying. No, no, no. We're on the ground. Yeah. So we've got... We're about an hour into this. Oh, I got you. Okay. All right. We'll see you in a little bit. Thanks. All right. Sounds good. Thank you very much. Bye. Bye.</t>
  </si>
  <si>
    <t>Dr. Bowden, can I help you? How you doing? It's Chris Ford with Mercy Flight. Hey. Hey, how are you? We're coming up from Olean with that transfer from the ATV with a head injury. Just wanted to give you an update on it. We're about 20 minutes out. Okay. Do you have kind of the rundown? Did you kind of get the rundown on her? Yeah, subdural hematoma, pneumocephalus, skull, or orbital fracture. Yep. Yep. Looks like a pneumo as well. Left apical pneumo. So right now, so she got 500 of Kepa, 600 of Anstap. Well, let's see, 45 milligrams of ketamine while she's in ER total over about an hour, hour and a half. C-collars in place for us. She's been continuously sedated on ketamine, 1.5 mg per kg per hour, and she's been resting comfortably for us. She did have one episode en route of a pretty good amount of emesis for us. From what we heard, that was the first round of emesis that we had throughout the entire process. But she did have that for us. Most recent set of vitals, a heart rate of 85, 114. We're 68. End tidal, we have her on end tidal nasal cannula, 38. So the rest are at 31. Set at 100% on two liters. Other than that... Why is she on two liters? Was she hypoxic or anything? No. It's just we have her on because just because the end tidal nasal cannula, that's the most she was with it. Gotcha. Okay. Yep. I don't know if she, I don't believe she ever had any hypoxic episodes. So even when she was off it doing some swaps, she was still at 100. All right. Is she... Is she arousable? She was. She was very... For the staff, [REDACTED]. Anytime she would flail around, [REDACTED]. For us, she tries just to get up. [REDACTED]. Although when we got to her, she was already pretty sedated with some ketamine. But when she'd kind of come out of it, [REDACTED]. So they had her continuously sedated. Okay. Is she getting continuous ketamine now? Yeah. Yep. 1.5 microkits per hour. All right. Yeah, I'd rather... I mean, I would feel better if you turn that off because our neurosurgeons are going to want to get an exam on her. Okay. I mean, if she really gets combative and unmanageable, I mean, we could always bolus her with a dose or something. Okay. But if we're able to get that off and start getting her back to a normal mental status, that would probably be really good. That would be really preferable. All right. Yep. Sounds good. We're just on the 400. We're about 20 minutes out, so that should give us enough time. We'll shut off. Oh, you're not flying. No, no, no. We're on the ground. Yeah. So we've got... We're about an hour into this. Oh, I got you. Okay. All right. We'll see you in a little bit. Thanks. All right. Sounds good. Thank you very much. Bye. Bye.</t>
  </si>
  <si>
    <t>Dr. Bowden, can I help you? How you doing? It's Chris Ford with Mercy Flight. Hey. Hey, how are you? We're coming up from Olean with that [REDACTED]. Just wanted to give you an update on it. We're about 20 minutes out. Okay. Do you have kind of the rundown? Did you kind of get the rundown on her? Yeah, subdural hematoma, pneumocephalus, skull, or orbital fracture. Yep. Yep. Looks like a pneumo as well. Left apical pneumo. So right now, so she got 500 of Kepa, 600 of Anstap. Well, let's see, 45 milligrams of ketamine while she's in ER total over about an hour, hour and a half. C-collars in place for us. She's been continuously sedated on ketamine, 1.5 mg per kg per hour, and she's been resting comfortably for us. She did have one episode en route of a pretty good amount of emesis for us. From what we heard, that was the first round of emesis that we had throughout the entire process. But she did have that for us. Most recent set of vitals, a heart rate of 85, 114. We're 68. End tidal, we have her on end tidal nasal cannula, 38. So the rest are at 31. Set at 100% on two liters. Other than that... Why is she on two liters? Was she hypoxic or anything? No. It's just we have her on because just because the end tidal nasal cannula, that's the most she was with it. Gotcha. Okay. Yep. I don't know if she, I don't believe she ever had any hypoxic episodes. So even when she was off it doing some swaps, she was still at 100. All right. Is she... Is she arousable? She was. She was very... For the staff, she was very agitated and confused. Anytime she would flail around, she wasn't sitting still. For us, she tries just to get up. She's not responsive and didn't really follow command. Although when we got to her, she was already pretty sedated with some ketamine. But when she'd kind of come out of it, she wouldn't sit still. So they had her continuously sedated. Okay. Is she getting continuous ketamine now? Yeah. Yep. 1.5 microkits per hour. All right. Yeah, I'd rather... I mean, I would feel better if you turn that off because our neurosurgeons are going to want to get an exam on her. Okay. I mean, if she really gets combative and unmanageable, I mean, we could always bolus her with a dose or something. Okay. But if we're able to get that off and start getting her back to a normal mental status, that would probably be really good. That would be really preferable. All right. Yep. Sounds good. We're just on the 400. We're about 20 minutes out, so that should give us enough time. We'll shut off. Oh, you're not flying. No, no, no. We're on the ground. Yeah. So we've got... We're about an hour into this. Oh, I got you. Okay. All right. We'll see you in a little bit. Thanks. All right. Sounds good. Thank you very much. Bye. Bye.</t>
  </si>
  <si>
    <t>Hey, Doc, how are you? Good, how are you? Good. I just have a quick patient update here for you. Sure. So, I'm coming in about six minutes out. We have an eight-year-old male. He was crossing the street. He got struck by a truck going approximately 20 to 25 miles an hour. Unknown laws of consciousness. He's insane. He doesn't remember what happened. Two pretty significant methamphetamines right above his right eye and on his right temple. He does seem pretty... He's alert and rancid, but he doesn't seem kind of confused about what happened. Okay. And I do have vitals for you when you're ready. Perfect. I am ready. He's been pretty hypertensive throughout. Less pressure was 170 on 100, 115 for heart rate, and 97 on rare. Okay. Are his pupils equal, Henry? Are they equally active? Yes. Pupils are equally active. Full TMS in all extremities. No other complaints. That's out of his head. Okay. All right. You guys are about six minutes out? Yes, ma'am. Okay. I'll see you soon. Thank you, doc. Appreciate it. Thank you.</t>
  </si>
  <si>
    <t>eight-year-old male. struck by a truck going approximately 20 to 25 miles an hour. Unknown laws of consciousness. methamphetamines right above his right eye and on his right temple. Less pressure was 170 on 100, 115 for heart rate, and 97 on rare. Pupils are equally active.</t>
  </si>
  <si>
    <t>L2, 8y/o, Vitals(BP 170/100, HR 115, RR 18), GCS:14, MOI(Ped Vs Car), R eye/temple abrasion. some confusion. PEERL and midline., ETA:5 min</t>
  </si>
  <si>
    <t>Struck by a truck while crossing the street</t>
  </si>
  <si>
    <t>The transcript mentions the patient was struck by a truck going approximately 20 to 25 miles an hour.</t>
  </si>
  <si>
    <t>['eight-year-old male']</t>
  </si>
  <si>
    <t>['115 for heart rate']</t>
  </si>
  <si>
    <t>['Less pressure was 170 on 100']</t>
  </si>
  <si>
    <t>['97 on rare']</t>
  </si>
  <si>
    <t>Hey, Doc, how are you? Good, how are you? Good. I just have a quick patient update here for you. Sure. So, I'm coming in about six minutes out. We have an [REDACTED]. He was crossing the street. He got struck by a truck going approximately 20 to 25 miles an hour. Unknown laws of consciousness. He's insane. He doesn't remember what happened. Two pretty significant methamphetamines right above his right eye and on his right temple. He does seem pretty... He's alert and rancid, but he doesn't seem kind of confused about what happened. Okay. And I do have vitals for you when you're ready. Perfect. I am ready. He's been pretty hypertensive throughout. Less pressure was 170 on 100, 115 for heart rate, and 97 on rare. Okay. Are his pupils equal, Henry? Are they equally active? Yes. Pupils are equally active. Full TMS in all extremities. No other complaints. That's out of his head. Okay. All right. You guys are about six minutes out? Yes, ma'am. Okay. I'll see you soon. Thank you, doc. Appreciate it. Thank you.</t>
  </si>
  <si>
    <t>Hey, Doc, how are you? Good, how are you? Good. I just have a quick patient update here for you. Sure. So, I'm coming in about six minutes out. We have an eight-year-old male. He was crossing the street. He got struck by a truck going approximately 20 to 25 miles an hour. Unknown laws of consciousness. He's insane. He doesn't remember what happened. Two pretty significant methamphetamines right above his right eye and on his right temple. He does seem pretty... He's alert and rancid, but he doesn't seem kind of confused about what happened. Okay. And I do have vitals for you when you're ready. Perfect. I am ready. He's been pretty hypertensive throughout. Less pressure was 170 on 100, [REDACTED], and 97 on rare. Okay. Are his pupils equal, Henry? Are they equally active? Yes. Pupils are equally active. Full TMS in all extremities. No other complaints. That's out of his head. Okay. All right. You guys are about six minutes out? Yes, ma'am. Okay. I'll see you soon. Thank you, doc. Appreciate it. Thank you.</t>
  </si>
  <si>
    <t>Hey, Doc, how are you? Good, how are you? Good. I just have a quick patient update here for you. Sure. So, I'm coming in about six minutes out. We have an eight-year-old male. He was crossing the street. He got struck by a truck going approximately 20 to 25 miles an hour. Unknown laws of consciousness. He's insane. He doesn't remember what happened. Two pretty significant methamphetamines right above his right eye and on his right temple. He does seem pretty... He's alert and rancid, but he doesn't seem kind of confused about what happened. Okay. And I do have vitals for you when you're ready. Perfect. I am ready. He's been pretty hypertensive throughout. [REDACTED], 115 for heart rate, and 97 on rare. Okay. Are his pupils equal, Henry? Are they equally active? Yes. Pupils are equally active. Full TMS in all extremities. No other complaints. That's out of his head. Okay. All right. You guys are about six minutes out? Yes, ma'am. Okay. I'll see you soon. Thank you, doc. Appreciate it. Thank you.</t>
  </si>
  <si>
    <t>Hey, Doc, how are you? Good, how are you? Good. I just have a quick patient update here for you. Sure. So, I'm coming in about six minutes out. We have an eight-year-old male. He was crossing the street. He got struck by a truck going approximately 20 to 25 miles an hour. Unknown laws of consciousness. He's insane. He doesn't remember what happened. Two pretty significant methamphetamines right above his right eye and on his right temple. He does seem pretty... He's alert and rancid, but he doesn't seem kind of confused about what happened. Okay. And I do have vitals for you when you're ready. Perfect. I am ready. He's been pretty hypertensive throughout. Less pressure was 170 on 100, 115 for heart rate, and [REDACTED]. Okay. Are his pupils equal, Henry? Are they equally active? Yes. Pupils are equally active. Full TMS in all extremities. No other complaints. That's out of his head. Okay. All right. You guys are about six minutes out? Yes, ma'am. Okay. I'll see you soon. Thank you, doc. Appreciate it. Thank you.</t>
  </si>
  <si>
    <t>TCD is Dr. Hall. Hi, my name is Aiden. I'm a paramedic student with AMR. I'm on the way to you with a 15-year-old female involved in a motor vehicle accident. LLC for about 10 seconds. Was not wearing a helmet. She does have some bleeding coming from her left ear. Was she in an R? Sorry. No, she was riding an ATV. Oh, I thought you said motor vehicle accident. Okay. Yeah, ATV accident. Sorry. That's okay. Vitals are as followed. She is currently 42 for a heart rate. Sinus break. 100% on room air. Working on a new pressure right now. She was a little soft. What's a little soft? Like what is that? I'll tell you. Just 118 over 74. Okay, that's fine. Yeah, 109 for a blood sugar. She's got an 18 in her right biceps. That's currently and she's got 500 back going through. Okay. What is her mental status? Like what is her GCS right now? GCS is 15. 15. Okay. And is she in any pain? That's just a really low heart rate. Just want to make sure she's not like. Yeah, she's complaining of a headache and then left over pain. Okay. And that's a true heart rate of 42? Yep. Okay. And she's meditating normally. So you're not concerned about herniation or anything like that. Nope. Okay. How far out are you guys? Uh, about five minutes. Five minutes? Yep. All right. We'll see you then. Thank you. Yep. No problem. Bye-bye. Bye-bye.</t>
  </si>
  <si>
    <t>15-year-old female involved in a motor vehicle accident. LLC for about 10 seconds. Was not wearing a helmet. some bleeding coming from her left ear. riding an ATV. She is currently 42 for a heart rate. Sinus break. 100% on room air. GCS is 15.</t>
  </si>
  <si>
    <t>Pt B, L2, 15y/o, Vitals(BP 118/74, HR 42, RR [??]), GCS:15, MOI(ATV or Motorcycle), ATV unhelmeted LOC 10sec. bleeding L ear. R shoulder pain, ETA:5 min</t>
  </si>
  <si>
    <t>ATV accident</t>
  </si>
  <si>
    <t>The transcript mentions the patient was involved in an ATV accident, which was clarified after initially being described as a motor vehicle accident.</t>
  </si>
  <si>
    <t>['42 for a heart rate', 'true heart rate of 42']</t>
  </si>
  <si>
    <t>['118 over 74']</t>
  </si>
  <si>
    <t>['involved in a motor vehicle accident', 'riding an ATV', 'ATV accident']</t>
  </si>
  <si>
    <t>TCD is Dr. Hall. Hi, my name is Aiden. I'm a paramedic student with AMR. I'm on the way to you with a [REDACTED] involved in a motor vehicle accident. LLC for about 10 seconds. Was not wearing a helmet. She does have some bleeding coming from her left ear. Was she in an R? Sorry. No, she was riding an ATV. Oh, I thought you said motor vehicle accident. Okay. Yeah, ATV accident. Sorry. That's okay. Vitals are as followed. She is currently 42 for a heart rate. Sinus break. 100% on room air. Working on a new pressure right now. She was a little soft. What's a little soft? Like what is that? I'll tell you. Just 118 over 74. Okay, that's fine. Yeah, 109 for a blood sugar. She's got an 18 in her right biceps. That's currently and she's got 500 back going through. Okay. What is her mental status? Like what is her GCS right now? GCS is 15. 15. Okay. And is she in any pain? That's just a really low heart rate. Just want to make sure she's not like. Yeah, she's complaining of a headache and then left over pain. Okay. And that's a true heart rate of 42? Yep. Okay. And she's meditating normally. So you're not concerned about herniation or anything like that. Nope. Okay. How far out are you guys? Uh, about five minutes. Five minutes? Yep. All right. We'll see you then. Thank you. Yep. No problem. Bye-bye. Bye-bye.</t>
  </si>
  <si>
    <t>TCD is Dr. Hall. Hi, my name is Aiden. I'm a paramedic student with AMR. I'm on the way to you with a 15-year-old female involved in a motor vehicle accident. LLC for about 10 seconds. Was not wearing a helmet. She does have some bleeding coming from her left ear. Was she in an R? Sorry. No, she was riding an ATV. Oh, I thought you said motor vehicle accident. Okay. Yeah, ATV accident. Sorry. That's okay. Vitals are as followed. She is currently [REDACTED]. Sinus break. 100% on room air. Working on a new pressure right now. She was a little soft. What's a little soft? Like what is that? I'll tell you. Just 118 over 74. Okay, that's fine. Yeah, 109 for a blood sugar. She's got an 18 in her right biceps. That's currently and she's got 500 back going through. Okay. What is her mental status? Like what is her GCS right now? GCS is 15. 15. Okay. And is she in any pain? That's just a really low heart rate. Just want to make sure she's not like. Yeah, she's complaining of a headache and then left over pain. Okay. And that's a [REDACTED]? Yep. Okay. And she's meditating normally. So you're not concerned about herniation or anything like that. Nope. Okay. How far out are you guys? Uh, about five minutes. Five minutes? Yep. All right. We'll see you then. Thank you. Yep. No problem. Bye-bye. Bye-bye.</t>
  </si>
  <si>
    <t>TCD is Dr. Hall. Hi, my name is Aiden. I'm a paramedic student with AMR. I'm on the way to you with a 15-year-old female involved in a motor vehicle accident. LLC for about 10 seconds. Was not wearing a helmet. She does have some bleeding coming from her left ear. Was she in an R? Sorry. No, she was riding an ATV. Oh, I thought you said motor vehicle accident. Okay. Yeah, ATV accident. Sorry. That's okay. Vitals are as followed. She is currently 42 for a heart rate. Sinus break. 100% on room air. Working on a new pressure right now. She was a little soft. What's a little soft? Like what is that? I'll tell you. Just [REDACTED]. Okay, that's fine. Yeah, 109 for a blood sugar. She's got an 18 in her right biceps. That's currently and she's got 500 back going through. Okay. What is her mental status? Like what is her GCS right now? GCS is 15. 15. Okay. And is she in any pain? That's just a really low heart rate. Just want to make sure she's not like. Yeah, she's complaining of a headache and then left over pain. Okay. And that's a true heart rate of 42? Yep. Okay. And she's meditating normally. So you're not concerned about herniation or anything like that. Nope. Okay. How far out are you guys? Uh, about five minutes. Five minutes? Yep. All right. We'll see you then. Thank you. Yep. No problem. Bye-bye. Bye-bye.</t>
  </si>
  <si>
    <t>TCD is Dr. Hall. Hi, my name is Aiden. I'm a paramedic student with AMR. I'm on the way to you with a 15-year-old female [REDACTED]. LLC for about 10 seconds. Was not wearing a helmet. She does have some bleeding coming from her left ear. Was she in an R? Sorry. No, she was [REDACTED]. Oh, I thought you said motor vehicle accident. Okay. Yeah, [REDACTED]. Sorry. That's okay. Vitals are as followed. She is currently 42 for a heart rate. Sinus break. 100% on room air. Working on a new pressure right now. She was a little soft. What's a little soft? Like what is that? I'll tell you. Just 118 over 74. Okay, that's fine. Yeah, 109 for a blood sugar. She's got an 18 in her right biceps. That's currently and she's got 500 back going through. Okay. What is her mental status? Like what is her GCS right now? GCS is 15. 15. Okay. And is she in any pain? That's just a really low heart rate. Just want to make sure she's not like. Yeah, she's complaining of a headache and then left over pain. Okay. And that's a true heart rate of 42? Yep. Okay. And she's meditating normally. So you're not concerned about herniation or anything like that. Nope. Okay. How far out are you guys? Uh, about five minutes. Five minutes? Yep. All right. We'll see you then. Thank you. Yep. No problem. Bye-bye. Bye-bye.</t>
  </si>
  <si>
    <t>Children's Air, this is Dr. Weiss. Hi, this is Brittany with AMR. Hey, thank you. Sorry again to make you call this number, but this way it's recorded, so thank you. No problem. So I have an 11-year-old. He was riding his bicycle down the street and was struck by a vehicle going about 30, 35 miles per hour. Okay. He reports positive LLC. He can't really tell me everything that happened. Right now he's just complaining of less leg pain. He cannot move that leg. I do not know any obvious deformity. And I do have his helmet with me. There is some damage to his helmet. Okay. His pressure was 110 over 64. Okay. Heart rate 116. Okay. O2-98 room air. Okay. And we'll be there in about five minutes. Okay. GCS is 15 other than the amnesia? Yeah. He's answering all my questions appropriately. Okay. Sounds good. And has he needed anything for pain or anything yet? At this point? No. We're BLS. Okay. Sounds good. When you guys get here, we're going to have you guys start in the trauma room. Okay. Sounds good. Thank you. Awesome. Thanks. Thanks. Thanks.</t>
  </si>
  <si>
    <t>11-year-old. struck by a vehicle going about 30, 35 miles per hour. Positive LLC. His pressure was 110 over 64. Okay. Heart rate 116. Okay. O2-98 room air. GCS is 15 other than the amnesia? Yeah.</t>
  </si>
  <si>
    <t>L2, 11y/o, Vitals(BP 110/54, HR 116, RR 20), GCS:15, MOI(Other), Bike vs. Car 35 MPH; LOC; Left Leg Injury, Blunt trauma:Head, ETA:5 min</t>
  </si>
  <si>
    <t>Bicycle struck by vehicle</t>
  </si>
  <si>
    <t>The transcript describes an 11-year-old who was riding a bicycle and was struck by a vehicle traveling at 30-35 mph.</t>
  </si>
  <si>
    <t>['11-year-old']</t>
  </si>
  <si>
    <t>['pressure was 110 over 64']</t>
  </si>
  <si>
    <t>Children's Air, this is Dr. Weiss. Hi, this is Brittany with AMR. Hey, thank you. Sorry again to make you call this number, but this way it's recorded, so thank you. No problem. So I have an [REDACTED]. He was riding his bicycle down the street and was struck by a vehicle going about 30, 35 miles per hour. Okay. He reports positive LLC. He can't really tell me everything that happened. Right now he's just complaining of less leg pain. He cannot move that leg. I do not know any obvious deformity. And I do have his helmet with me. There is some damage to his helmet. Okay. His pressure was 110 over 64. Okay. Heart rate 116. Okay. O2-98 room air. Okay. And we'll be there in about five minutes. Okay. GCS is 15 other than the amnesia? Yeah. He's answering all my questions appropriately. Okay. Sounds good. And has he needed anything for pain or anything yet? At this point? No. We're BLS. Okay. Sounds good. When you guys get here, we're going to have you guys start in the trauma room. Okay. Sounds good. Thank you. Awesome. Thanks. Thanks. Thanks.</t>
  </si>
  <si>
    <t>Children's Air, this is Dr. Weiss. Hi, this is Brittany with AMR. Hey, thank you. Sorry again to make you call this number, but this way it's recorded, so thank you. No problem. So I have an 11-year-old. He was riding his bicycle down the street and was struck by a vehicle going about 30, 35 miles per hour. Okay. He reports positive LLC. He can't really tell me everything that happened. Right now he's just complaining of less leg pain. He cannot move that leg. I do not know any obvious deformity. And I do have his helmet with me. There is some damage to his helmet. Okay. His pressure was 110 over 64. Okay. [REDACTED]. Okay. O2-98 room air. Okay. And we'll be there in about five minutes. Okay. GCS is 15 other than the amnesia? Yeah. He's answering all my questions appropriately. Okay. Sounds good. And has he needed anything for pain or anything yet? At this point? No. We're BLS. Okay. Sounds good. When you guys get here, we're going to have you guys start in the trauma room. Okay. Sounds good. Thank you. Awesome. Thanks. Thanks. Thanks.</t>
  </si>
  <si>
    <t>Children's Air, this is Dr. Weiss. Hi, this is Brittany with AMR. Hey, thank you. Sorry again to make you call this number, but this way it's recorded, so thank you. No problem. So I have an 11-year-old. He was riding his bicycle down the street and was struck by a vehicle going about 30, 35 miles per hour. Okay. He reports positive LLC. He can't really tell me everything that happened. Right now he's just complaining of less leg pain. He cannot move that leg. I do not know any obvious deformity. And I do have his helmet with me. There is some damage to his helmet. Okay. His [REDACTED]. Okay. Heart rate 116. Okay. O2-98 room air. Okay. And we'll be there in about five minutes. Okay. GCS is 15 other than the amnesia? Yeah. He's answering all my questions appropriately. Okay. Sounds good. And has he needed anything for pain or anything yet? At this point? No. We're BLS. Okay. Sounds good. When you guys get here, we're going to have you guys start in the trauma room. Okay. Sounds good. Thank you. Awesome. Thanks. Thanks. Thanks.</t>
  </si>
  <si>
    <t>Dr. Mountain, can I help you? Yes, sir. This is Greg Breen with All-Star EMS. I have a transfer coming from UPMC Chautauqua in Jamestown, New York. Coming up for a ruptured adrenal gland. I was informed to call ahead. We just got on the 190, so we're about 10 to 15 out. Was this the ATV accident? Yeah, the BMX. The BMX bike accident, yeah. Oh, BMX, okay. How old is the kid? 13. Male? Yes. Is his GCS and vitals okay? Yes, they are. 1-2-2 over 8-1, 95 on room air, and 76 heart rate, and he has been sleeping pretty much since we left Jamestown. All right. Can you set about 10 minutes? Yeah, about 10 minutes. Okay. Thanks for the call. We'll see you when you get here. You're welcome. All right. Bye. Bye.</t>
  </si>
  <si>
    <t>ruptured adrenal gland. BMX bike accident. 1-2-2 over 8-1, 95 on room air, and 76 heart rate,</t>
  </si>
  <si>
    <t>Update, Pt A, L2, 13y/o, Vitals(BP 122/81, HR 76, RR [??]), GCS:15, MOI(Other), BMX accident transfer from jamestown Adrenal gland rupture, ETA:5 min</t>
  </si>
  <si>
    <t>BMX bike accident</t>
  </si>
  <si>
    <t>The transcript mentions a BMX bike accident as the cause of the injury.</t>
  </si>
  <si>
    <t>['13']</t>
  </si>
  <si>
    <t>['1-2-2 over 8-1']</t>
  </si>
  <si>
    <t>['he has been sleeping pretty much since we left Jamestown']</t>
  </si>
  <si>
    <t>Dr. Mountain, can I help you? Yes, sir. This is Greg Breen with All-Star EMS. I have a transfer coming from UPMC Chautauqua in Jamestown, New York. Coming up for a ruptured adrenal gland. I was informed to call ahead. We just got on the 190, so we're about 10 to 15 out. Was this the ATV accident? Yeah, the BMX. The BMX bike accident, yeah. Oh, BMX, okay. How old is the kid? [REDACTED]. Male? Yes. Is his GCS and vitals okay? Yes, they are. 1-2-2 over 8-1, 95 on room air, and 76 heart rate, and he has been sleeping pretty much since we left Jamestown. All right. Can you set about 10 minutes? Yeah, about 10 minutes. Okay. Thanks for the call. We'll see you when you get here. You're welcome. All right. Bye. Bye.</t>
  </si>
  <si>
    <t>Dr. Mountain, can I help you? Yes, sir. This is Greg Breen with All-Star EMS. I have a transfer coming from UPMC Chautauqua in Jamestown, New York. Coming up for a ruptured adrenal gland. I was informed to call ahead. We just got on the 190, so we're about 10 to 15 out. Was this the ATV accident? Yeah, the BMX. The BMX bike accident, yeah. Oh, BMX, okay. How old is the kid? 13. Male? Yes. Is his GCS and vitals okay? Yes, they are. 1-2-2 over 8-1, 95 on room air, and [REDACTED], and he has been sleeping pretty much since we left Jamestown. All right. Can you set about 10 minutes? Yeah, about 10 minutes. Okay. Thanks for the call. We'll see you when you get here. You're welcome. All right. Bye. Bye.</t>
  </si>
  <si>
    <t>Dr. Mountain, can I help you? Yes, sir. This is Greg Breen with All-Star EMS. I have a transfer coming from UPMC Chautauqua in Jamestown, New York. Coming up for a ruptured adrenal gland. I was informed to call ahead. We just got on the 190, so we're about 10 to 15 out. Was this the ATV accident? Yeah, the BMX. The BMX bike accident, yeah. Oh, BMX, okay. How old is the kid? 13. Male? Yes. Is his GCS and vitals okay? Yes, they are. [REDACTED], 95 on room air, and 76 heart rate, and he has been sleeping pretty much since we left Jamestown. All right. Can you set about 10 minutes? Yeah, about 10 minutes. Okay. Thanks for the call. We'll see you when you get here. You're welcome. All right. Bye. Bye.</t>
  </si>
  <si>
    <t>Dr. Mountain, can I help you? Yes, sir. This is Greg Breen with All-Star EMS. I have a transfer coming from UPMC Chautauqua in Jamestown, New York. Coming up for a ruptured adrenal gland. I was informed to call ahead. We just got on the 190, so we're about 10 to 15 out. Was this the ATV accident? Yeah, the BMX. The BMX bike accident, yeah. Oh, BMX, okay. How old is the kid? 13. Male? Yes. Is his GCS and vitals okay? Yes, they are. 1-2-2 over 8-1, 95 on room air, and 76 heart rate, and [REDACTED]. All right. Can you set about 10 minutes? Yeah, about 10 minutes. Okay. Thanks for the call. We'll see you when you get here. You're welcome. All right. Bye. Bye.</t>
  </si>
  <si>
    <t>Children's Emergency Department, this is Dr. Ruano. Hey, this is the paramedic with AMR. Is this the ER? Yes, it is. How are you doing? Doc? Yeah. I've got a beautiful, I'm not saying you're false. I have a, I had a pediatric trauma code. Ten years old, possibly 11. Riding her bicycle, hit by a car. She was underneath the car. We're looking at about a 15 to 20 minute extrication time. She's got abrasions all over her body. She was found as physical. Found as physically. Okay. Yeah, found as physical. She looks like she's got a huge skull fracture. Looks like a report style right across the bridge of her nose. She was pinned between concrete and the bottom of the car. I currently, she's intubated, six tube. I got two lines. I got some fluids running. Right now, bolus of 150. I currently have a heart rate of 172. Standing at 100% with occasional agonal respirations at this time. Entitled CO2, we're holding at 35 to 36. And the last blood pressure is 129 over 66. And I'm currently on Grand Island, so I'm still probably maybe 10 to 15 from you. 10 to 15. And agonal respirations with bagging? Yes. Like, she'll take that gas full of breath and suck the bag down a little bit. It's only about four breaths a minute right now. Okay. We got active bleeding out of the left nostril down. Bleeding. Okay. Bleeding from left nostril. And it looks like there's a skull fracture as well. Oh, yeah. It looks like it. She's got a hemiformal beginning between her eyes. Okay. Her nose is completely depressed between her eyes. Nose is depressed. Okay. Eyes are slightly bulged out. She did have some blood in the back of the throat when I did intubate her. Okay. The bleeding from her nostril, I did a halo test. I did a 83-volt spinal fluid in it at this time. Okay. No other obvious deformities other than scrapes and abrasions all over her body. So it was a 20 to 30-minute extrication. She didn't have pulses when you got to her. How long did it take before you got ROSC? The fireman did great CPR. Once we got her out, three minutes, and I had sinus attacks. Three minutes. Okay. And did she get any epi? No epi. Just CPR. No epi. Just CPR. CPR. Yes. Okay. Okay. Let me just see if my attending needs any questions. Give me one second. No. Okay. We're good. I got time. Okay. 10 to 15 minutes out. You have two IVs, and you said she's intubated, being bagged. Any just normal saline? Saline fluids going right now? Yes. I got about a 150 bolus. Do you want me to give anything more? No, that's fine. That's fine. All right. I got no seizure activity. Okay. Her pupils are better. They were fixed and dilated. Now they're mildly reactive and beginning to constrict with the light. Okay. So now they're somewhat reactive? Yes. Very sluggish, but I'm bouncing down the road here. Okay. That's okay. That's okay. Okay. And so GCS, I assume, was three when you arrived? Yes. Absolutely. Okay. She was pale, slightly mottled under the car even. Okay. Okay. Okay. So it was probably from impact to extrication a solid 30, 35 minutes. 30 and 35 minutes. Okay. From impact to extrication time, three more minutes with good CPR, and we got false effects. Okay. Okay. Okay. So you're 10 to 15 minutes out. You're at Grand Island right now. We'll see you guys when you arrive. If you need anything in the interim, please don't hesitate to call. Okay? All right. Thanks, Doc. We'll see you in a little bit. Thank you. Thank you. Bye.</t>
  </si>
  <si>
    <t>Ten years old, possibly 11. Riding her bicycle, hit by a car. 15 to 20 minute extrication time. skull fracture report style right across the bridge of her nose. she's intubated, six tube. heart rate of 172. Standing at 100% with occasional agonal respirations at this time. Entitled CO2, we're holding at 35 to 36. And the last blood pressure is 129 over 66. agonal respirations with bagging? Yes. active bleeding out of the left nostril skull fracture  hemiformal beginning between her eyes.  nose is completely depressed between her eyes. No epi. Just CPR. GCS, I assume, was three when you arrived? Yes.</t>
  </si>
  <si>
    <t>L1, 10y/o, Vitals(BP 129/66, HR 172, RR [??]), GCS:3, MOI(MVC), 10 yo MVA; 30min extraction; ROSC; Intubated; Bleeding from left nare/?skull fracture, Cardiac Arrest, Intubated at scene, ETA:10 min</t>
  </si>
  <si>
    <t>The transcript describes a pediatric trauma involving a child who was riding a bicycle and was hit by a car.</t>
  </si>
  <si>
    <t>['Ten years old, possibly 11']</t>
  </si>
  <si>
    <t>['heart rate of 172']</t>
  </si>
  <si>
    <t>['last blood pressure is 129 over 66']</t>
  </si>
  <si>
    <t>['agonal respirations', 'four breaths a minute']</t>
  </si>
  <si>
    <t>Children's Emergency Department, this is Dr. Ruano. Hey, this is the paramedic with AMR. Is this the ER? Yes, it is. How are you doing? Doc? Yeah. I've got a beautiful, I'm not saying you're false. I have a, I had a pediatric trauma code. [REDACTED]. Riding her bicycle, hit by a car. She was underneath the car. We're looking at about a 15 to 20 minute extrication time. She's got abrasions all over her body. She was found as physical. Found as physically. Okay. Yeah, found as physical. She looks like she's got a huge skull fracture. Looks like a report style right across the bridge of her nose. She was pinned between concrete and the bottom of the car. I currently, she's intubated, six tube. I got two lines. I got some fluids running. Right now, bolus of 150. I currently have a heart rate of 172. Standing at 100% with occasional agonal respirations at this time. Entitled CO2, we're holding at 35 to 36. And the last blood pressure is 129 over 66. And I'm currently on Grand Island, so I'm still probably maybe 10 to 15 from you. 10 to 15. And agonal respirations with bagging? Yes. Like, she'll take that gas full of breath and suck the bag down a little bit. It's only about four breaths a minute right now. Okay. We got active bleeding out of the left nostril down. Bleeding. Okay. Bleeding from left nostril. And it looks like there's a skull fracture as well. Oh, yeah. It looks like it. She's got a hemiformal beginning between her eyes. Okay. Her nose is completely depressed between her eyes. Nose is depressed. Okay. Eyes are slightly bulged out. She did have some blood in the back of the throat when I did intubate her. Okay. The bleeding from her nostril, I did a halo test. I did a 83-volt spinal fluid in it at this time. Okay. No other obvious deformities other than scrapes and abrasions all over her body. So it was a 20 to 30-minute extrication. She didn't have pulses when you got to her. How long did it take before you got ROSC? The fireman did great CPR. Once we got her out, three minutes, and I had sinus attacks. Three minutes. Okay. And did she get any epi? No epi. Just CPR. No epi. Just CPR. CPR. Yes. Okay. Okay. Let me just see if my attending needs any questions. Give me one second. No. Okay. We're good. I got time. Okay. 10 to 15 minutes out. You have two IVs, and you said she's intubated, being bagged. Any just normal saline? Saline fluids going right now? Yes. I got about a 150 bolus. Do you want me to give anything more? No, that's fine. That's fine. All right. I got no seizure activity. Okay. Her pupils are better. They were fixed and dilated. Now they're mildly reactive and beginning to constrict with the light. Okay. So now they're somewhat reactive? Yes. Very sluggish, but I'm bouncing down the road here. Okay. That's okay. That's okay. Okay. And so GCS, I assume, was three when you arrived? Yes. Absolutely. Okay. She was pale, slightly mottled under the car even. Okay. Okay. Okay. So it was probably from impact to extrication a solid 30, 35 minutes. 30 and 35 minutes. Okay. From impact to extrication time, three more minutes with good CPR, and we got false effects. Okay. Okay. Okay. So you're 10 to 15 minutes out. You're at Grand Island right now. We'll see you guys when you arrive. If you need anything in the interim, please don't hesitate to call. Okay? All right. Thanks, Doc. We'll see you in a little bit. Thank you. Thank you. Bye.</t>
  </si>
  <si>
    <t>Children's Emergency Department, this is Dr. Ruano. Hey, this is the paramedic with AMR. Is this the ER? Yes, it is. How are you doing? Doc? Yeah. I've got a beautiful, I'm not saying you're false. I have a, I had a pediatric trauma code. Ten years old, possibly 11. Riding her bicycle, hit by a car. She was underneath the car. We're looking at about a 15 to 20 minute extrication time. She's got abrasions all over her body. She was found as physical. Found as physically. Okay. Yeah, found as physical. She looks like she's got a huge skull fracture. Looks like a report style right across the bridge of her nose. She was pinned between concrete and the bottom of the car. I currently, she's intubated, six tube. I got two lines. I got some fluids running. Right now, bolus of 150. I currently have a [REDACTED]. Standing at 100% with occasional agonal respirations at this time. Entitled CO2, we're holding at 35 to 36. And the last blood pressure is 129 over 66. And I'm currently on Grand Island, so I'm still probably maybe 10 to 15 from you. 10 to 15. And agonal respirations with bagging? Yes. Like, she'll take that gas full of breath and suck the bag down a little bit. It's only about four breaths a minute right now. Okay. We got active bleeding out of the left nostril down. Bleeding. Okay. Bleeding from left nostril. And it looks like there's a skull fracture as well. Oh, yeah. It looks like it. She's got a hemiformal beginning between her eyes. Okay. Her nose is completely depressed between her eyes. Nose is depressed. Okay. Eyes are slightly bulged out. She did have some blood in the back of the throat when I did intubate her. Okay. The bleeding from her nostril, I did a halo test. I did a 83-volt spinal fluid in it at this time. Okay. No other obvious deformities other than scrapes and abrasions all over her body. So it was a 20 to 30-minute extrication. She didn't have pulses when you got to her. How long did it take before you got ROSC? The fireman did great CPR. Once we got her out, three minutes, and I had sinus attacks. Three minutes. Okay. And did she get any epi? No epi. Just CPR. No epi. Just CPR. CPR. Yes. Okay. Okay. Let me just see if my attending needs any questions. Give me one second. No. Okay. We're good. I got time. Okay. 10 to 15 minutes out. You have two IVs, and you said she's intubated, being bagged. Any just normal saline? Saline fluids going right now? Yes. I got about a 150 bolus. Do you want me to give anything more? No, that's fine. That's fine. All right. I got no seizure activity. Okay. Her pupils are better. They were fixed and dilated. Now they're mildly reactive and beginning to constrict with the light. Okay. So now they're somewhat reactive? Yes. Very sluggish, but I'm bouncing down the road here. Okay. That's okay. That's okay. Okay. And so GCS, I assume, was three when you arrived? Yes. Absolutely. Okay. She was pale, slightly mottled under the car even. Okay. Okay. Okay. So it was probably from impact to extrication a solid 30, 35 minutes. 30 and 35 minutes. Okay. From impact to extrication time, three more minutes with good CPR, and we got false effects. Okay. Okay. Okay. So you're 10 to 15 minutes out. You're at Grand Island right now. We'll see you guys when you arrive. If you need anything in the interim, please don't hesitate to call. Okay? All right. Thanks, Doc. We'll see you in a little bit. Thank you. Thank you. Bye.</t>
  </si>
  <si>
    <t>Children's Emergency Department, this is Dr. Ruano. Hey, this is the paramedic with AMR. Is this the ER? Yes, it is. How are you doing? Doc? Yeah. I've got a beautiful, I'm not saying you're false. I have a, I had a pediatric trauma code. Ten years old, possibly 11. Riding her bicycle, hit by a car. She was underneath the car. We're looking at about a 15 to 20 minute extrication time. She's got abrasions all over her body. She was found as physical. Found as physically. Okay. Yeah, found as physical. She looks like she's got a huge skull fracture. Looks like a report style right across the bridge of her nose. She was pinned between concrete and the bottom of the car. I currently, she's intubated, six tube. I got two lines. I got some fluids running. Right now, bolus of 150. I currently have a heart rate of 172. Standing at 100% with occasional agonal respirations at this time. Entitled CO2, we're holding at 35 to 36. And the [REDACTED]. And I'm currently on Grand Island, so I'm still probably maybe 10 to 15 from you. 10 to 15. And agonal respirations with bagging? Yes. Like, she'll take that gas full of breath and suck the bag down a little bit. It's only about four breaths a minute right now. Okay. We got active bleeding out of the left nostril down. Bleeding. Okay. Bleeding from left nostril. And it looks like there's a skull fracture as well. Oh, yeah. It looks like it. She's got a hemiformal beginning between her eyes. Okay. Her nose is completely depressed between her eyes. Nose is depressed. Okay. Eyes are slightly bulged out. She did have some blood in the back of the throat when I did intubate her. Okay. The bleeding from her nostril, I did a halo test. I did a 83-volt spinal fluid in it at this time. Okay. No other obvious deformities other than scrapes and abrasions all over her body. So it was a 20 to 30-minute extrication. She didn't have pulses when you got to her. How long did it take before you got ROSC? The fireman did great CPR. Once we got her out, three minutes, and I had sinus attacks. Three minutes. Okay. And did she get any epi? No epi. Just CPR. No epi. Just CPR. CPR. Yes. Okay. Okay. Let me just see if my attending needs any questions. Give me one second. No. Okay. We're good. I got time. Okay. 10 to 15 minutes out. You have two IVs, and you said she's intubated, being bagged. Any just normal saline? Saline fluids going right now? Yes. I got about a 150 bolus. Do you want me to give anything more? No, that's fine. That's fine. All right. I got no seizure activity. Okay. Her pupils are better. They were fixed and dilated. Now they're mildly reactive and beginning to constrict with the light. Okay. So now they're somewhat reactive? Yes. Very sluggish, but I'm bouncing down the road here. Okay. That's okay. That's okay. Okay. And so GCS, I assume, was three when you arrived? Yes. Absolutely. Okay. She was pale, slightly mottled under the car even. Okay. Okay. Okay. So it was probably from impact to extrication a solid 30, 35 minutes. 30 and 35 minutes. Okay. From impact to extrication time, three more minutes with good CPR, and we got false effects. Okay. Okay. Okay. So you're 10 to 15 minutes out. You're at Grand Island right now. We'll see you guys when you arrive. If you need anything in the interim, please don't hesitate to call. Okay? All right. Thanks, Doc. We'll see you in a little bit. Thank you. Thank you. Bye.</t>
  </si>
  <si>
    <t>Children's Emergency Department, this is Dr. Ruano. Hey, this is the paramedic with AMR. Is this the ER? Yes, it is. How are you doing? Doc? Yeah. I've got a beautiful, I'm not saying you're false. I have a, I had a pediatric trauma code. Ten years old, possibly 11. Riding her bicycle, hit by a car. She was underneath the car. We're looking at about a 15 to 20 minute extrication time. She's got abrasions all over her body. She was found as physical. Found as physically. Okay. Yeah, found as physical. She looks like she's got a huge skull fracture. Looks like a report style right across the bridge of her nose. She was pinned between concrete and the bottom of the car. I currently, she's intubated, six tube. I got two lines. I got some fluids running. Right now, bolus of 150. I currently have a heart rate of 172. Standing at 100% with occasional [REDACTED] at this time. Entitled CO2, we're holding at 35 to 36. And the last blood pressure is 129 over 66. And I'm currently on Grand Island, so I'm still probably maybe 10 to 15 from you. 10 to 15. And [REDACTED] with bagging? Yes. Like, she'll take that gas full of breath and suck the bag down a little bit. It's only about [REDACTED] right now. Okay. We got active bleeding out of the left nostril down. Bleeding. Okay. Bleeding from left nostril. And it looks like there's a skull fracture as well. Oh, yeah. It looks like it. She's got a hemiformal beginning between her eyes. Okay. Her nose is completely depressed between her eyes. Nose is depressed. Okay. Eyes are slightly bulged out. She did have some blood in the back of the throat when I did intubate her. Okay. The bleeding from her nostril, I did a halo test. I did a 83-volt spinal fluid in it at this time. Okay. No other obvious deformities other than scrapes and abrasions all over her body. So it was a 20 to 30-minute extrication. She didn't have pulses when you got to her. How long did it take before you got ROSC? The fireman did great CPR. Once we got her out, three minutes, and I had sinus attacks. Three minutes. Okay. And did she get any epi? No epi. Just CPR. No epi. Just CPR. CPR. Yes. Okay. Okay. Let me just see if my attending needs any questions. Give me one second. No. Okay. We're good. I got time. Okay. 10 to 15 minutes out. You have two IVs, and you said she's intubated, being bagged. Any just normal saline? Saline fluids going right now? Yes. I got about a 150 bolus. Do you want me to give anything more? No, that's fine. That's fine. All right. I got no seizure activity. Okay. Her pupils are better. They were fixed and dilated. Now they're mildly reactive and beginning to constrict with the light. Okay. So now they're somewhat reactive? Yes. Very sluggish, but I'm bouncing down the road here. Okay. That's okay. That's okay. Okay. And so GCS, I assume, was three when you arrived? Yes. Absolutely. Okay. She was pale, slightly mottled under the car even. Okay. Okay. Okay. So it was probably from impact to extrication a solid 30, 35 minutes. 30 and 35 minutes. Okay. From impact to extrication time, three more minutes with good CPR, and we got false effects. Okay. Okay. Okay. So you're 10 to 15 minutes out. You're at Grand Island right now. We'll see you guys when you arrive. If you need anything in the interim, please don't hesitate to call. Okay? All right. Thanks, Doc. We'll see you in a little bit. Thank you. Thank you. Bye.</t>
  </si>
  <si>
    <t>ED, it's Dr. Petrosky. Hi, Dr. Petrosky. This is Dave Monroe, paramedic with the town of Tonawanda. I'm just calling you, updating you on a patient. I'm bringing in the trauma alert. Oh, I didn't know about this. Okay. So, yeah, we're still on scene. My partner's just about to transport you. We have a 16-year-old male patient that was hit by a truck, a Ford F-150, and was dragged. He was on a bicycle. Oh, wow. He was dragged probably about 50 yards. Okay. He's complaining of negative LOC. He was wearing a helmet. He's got an unstable pelvis. He's got road rash all on the left side of his body. His vitals are 115 over 74. His heart rate's 110. He's 94%, 95% on room air. He's consciously oriented right now, and we're just packaging him up to transport. We'll probably be there in about 10 to 15 minutes. 10 to 15 minutes, and he's 16 years old? Yes, doc. Okay, sounds good. Thank you. All right. All right. Bye-bye. Bye-bye.</t>
  </si>
  <si>
    <t>16-year-old male patient that was hit by a truck, a Ford F-150, and was dragged. negative LOC. unstable pelvis. Road rash on the left side of his body. His vitals are 115 over 74. His heart rate's 110. He's 94%, 95% on room air. He's consciously oriented right now,</t>
  </si>
  <si>
    <t>L2, 16y/o, Vitals(BP 115/74, HR 110, RR [??]), GCS:15, MOI(Ped Vs Car), hit by truck, dragged 15 yds. unstable pelvis. No LOC, ETA:10 min</t>
  </si>
  <si>
    <t>Hit by a truck while on a bicycle</t>
  </si>
  <si>
    <t>The transcript describes a 16-year-old male who was hit by a Ford F-150 truck while riding a bicycle and was dragged.</t>
  </si>
  <si>
    <t>['16-year-old male', '16 years old']</t>
  </si>
  <si>
    <t>['vitals are 115 over 74']</t>
  </si>
  <si>
    <t>['consciously oriented right now']</t>
  </si>
  <si>
    <t>['hit by a truck, a Ford F-150, and was dragged', 'on a bicycle', 'dragged probably about 50 yards']</t>
  </si>
  <si>
    <t>ED, it's Dr. Petrosky. Hi, Dr. Petrosky. This is Dave Monroe, paramedic with the town of Tonawanda. I'm just calling you, updating you on a patient. I'm bringing in the trauma alert. Oh, I didn't know about this. Okay. So, yeah, we're still on scene. My partner's just about to transport you. We have a [REDACTED] patient that was hit by a truck, a Ford F-150, and was dragged. He was on a bicycle. Oh, wow. He was dragged probably about 50 yards. Okay. He's complaining of negative LOC. He was wearing a helmet. He's got an unstable pelvis. He's got road rash all on the left side of his body. His vitals are 115 over 74. His heart rate's 110. He's 94%, 95% on room air. He's consciously oriented right now, and we're just packaging him up to transport. We'll probably be there in about 10 to 15 minutes. 10 to 15 minutes, and he's [REDACTED]? Yes, doc. Okay, sounds good. Thank you. All right. All right. Bye-bye. Bye-bye.</t>
  </si>
  <si>
    <t>ED, it's Dr. Petrosky. Hi, Dr. Petrosky. This is Dave Monroe, paramedic with the town of Tonawanda. I'm just calling you, updating you on a patient. I'm bringing in the trauma alert. Oh, I didn't know about this. Okay. So, yeah, we're still on scene. My partner's just about to transport you. We have a 16-year-old male patient that was hit by a truck, a Ford F-150, and was dragged. He was on a bicycle. Oh, wow. He was dragged probably about 50 yards. Okay. He's complaining of negative LOC. He was wearing a helmet. He's got an unstable pelvis. He's got road rash all on the left side of his body. His vitals are 115 over 74. His [REDACTED]. He's 94%, 95% on room air. He's consciously oriented right now, and we're just packaging him up to transport. We'll probably be there in about 10 to 15 minutes. 10 to 15 minutes, and he's 16 years old? Yes, doc. Okay, sounds good. Thank you. All right. All right. Bye-bye. Bye-bye.</t>
  </si>
  <si>
    <t>ED, it's Dr. Petrosky. Hi, Dr. Petrosky. This is Dave Monroe, paramedic with the town of Tonawanda. I'm just calling you, updating you on a patient. I'm bringing in the trauma alert. Oh, I didn't know about this. Okay. So, yeah, we're still on scene. My partner's just about to transport you. We have a 16-year-old male patient that was hit by a truck, a Ford F-150, and was dragged. He was on a bicycle. Oh, wow. He was dragged probably about 50 yards. Okay. He's complaining of negative LOC. He was wearing a helmet. He's got an unstable pelvis. He's got road rash all on the left side of his body. His [REDACTED]. His heart rate's 110. He's 94%, 95% on room air. He's consciously oriented right now, and we're just packaging him up to transport. We'll probably be there in about 10 to 15 minutes. 10 to 15 minutes, and he's 16 years old? Yes, doc. Okay, sounds good. Thank you. All right. All right. Bye-bye. Bye-bye.</t>
  </si>
  <si>
    <t>ED, it's Dr. Petrosky. Hi, Dr. Petrosky. This is Dave Monroe, paramedic with the town of Tonawanda. I'm just calling you, updating you on a patient. I'm bringing in the trauma alert. Oh, I didn't know about this. Okay. So, yeah, we're still on scene. My partner's just about to transport you. We have a 16-year-old male patient that was hit by a truck, a Ford F-150, and was dragged. He was on a bicycle. Oh, wow. He was dragged probably about 50 yards. Okay. He's complaining of negative LOC. He was wearing a helmet. He's got an unstable pelvis. He's got road rash all on the left side of his body. His vitals are 115 over 74. His heart rate's 110. He's 94%, 95% on room air. He's [REDACTED], and we're just packaging him up to transport. We'll probably be there in about 10 to 15 minutes. 10 to 15 minutes, and he's 16 years old? Yes, doc. Okay, sounds good. Thank you. All right. All right. Bye-bye. Bye-bye.</t>
  </si>
  <si>
    <t>ED, it's Dr. Petrosky. Hi, Dr. Petrosky. This is Dave Monroe, paramedic with the town of Tonawanda. I'm just calling you, updating you on a patient. I'm bringing in the trauma alert. Oh, I didn't know about this. Okay. So, yeah, we're still on scene. My partner's just about to transport you. We have a 16-year-old male patient that was [REDACTED]. He was [REDACTED]. Oh, wow. He was [REDACTED]. Okay. He's complaining of negative LOC. He was wearing a helmet. He's got an unstable pelvis. He's got road rash all on the left side of his body. His vitals are 115 over 74. His heart rate's 110. He's 94%, 95% on room air. He's consciously oriented right now, and we're just packaging him up to transport. We'll probably be there in about 10 to 15 minutes. 10 to 15 minutes, and he's 16 years old? Yes, doc. Okay, sounds good. Thank you. All right. All right. Bye-bye. Bye-bye.</t>
  </si>
  <si>
    <t>Hey, it's Kyle here. I'm at Equal Link. How are you? Hi. We're talking to a 12-year-old male who was involved in an ATV accident. He was riding an ATV with no helmet. He hit a bunch of big rocks, maybe like bowling ball-sized rocks, and it flew off the ATV, landed in the grass on his face. He's got some brush burns on his face, brush burns on his leg. He's complaining of right wrist pain. He is constantly alert to everything other than the actual event itself. He does not remember the event itself. He thought he was, when we got him into the ambulance, he said he thought he was sleeping in bed. All his vitals are stable and we're excited to find out. What are his vitals? 123 over 71. Heart rate's 100. 97% in remit. Okay. And he's GCS. What would you give him? I'm sorry, did you get that? No, I'm sorry. What did you say his GCS was? 15. Just the only thing he doesn't remember is the event itself. Okay. How far out are you? I didn't catch you again. How far out? Like five or ten minutes. Okay. Thanks. All right. Thanks. Bye. Bye.</t>
  </si>
  <si>
    <t>12-year-old male who was involved in an ATV accident. No helmet flew off the ATV, landed in the grass on his face. Complaining of right wrist pain. He is constantly alert He does not remember the event itself. 123 over 71. Heart rate's 100. 97% in remit. GCS was? 15.</t>
  </si>
  <si>
    <t>L2, 12y/o, Vitals(BP 123/74, HR 100, RR [??]), GCS:15, MOI(ATV or Motorcycle), hit rock and flew off ATV: LOC, wrist pain, facial injury, ETA:5 min</t>
  </si>
  <si>
    <t>The transcript describes a 12-year-old male involved in an ATV accident where he hit rocks and was thrown off the vehicle.</t>
  </si>
  <si>
    <t>['123 over 71']</t>
  </si>
  <si>
    <t>['constantly alert to everything other than the actual event itself', 'does not remember the event itself', 'he thought he was sleeping in bed']</t>
  </si>
  <si>
    <t>['involved in an ATV accident', 'riding an ATV with no helmet', 'hit a bunch of big rocks', 'flew off the ATV', 'landed in the grass on his face']</t>
  </si>
  <si>
    <t>Hey, it's Kyle here. I'm at Equal Link. How are you? Hi. We're talking to a [REDACTED] who was involved in an ATV accident. He was riding an ATV with no helmet. He hit a bunch of big rocks, maybe like bowling ball-sized rocks, and it flew off the ATV, landed in the grass on his face. He's got some brush burns on his face, brush burns on his leg. He's complaining of right wrist pain. He is constantly alert to everything other than the actual event itself. He does not remember the event itself. He thought he was, when we got him into the ambulance, he said he thought he was sleeping in bed. All his vitals are stable and we're excited to find out. What are his vitals? 123 over 71. Heart rate's 100. 97% in remit. Okay. And he's GCS. What would you give him? I'm sorry, did you get that? No, I'm sorry. What did you say his GCS was? 15. Just the only thing he doesn't remember is the event itself. Okay. How far out are you? I didn't catch you again. How far out? Like five or ten minutes. Okay. Thanks. All right. Thanks. Bye. Bye.</t>
  </si>
  <si>
    <t>Hey, it's Kyle here. I'm at Equal Link. How are you? Hi. We're talking to a 12-year-old male who was involved in an ATV accident. He was riding an ATV with no helmet. He hit a bunch of big rocks, maybe like bowling ball-sized rocks, and it flew off the ATV, landed in the grass on his face. He's got some brush burns on his face, brush burns on his leg. He's complaining of right wrist pain. He is constantly alert to everything other than the actual event itself. He does not remember the event itself. He thought he was, when we got him into the ambulance, he said he thought he was sleeping in bed. All his vitals are stable and we're excited to find out. What are his vitals? 123 over 71. [REDACTED]. 97% in remit. Okay. And he's GCS. What would you give him? I'm sorry, did you get that? No, I'm sorry. What did you say his GCS was? 15. Just the only thing he doesn't remember is the event itself. Okay. How far out are you? I didn't catch you again. How far out? Like five or ten minutes. Okay. Thanks. All right. Thanks. Bye. Bye.</t>
  </si>
  <si>
    <t>Hey, it's Kyle here. I'm at Equal Link. How are you? Hi. We're talking to a 12-year-old male who was involved in an ATV accident. He was riding an ATV with no helmet. He hit a bunch of big rocks, maybe like bowling ball-sized rocks, and it flew off the ATV, landed in the grass on his face. He's got some brush burns on his face, brush burns on his leg. He's complaining of right wrist pain. He is constantly alert to everything other than the actual event itself. He does not remember the event itself. He thought he was, when we got him into the ambulance, he said he thought he was sleeping in bed. All his vitals are stable and we're excited to find out. What are his vitals? [REDACTED]. Heart rate's 100. 97% in remit. Okay. And he's GCS. What would you give him? I'm sorry, did you get that? No, I'm sorry. What did you say his GCS was? 15. Just the only thing he doesn't remember is the event itself. Okay. How far out are you? I didn't catch you again. How far out? Like five or ten minutes. Okay. Thanks. All right. Thanks. Bye. Bye.</t>
  </si>
  <si>
    <t>Hey, it's Kyle here. I'm at Equal Link. How are you? Hi. We're talking to a 12-year-old male who was involved in an ATV accident. He was riding an ATV with no helmet. He hit a bunch of big rocks, maybe like bowling ball-sized rocks, and it flew off the ATV, landed in the grass on his face. He's got some brush burns on his face, brush burns on his leg. He's complaining of right wrist pain. He is [REDACTED]. He [REDACTED]. He thought he was, when we got him into the ambulance, he said [REDACTED]. All his vitals are stable and we're excited to find out. What are his vitals? 123 over 71. Heart rate's 100. 97% in remit. Okay. And he's GCS. What would you give him? I'm sorry, did you get that? No, I'm sorry. What did you say his GCS was? 15. Just the only thing he doesn't remember is the event itself. Okay. How far out are you? I didn't catch you again. How far out? Like five or ten minutes. Okay. Thanks. All right. Thanks. Bye. Bye.</t>
  </si>
  <si>
    <t>Hey, it's Kyle here. I'm at Equal Link. How are you? Hi. We're talking to a 12-year-old male who was [REDACTED]. He was [REDACTED]. He [REDACTED], maybe like bowling ball-sized rocks, and it [REDACTED], [REDACTED]. He's got some brush burns on his face, brush burns on his leg. He's complaining of right wrist pain. He is constantly alert to everything other than the actual event itself. He does not remember the event itself. He thought he was, when we got him into the ambulance, he said he thought he was sleeping in bed. All his vitals are stable and we're excited to find out. What are his vitals? 123 over 71. Heart rate's 100. 97% in remit. Okay. And he's GCS. What would you give him? I'm sorry, did you get that? No, I'm sorry. What did you say his GCS was? 15. Just the only thing he doesn't remember is the event itself. Okay. How far out are you? I didn't catch you again. How far out? Like five or ten minutes. Okay. Thanks. All right. Thanks. Bye. Bye.</t>
  </si>
  <si>
    <t>PCD is Dr. Hall. Hi, Doc. It's City of Lockport Paramedics calling about a patient that I'm bringing in to you guys. All right. I'm ready. All right. An eight-year-old female. She's conscious and breathing. She was involved in a single vehicle accident, MVC. The vehicle collided with a stationary object, a tree. Estimated speed was about 55 miles an hour for the road that they were traveling on. The victim was self-extricated when we got there by the police officers. She's complaining of abdominal and back pain mostly. She does have some bruising along the abdomen, what we believe is the seat belt. She was in, like, a regular lap-shoulder belt type, you all know, car seat or anything. We do have a seat collar on her. Her GCS is 15. Most recent set of vitals, heart rate, 124. Okay. Her blood pressure is 124 over 82. She's 98% on room air. Pupils are equal and reactive to light. So I'm just letting you know we're coming in. EPA, for us, goes probably like 15, 20 minutes. Okay. Did the airbags go off? I do have a name date of birth. It's in my phone. No, sorry. Did the airbags in the car go off? Oh, I'm sorry. The airbags. I thought you said info. Yes. There was airbag deployment, side curtain airbags, and front airbags. Okay. All right. Well, we'll see you guys in about 20 minutes. Sounds good. Thank you. Thank you.</t>
  </si>
  <si>
    <t>eight-year-old female. She's conscious and breathing. involved in a single vehicle accident, MVC. 55 miles and hour complaining of abdominal and back pain mostly. bruising along the abdomen, seat belt Her GCS is 15. Most recent set of vitals, heart rate, 124. Her blood pressure is 124 over 82. She's 98% on room air. Pupils are equal and reactive to light. There was airbag deployment, side curtain airbags, and front airbags.</t>
  </si>
  <si>
    <t>L2, 8y/o, Vitals(BP 124/82, HR 124, RR 18), GCS:15, MOI(MVC), MVC vs tree. est speed 55mph. airbags deployed. no LOC. abd/back pain, seatbelt sign., ETA:15 min</t>
  </si>
  <si>
    <t>Single vehicle accident, MVC with collision into a tree</t>
  </si>
  <si>
    <t>The transcript describes the patient involved in a single vehicle accident where the vehicle collided with a tree.</t>
  </si>
  <si>
    <t>['heart rate, 124']</t>
  </si>
  <si>
    <t>['blood pressure is 124 over 82']</t>
  </si>
  <si>
    <t>["She's conscious and breathing"]</t>
  </si>
  <si>
    <t>PCD is Dr. Hall. Hi, Doc. It's City of Lockport Paramedics calling about a patient that I'm bringing in to you guys. All right. I'm ready. All right. An [REDACTED]. She's conscious and breathing. She was involved in a single vehicle accident, MVC. The vehicle collided with a stationary object, a tree. Estimated speed was about 55 miles an hour for the road that they were traveling on. The victim was self-extricated when we got there by the police officers. She's complaining of abdominal and back pain mostly. She does have some bruising along the abdomen, what we believe is the seat belt. She was in, like, a regular lap-shoulder belt type, you all know, car seat or anything. We do have a seat collar on her. Her GCS is 15. Most recent set of vitals, heart rate, 124. Okay. Her blood pressure is 124 over 82. She's 98% on room air. Pupils are equal and reactive to light. So I'm just letting you know we're coming in. EPA, for us, goes probably like 15, 20 minutes. Okay. Did the airbags go off? I do have a name date of birth. It's in my phone. No, sorry. Did the airbags in the car go off? Oh, I'm sorry. The airbags. I thought you said info. Yes. There was airbag deployment, side curtain airbags, and front airbags. Okay. All right. Well, we'll see you guys in about 20 minutes. Sounds good. Thank you. Thank you.</t>
  </si>
  <si>
    <t>PCD is Dr. Hall. Hi, Doc. It's City of Lockport Paramedics calling about a patient that I'm bringing in to you guys. All right. I'm ready. All right. An eight-year-old female. She's conscious and breathing. She was involved in a single vehicle accident, MVC. The vehicle collided with a stationary object, a tree. Estimated speed was about 55 miles an hour for the road that they were traveling on. The victim was self-extricated when we got there by the police officers. She's complaining of abdominal and back pain mostly. She does have some bruising along the abdomen, what we believe is the seat belt. She was in, like, a regular lap-shoulder belt type, you all know, car seat or anything. We do have a seat collar on her. Her GCS is 15. Most recent set of vitals, [REDACTED]. Okay. Her blood pressure is 124 over 82. She's 98% on room air. Pupils are equal and reactive to light. So I'm just letting you know we're coming in. EPA, for us, goes probably like 15, 20 minutes. Okay. Did the airbags go off? I do have a name date of birth. It's in my phone. No, sorry. Did the airbags in the car go off? Oh, I'm sorry. The airbags. I thought you said info. Yes. There was airbag deployment, side curtain airbags, and front airbags. Okay. All right. Well, we'll see you guys in about 20 minutes. Sounds good. Thank you. Thank you.</t>
  </si>
  <si>
    <t>PCD is Dr. Hall. Hi, Doc. It's City of Lockport Paramedics calling about a patient that I'm bringing in to you guys. All right. I'm ready. All right. An eight-year-old female. She's conscious and breathing. She was involved in a single vehicle accident, MVC. The vehicle collided with a stationary object, a tree. Estimated speed was about 55 miles an hour for the road that they were traveling on. The victim was self-extricated when we got there by the police officers. She's complaining of abdominal and back pain mostly. She does have some bruising along the abdomen, what we believe is the seat belt. She was in, like, a regular lap-shoulder belt type, you all know, car seat or anything. We do have a seat collar on her. Her GCS is 15. Most recent set of vitals, heart rate, 124. Okay. Her [REDACTED]. She's 98% on room air. Pupils are equal and reactive to light. So I'm just letting you know we're coming in. EPA, for us, goes probably like 15, 20 minutes. Okay. Did the airbags go off? I do have a name date of birth. It's in my phone. No, sorry. Did the airbags in the car go off? Oh, I'm sorry. The airbags. I thought you said info. Yes. There was airbag deployment, side curtain airbags, and front airbags. Okay. All right. Well, we'll see you guys in about 20 minutes. Sounds good. Thank you. Thank you.</t>
  </si>
  <si>
    <t>PCD is Dr. Hall. Hi, Doc. It's City of Lockport Paramedics calling about a patient that I'm bringing in to you guys. All right. I'm ready. All right. An eight-year-old female. [REDACTED]. She was involved in a single vehicle accident, MVC. The vehicle collided with a stationary object, a tree. Estimated speed was about 55 miles an hour for the road that they were traveling on. The victim was self-extricated when we got there by the police officers. She's complaining of abdominal and back pain mostly. She does have some bruising along the abdomen, what we believe is the seat belt. She was in, like, a regular lap-shoulder belt type, you all know, car seat or anything. We do have a seat collar on her. Her GCS is 15. Most recent set of vitals, heart rate, 124. Okay. Her blood pressure is 124 over 82. She's 98% on room air. Pupils are equal and reactive to light. So I'm just letting you know we're coming in. EPA, for us, goes probably like 15, 20 minutes. Okay. Did the airbags go off? I do have a name date of birth. It's in my phone. No, sorry. Did the airbags in the car go off? Oh, I'm sorry. The airbags. I thought you said info. Yes. There was airbag deployment, side curtain airbags, and front airbags. Okay. All right. Well, we'll see you guys in about 20 minutes. Sounds good. Thank you. Thank you.</t>
  </si>
  <si>
    <t>Dr. Belton, can I help you? Hi, this is Dana Scott, Advanced with AMR. I am bringing you guys a 14-year-old male that was run over by a car on Niagara Falls Boulevard, dragged roughly 20 feet underneath the car. We don't know how fast the car was going at the time of impact. He's got minimal lung sounds on the right side, clear lung sounds on the left. The GCF is 14. He's tail diaphoretic. His pressure was 110 over 40. Current heart rate is 148. He was at 81% on room air. We have him on O2 now, non-rebreather. He's up to 85%. We're coming from the fall, so we'll be there in about 25 minutes. Hello? Yep, thanks. We'll see when you get here. All right, thank you. Bye. Bye.</t>
  </si>
  <si>
    <t>14-year-old male that was run over by a car dragged roughly 20 feet underneath the car. minimal lung sounds on the right side, clear lung sounds on the left. The GCF is 14. He's tail diaphoretic. His pressure was 110 over 40. Current heart rate is 148. He was at 81% on room air. We have him on O2 now, non-rebreather. He's up to 85%.</t>
  </si>
  <si>
    <t>L1, 14y/o, Vitals(BP 110/40, HR 148, RR [??]), GCS:14, MOI(Ped Vs Car), hypoxic, no lung sounds on left, ETA:20 min</t>
  </si>
  <si>
    <t>Run over by a car</t>
  </si>
  <si>
    <t>The transcript states the patient was run over by a car and dragged roughly 20 feet.</t>
  </si>
  <si>
    <t>['heart rate is 148']</t>
  </si>
  <si>
    <t>['pressure was 110 over 40']</t>
  </si>
  <si>
    <t>['run over by a car on Niagara Falls Boulevard', 'dragged roughly 20 feet underneath the car']</t>
  </si>
  <si>
    <t>Dr. Belton, can I help you? Hi, this is Dana Scott, Advanced with AMR. I am bringing you guys a [REDACTED] that was run over by a car on Niagara Falls Boulevard, dragged roughly 20 feet underneath the car. We don't know how fast the car was going at the time of impact. He's got minimal lung sounds on the right side, clear lung sounds on the left. The GCF is 14. He's tail diaphoretic. His pressure was 110 over 40. Current heart rate is 148. He was at 81% on room air. We have him on O2 now, non-rebreather. He's up to 85%. We're coming from the fall, so we'll be there in about 25 minutes. Hello? Yep, thanks. We'll see when you get here. All right, thank you. Bye. Bye.</t>
  </si>
  <si>
    <t>Dr. Belton, can I help you? Hi, this is Dana Scott, Advanced with AMR. I am bringing you guys a 14-year-old male that was run over by a car on Niagara Falls Boulevard, dragged roughly 20 feet underneath the car. We don't know how fast the car was going at the time of impact. He's got minimal lung sounds on the right side, clear lung sounds on the left. The GCF is 14. He's tail diaphoretic. His pressure was 110 over 40. Current [REDACTED]. He was at 81% on room air. We have him on O2 now, non-rebreather. He's up to 85%. We're coming from the fall, so we'll be there in about 25 minutes. Hello? Yep, thanks. We'll see when you get here. All right, thank you. Bye. Bye.</t>
  </si>
  <si>
    <t>Dr. Belton, can I help you? Hi, this is Dana Scott, Advanced with AMR. I am bringing you guys a 14-year-old male that was run over by a car on Niagara Falls Boulevard, dragged roughly 20 feet underneath the car. We don't know how fast the car was going at the time of impact. He's got minimal lung sounds on the right side, clear lung sounds on the left. The GCF is 14. He's tail diaphoretic. His [REDACTED]. Current heart rate is 148. He was at 81% on room air. We have him on O2 now, non-rebreather. He's up to 85%. We're coming from the fall, so we'll be there in about 25 minutes. Hello? Yep, thanks. We'll see when you get here. All right, thank you. Bye. Bye.</t>
  </si>
  <si>
    <t>Dr. Belton, can I help you? Hi, this is Dana Scott, Advanced with AMR. I am bringing you guys a 14-year-old male that was [REDACTED], [REDACTED]. We don't know how fast the car was going at the time of impact. He's got minimal lung sounds on the right side, clear lung sounds on the left. The GCF is 14. He's tail diaphoretic. His pressure was 110 over 40. Current heart rate is 148. He was at 81% on room air. We have him on O2 now, non-rebreather. He's up to 85%. We're coming from the fall, so we'll be there in about 25 minutes. Hello? Yep, thanks. We'll see when you get here. All right, thank you. Bye. Bye.</t>
  </si>
  <si>
    <t>Children's Emergency Department, this is Dr. Ruano. Hey, this is Michaela with OVEC calling in patient report. Okay. I have a 14-year-old female attacked by a pit bull. We do have a tourniquet applied to the left arm with reported tendon exposure. She also has injuries to her face, a puncture wound to her neck. I believe it is just superficial soft tissue. She has injuries to her right arm and right thigh. She is awake and alert. GCS is 15. Vitals are stable, 137 over 90, heart rate 106. She has 95% room air. Respirations are about 20 and regular. Like I said, she's awake and alert, answering all my questions appropriately. Okay. And you said the tourniquet is on the left arm. Did it look like a pulsatile? I didn't see it. Police applied before I got there, and then the fire department applied the splint and the bandages prior to my arrival, and I didn't want to uncover them. I tried to evaluate it. I just left it all on. Okay. Did they say how it looked? Yeah. There was a volunteer paramedic on scene, but there was tendon exposure. Tendon exposure. Okay. Possible fracture? Yes. Okay. Okay. How far out are you guys? How far out are we? About 20 minutes. 20 minutes? Okay. Yes. Okay. I'm going to be able to get ID access. Perfect. How long has the tourniquet been on? The tourniquet was applied at around 1745. 1745. Okay. So about like 10 minutes? Yes. Try to take it off if you can, and like that we can assess it when they get here, because especially if there's like potentially an open fracture, if it's not spurting, that's okay. Okay. Yeah. Okay. Just because we don't want to risk further injury. Okay. Okay. And if it's spurting, I'm going to reapply it. Exactly. Do you want me to call back with another report? Up to you. Up to you. If it's definitely spurting, you can feel free to call me back, but otherwise you can just leave it as is. Okay. Sounds good. We'll see you then. Okay. Oh, just leave it. Oh, okay. My attending said you could just leave it. Do you want me to do it while you're on the phone? Wait, what's that? Yeah. Nope. Sorry. Sorry. Yep. You're good to remove it. Okay. Okay. Thank you so much. We'll see you guys soon. Bye. Bye. Bye.</t>
  </si>
  <si>
    <t>14-year-old female attacked by a pit bull. tourniquet applied to the left arm with reported tendon exposure. injuries to her face, a puncture wound to her neck GCS is 15. Vitals are stable, 137 over 90, heart rate 106. She has 95% room air. Respirations are about 20 and regular. Possible fracture? Yes.</t>
  </si>
  <si>
    <t>L2, 14y/o, Vitals(BP 137/90, HR 90, RR 20), GCS:15, MOI(Other), pitbull attack, extremity injuries, tendon exposure, poss fx, puncture of neck, ETA:15 min</t>
  </si>
  <si>
    <t>Attacked by a pit bull</t>
  </si>
  <si>
    <t>The report clearly states the patient was attacked by a pit bull, resulting in multiple injuries.</t>
  </si>
  <si>
    <t>['heart rate 106']</t>
  </si>
  <si>
    <t>['137 over 90']</t>
  </si>
  <si>
    <t>['Respirations are about 20']</t>
  </si>
  <si>
    <t>['attacked by a pit bull']</t>
  </si>
  <si>
    <t>Children's Emergency Department, this is Dr. Ruano. Hey, this is Michaela with OVEC calling in patient report. Okay. I have a [REDACTED] attacked by a pit bull. We do have a tourniquet applied to the left arm with reported tendon exposure. She also has injuries to her face, a puncture wound to her neck. I believe it is just superficial soft tissue. She has injuries to her right arm and right thigh. She is awake and alert. GCS is 15. Vitals are stable, 137 over 90, heart rate 106. She has 95% room air. Respirations are about 20 and regular. Like I said, she's awake and alert, answering all my questions appropriately. Okay. And you said the tourniquet is on the left arm. Did it look like a pulsatile? I didn't see it. Police applied before I got there, and then the fire department applied the splint and the bandages prior to my arrival, and I didn't want to uncover them. I tried to evaluate it. I just left it all on. Okay. Did they say how it looked? Yeah. There was a volunteer paramedic on scene, but there was tendon exposure. Tendon exposure. Okay. Possible fracture? Yes. Okay. Okay. How far out are you guys? How far out are we? About 20 minutes. 20 minutes? Okay. Yes. Okay. I'm going to be able to get ID access. Perfect. How long has the tourniquet been on? The tourniquet was applied at around 1745. 1745. Okay. So about like 10 minutes? Yes. Try to take it off if you can, and like that we can assess it when they get here, because especially if there's like potentially an open fracture, if it's not spurting, that's okay. Okay. Yeah. Okay. Just because we don't want to risk further injury. Okay. Okay. And if it's spurting, I'm going to reapply it. Exactly. Do you want me to call back with another report? Up to you. Up to you. If it's definitely spurting, you can feel free to call me back, but otherwise you can just leave it as is. Okay. Sounds good. We'll see you then. Okay. Oh, just leave it. Oh, okay. My attending said you could just leave it. Do you want me to do it while you're on the phone? Wait, what's that? Yeah. Nope. Sorry. Sorry. Yep. You're good to remove it. Okay. Okay. Thank you so much. We'll see you guys soon. Bye. Bye. Bye.</t>
  </si>
  <si>
    <t>Children's Emergency Department, this is Dr. Ruano. Hey, this is Michaela with OVEC calling in patient report. Okay. I have a 14-year-old female attacked by a pit bull. We do have a tourniquet applied to the left arm with reported tendon exposure. She also has injuries to her face, a puncture wound to her neck. I believe it is just superficial soft tissue. She has injuries to her right arm and right thigh. She is awake and alert. GCS is 15. Vitals are stable, 137 over 90, [REDACTED]. She has 95% room air. Respirations are about 20 and regular. Like I said, she's awake and alert, answering all my questions appropriately. Okay. And you said the tourniquet is on the left arm. Did it look like a pulsatile? I didn't see it. Police applied before I got there, and then the fire department applied the splint and the bandages prior to my arrival, and I didn't want to uncover them. I tried to evaluate it. I just left it all on. Okay. Did they say how it looked? Yeah. There was a volunteer paramedic on scene, but there was tendon exposure. Tendon exposure. Okay. Possible fracture? Yes. Okay. Okay. How far out are you guys? How far out are we? About 20 minutes. 20 minutes? Okay. Yes. Okay. I'm going to be able to get ID access. Perfect. How long has the tourniquet been on? The tourniquet was applied at around 1745. 1745. Okay. So about like 10 minutes? Yes. Try to take it off if you can, and like that we can assess it when they get here, because especially if there's like potentially an open fracture, if it's not spurting, that's okay. Okay. Yeah. Okay. Just because we don't want to risk further injury. Okay. Okay. And if it's spurting, I'm going to reapply it. Exactly. Do you want me to call back with another report? Up to you. Up to you. If it's definitely spurting, you can feel free to call me back, but otherwise you can just leave it as is. Okay. Sounds good. We'll see you then. Okay. Oh, just leave it. Oh, okay. My attending said you could just leave it. Do you want me to do it while you're on the phone? Wait, what's that? Yeah. Nope. Sorry. Sorry. Yep. You're good to remove it. Okay. Okay. Thank you so much. We'll see you guys soon. Bye. Bye. Bye.</t>
  </si>
  <si>
    <t>Children's Emergency Department, this is Dr. Ruano. Hey, this is Michaela with OVEC calling in patient report. Okay. I have a 14-year-old female attacked by a pit bull. We do have a tourniquet applied to the left arm with reported tendon exposure. She also has injuries to her face, a puncture wound to her neck. I believe it is just superficial soft tissue. She has injuries to her right arm and right thigh. She is awake and alert. GCS is 15. Vitals are stable, [REDACTED], heart rate 106. She has 95% room air. Respirations are about 20 and regular. Like I said, she's awake and alert, answering all my questions appropriately. Okay. And you said the tourniquet is on the left arm. Did it look like a pulsatile? I didn't see it. Police applied before I got there, and then the fire department applied the splint and the bandages prior to my arrival, and I didn't want to uncover them. I tried to evaluate it. I just left it all on. Okay. Did they say how it looked? Yeah. There was a volunteer paramedic on scene, but there was tendon exposure. Tendon exposure. Okay. Possible fracture? Yes. Okay. Okay. How far out are you guys? How far out are we? About 20 minutes. 20 minutes? Okay. Yes. Okay. I'm going to be able to get ID access. Perfect. How long has the tourniquet been on? The tourniquet was applied at around 1745. 1745. Okay. So about like 10 minutes? Yes. Try to take it off if you can, and like that we can assess it when they get here, because especially if there's like potentially an open fracture, if it's not spurting, that's okay. Okay. Yeah. Okay. Just because we don't want to risk further injury. Okay. Okay. And if it's spurting, I'm going to reapply it. Exactly. Do you want me to call back with another report? Up to you. Up to you. If it's definitely spurting, you can feel free to call me back, but otherwise you can just leave it as is. Okay. Sounds good. We'll see you then. Okay. Oh, just leave it. Oh, okay. My attending said you could just leave it. Do you want me to do it while you're on the phone? Wait, what's that? Yeah. Nope. Sorry. Sorry. Yep. You're good to remove it. Okay. Okay. Thank you so much. We'll see you guys soon. Bye. Bye. Bye.</t>
  </si>
  <si>
    <t>Children's Emergency Department, this is Dr. Ruano. Hey, this is Michaela with OVEC calling in patient report. Okay. I have a 14-year-old female attacked by a pit bull. We do have a tourniquet applied to the left arm with reported tendon exposure. She also has injuries to her face, a puncture wound to her neck. I believe it is just superficial soft tissue. She has injuries to her right arm and right thigh. She is awake and alert. GCS is 15. Vitals are stable, 137 over 90, heart rate 106. She has 95% room air. [REDACTED] and regular. Like I said, she's awake and alert, answering all my questions appropriately. Okay. And you said the tourniquet is on the left arm. Did it look like a pulsatile? I didn't see it. Police applied before I got there, and then the fire department applied the splint and the bandages prior to my arrival, and I didn't want to uncover them. I tried to evaluate it. I just left it all on. Okay. Did they say how it looked? Yeah. There was a volunteer paramedic on scene, but there was tendon exposure. Tendon exposure. Okay. Possible fracture? Yes. Okay. Okay. How far out are you guys? How far out are we? About 20 minutes. 20 minutes? Okay. Yes. Okay. I'm going to be able to get ID access. Perfect. How long has the tourniquet been on? The tourniquet was applied at around 1745. 1745. Okay. So about like 10 minutes? Yes. Try to take it off if you can, and like that we can assess it when they get here, because especially if there's like potentially an open fracture, if it's not spurting, that's okay. Okay. Yeah. Okay. Just because we don't want to risk further injury. Okay. Okay. And if it's spurting, I'm going to reapply it. Exactly. Do you want me to call back with another report? Up to you. Up to you. If it's definitely spurting, you can feel free to call me back, but otherwise you can just leave it as is. Okay. Sounds good. We'll see you then. Okay. Oh, just leave it. Oh, okay. My attending said you could just leave it. Do you want me to do it while you're on the phone? Wait, what's that? Yeah. Nope. Sorry. Sorry. Yep. You're good to remove it. Okay. Okay. Thank you so much. We'll see you guys soon. Bye. Bye. Bye.</t>
  </si>
  <si>
    <t>Children's Emergency Department, this is Dr. Ruano. Hey, this is Michaela with OVEC calling in patient report. Okay. I have a 14-year-old female [REDACTED]. We do have a tourniquet applied to the left arm with reported tendon exposure. She also has injuries to her face, a puncture wound to her neck. I believe it is just superficial soft tissue. She has injuries to her right arm and right thigh. She is awake and alert. GCS is 15. Vitals are stable, 137 over 90, heart rate 106. She has 95% room air. Respirations are about 20 and regular. Like I said, she's awake and alert, answering all my questions appropriately. Okay. And you said the tourniquet is on the left arm. Did it look like a pulsatile? I didn't see it. Police applied before I got there, and then the fire department applied the splint and the bandages prior to my arrival, and I didn't want to uncover them. I tried to evaluate it. I just left it all on. Okay. Did they say how it looked? Yeah. There was a volunteer paramedic on scene, but there was tendon exposure. Tendon exposure. Okay. Possible fracture? Yes. Okay. Okay. How far out are you guys? How far out are we? About 20 minutes. 20 minutes? Okay. Yes. Okay. I'm going to be able to get ID access. Perfect. How long has the tourniquet been on? The tourniquet was applied at around 1745. 1745. Okay. So about like 10 minutes? Yes. Try to take it off if you can, and like that we can assess it when they get here, because especially if there's like potentially an open fracture, if it's not spurting, that's okay. Okay. Yeah. Okay. Just because we don't want to risk further injury. Okay. Okay. And if it's spurting, I'm going to reapply it. Exactly. Do you want me to call back with another report? Up to you. Up to you. If it's definitely spurting, you can feel free to call me back, but otherwise you can just leave it as is. Okay. Sounds good. We'll see you then. Okay. Oh, just leave it. Oh, okay. My attending said you could just leave it. Do you want me to do it while you're on the phone? Wait, what's that? Yeah. Nope. Sorry. Sorry. Yep. You're good to remove it. Okay. Okay. Thank you so much. We'll see you guys soon. Bye. Bye. Bye.</t>
  </si>
  <si>
    <t>E.D. is Dr. Petrosky. Hey, Dr. Petrosky. This is Jonathan, paramedic with Twin City Ambulance. How are you? Good. How are you? Good. I'm coming to you with a 05-year-old male. He was with his mother at the playground doing the monkey bars when he fell from approximately 10 feet in height. It was witnessed he has a compound fracture on his left arm by his wrist and just below his elbow. There is some swelling. It's splinted. I gave him about 40 micrograms of fentanyl, and he's tolerating the pain right now. But other than that, there are no other injuries. It was witnessed, no LOC, didn't hit his head, and everything else is... Yep, I got a pulse of 94. I've got a pressure of 101 over... Sorry, one sec. 63, and I've got 97% on Ramir. Do you have an estimated weight on him? Yeah, he's about 24... Or, uh... So, 4... 44 pounds. He's about 20 kilos. About 20 kilos. Okay. Yeah. Okay, sounds good. How far are you guys? About 10 minutes. We're going to go light some sirens just because. All right, sounds great. Thank you. All right. See you, Doc.</t>
  </si>
  <si>
    <t>05-year-old male. fell from approximately 10 feet in height. It was witnessed he has a compound fracture on his left arm by his wrist and just below his elbow. no LOC, didn't hit his head,  I got a pulse of 94. I've got a pressure of 101 over… 63, and I've got 97% on Ramir. He's about 20 kilos.</t>
  </si>
  <si>
    <t>L2, 5y/o, Vitals(BP 101/63, HR 94, RR [??]), GCS:15, MOI(Fall&gt;10 or 3x Child height), Patient fell approximately 10 feet at a playground. Patient does have a compound fracture of left a, ETA:8 min</t>
  </si>
  <si>
    <t>Fall from approximately 10 feet in height at the playground</t>
  </si>
  <si>
    <t>The paramedic described the child falling from the monkey bars, which is a clear mechanism of injury.</t>
  </si>
  <si>
    <t>['05-year-old male']</t>
  </si>
  <si>
    <t>E.D. is Dr. Petrosky. Hey, Dr. Petrosky. This is Jonathan, paramedic with Twin City Ambulance. How are you? Good. How are you? Good. I'm coming to you with a [REDACTED]. He was with his mother at the playground doing the monkey bars when he fell from approximately 10 feet in height. It was witnessed he has a compound fracture on his left arm by his wrist and just below his elbow. There is some swelling. It's splinted. I gave him about 40 micrograms of fentanyl, and he's tolerating the pain right now. But other than that, there are no other injuries. It was witnessed, no LOC, didn't hit his head, and everything else is... Yep, I got a pulse of 94. I've got a pressure of 101 over... Sorry, one sec. 63, and I've got 97% on Ramir. Do you have an estimated weight on him? Yeah, he's about 24... Or, uh... So, 4... 44 pounds. He's about 20 kilos. About 20 kilos. Okay. Yeah. Okay, sounds good. How far are you guys? About 10 minutes. We're going to go light some sirens just because. All right, sounds great. Thank you. All right. See you, Doc.</t>
  </si>
  <si>
    <t>Children's ER, this is Dr. Weiss. Hi, this is Joe, paramedic on Lake Q8 with a potential trauma notification. Okay, what do you got? I have a 12-year-old male who's riding an electric skateboard and took a header off of it. He was wearing a helmet, but he's pretty lethargic, not necessarily answering questions appropriately. Okay. His blood sugar is 87. His vitals are 124 over 69, 99% of room air, 65 on the heart rate. Like I said, he's lethargic. We can wake him up and kind of acknowledge that we're here, but not really answering questions and won't tell me what to eat like that. Okay. What's his GCS? Is he moving spontaneously? Is he moaning spontaneously? Is he moving spontaneously? Yeah. Okay. Is he opening his eyes spontaneously or only to voice or only to pain? He opens them to voice. Okay. And then is he able to, when he's talking, is he incoherent? Is he mumbling? Is he confused? Mumbles. I asked him what year he said no and things like that. I haven't really gotten much out of him besides knowing. Okay. All right. Sounds good. And then... Okay. So how far away are you guys? We're just coming down Elm, so probably around five or ten minutes. Awesome. If you don't mind, if you haven't already, if you just wouldn't mind, would be able to throw him in a collar before you guys get here, that'd be great. Yep. He's got one. Awesome. Thanks. We'll see you guys when you get here. Thank you. Bye. Bye. Bye.</t>
  </si>
  <si>
    <t>12-year-old male who's riding an electric skateboard and took a header off of it. wearing a helmet, but he's pretty lethargic, His blood sugar is 87. His vitals are 124 over 69, 99% of room air, 65 on the heart rate. Is he moving spontaneously? Yeah. Is he opening his eyes spontaneously or only to voice or only to pain? He opens them to voice. Is he mumbling? Is he confused? Mumbles.</t>
  </si>
  <si>
    <t>L2, 12y/o, Vitals(BP 124/69, HR 651, RR [??]), GCS:12, MOI(Other), Fall from electric scooter, unknown speed/LOC;, Blunt trauma:Head, ETA:5 min</t>
  </si>
  <si>
    <t>Fall from electric skateboard</t>
  </si>
  <si>
    <t>The transcript describes a 12-year-old male who fell off an electric skateboard.</t>
  </si>
  <si>
    <t>['65 on the heart rate']</t>
  </si>
  <si>
    <t>['124 over 69']</t>
  </si>
  <si>
    <t>['riding an electric skateboard and took a header off of it']</t>
  </si>
  <si>
    <t>Children's ER, this is Dr. Weiss. Hi, this is Joe, paramedic on Lake Q8 with a potential trauma notification. Okay, what do you got? I have a [REDACTED] who's riding an electric skateboard and took a header off of it. He was wearing a helmet, but he's pretty lethargic, not necessarily answering questions appropriately. Okay. His blood sugar is 87. His vitals are 124 over 69, 99% of room air, 65 on the heart rate. Like I said, he's lethargic. We can wake him up and kind of acknowledge that we're here, but not really answering questions and won't tell me what to eat like that. Okay. What's his GCS? Is he moving spontaneously? Is he moaning spontaneously? Is he moving spontaneously? Yeah. Okay. Is he opening his eyes spontaneously or only to voice or only to pain? He opens them to voice. Okay. And then is he able to, when he's talking, is he incoherent? Is he mumbling? Is he confused? Mumbles. I asked him what year he said no and things like that. I haven't really gotten much out of him besides knowing. Okay. All right. Sounds good. And then... Okay. So how far away are you guys? We're just coming down Elm, so probably around five or ten minutes. Awesome. If you don't mind, if you haven't already, if you just wouldn't mind, would be able to throw him in a collar before you guys get here, that'd be great. Yep. He's got one. Awesome. Thanks. We'll see you guys when you get here. Thank you. Bye. Bye. Bye.</t>
  </si>
  <si>
    <t>Children's ER, this is Dr. Weiss. Hi, this is Joe, paramedic on Lake Q8 with a potential trauma notification. Okay, what do you got? I have a 12-year-old male who's riding an electric skateboard and took a header off of it. He was wearing a helmet, but he's pretty lethargic, not necessarily answering questions appropriately. Okay. His blood sugar is 87. His vitals are 124 over 69, 99% of room air, [REDACTED]. Like I said, he's lethargic. We can wake him up and kind of acknowledge that we're here, but not really answering questions and won't tell me what to eat like that. Okay. What's his GCS? Is he moving spontaneously? Is he moaning spontaneously? Is he moving spontaneously? Yeah. Okay. Is he opening his eyes spontaneously or only to voice or only to pain? He opens them to voice. Okay. And then is he able to, when he's talking, is he incoherent? Is he mumbling? Is he confused? Mumbles. I asked him what year he said no and things like that. I haven't really gotten much out of him besides knowing. Okay. All right. Sounds good. And then... Okay. So how far away are you guys? We're just coming down Elm, so probably around five or ten minutes. Awesome. If you don't mind, if you haven't already, if you just wouldn't mind, would be able to throw him in a collar before you guys get here, that'd be great. Yep. He's got one. Awesome. Thanks. We'll see you guys when you get here. Thank you. Bye. Bye. Bye.</t>
  </si>
  <si>
    <t>Children's ER, this is Dr. Weiss. Hi, this is Joe, paramedic on Lake Q8 with a potential trauma notification. Okay, what do you got? I have a 12-year-old male who's riding an electric skateboard and took a header off of it. He was wearing a helmet, but he's pretty lethargic, not necessarily answering questions appropriately. Okay. His blood sugar is 87. His vitals are [REDACTED], 99% of room air, 65 on the heart rate. Like I said, he's lethargic. We can wake him up and kind of acknowledge that we're here, but not really answering questions and won't tell me what to eat like that. Okay. What's his GCS? Is he moving spontaneously? Is he moaning spontaneously? Is he moving spontaneously? Yeah. Okay. Is he opening his eyes spontaneously or only to voice or only to pain? He opens them to voice. Okay. And then is he able to, when he's talking, is he incoherent? Is he mumbling? Is he confused? Mumbles. I asked him what year he said no and things like that. I haven't really gotten much out of him besides knowing. Okay. All right. Sounds good. And then... Okay. So how far away are you guys? We're just coming down Elm, so probably around five or ten minutes. Awesome. If you don't mind, if you haven't already, if you just wouldn't mind, would be able to throw him in a collar before you guys get here, that'd be great. Yep. He's got one. Awesome. Thanks. We'll see you guys when you get here. Thank you. Bye. Bye. Bye.</t>
  </si>
  <si>
    <t>Children's ER, this is Dr. Weiss. Hi, this is Joe, paramedic on Lake Q8 with a potential trauma notification. Okay, what do you got? I have a 12-year-old male who's [REDACTED]. He was wearing a helmet, but he's pretty lethargic, not necessarily answering questions appropriately. Okay. His blood sugar is 87. His vitals are 124 over 69, 99% of room air, 65 on the heart rate. Like I said, he's lethargic. We can wake him up and kind of acknowledge that we're here, but not really answering questions and won't tell me what to eat like that. Okay. What's his GCS? Is he moving spontaneously? Is he moaning spontaneously? Is he moving spontaneously? Yeah. Okay. Is he opening his eyes spontaneously or only to voice or only to pain? He opens them to voice. Okay. And then is he able to, when he's talking, is he incoherent? Is he mumbling? Is he confused? Mumbles. I asked him what year he said no and things like that. I haven't really gotten much out of him besides knowing. Okay. All right. Sounds good. And then... Okay. So how far away are you guys? We're just coming down Elm, so probably around five or ten minutes. Awesome. If you don't mind, if you haven't already, if you just wouldn't mind, would be able to throw him in a collar before you guys get here, that'd be great. Yep. He's got one. Awesome. Thanks. We'll see you guys when you get here. Thank you. Bye. Bye. Bye.</t>
  </si>
  <si>
    <t>Hi, it's Dr. Kowalski. Hi, Dr. Kowalski, paramedic Blake with AMR. Hi. I have a 17-year-old male stabbed to the back. Oh, Jesus. Okay. About thoracic level, just mid-thoracic. Lung sounds are clear a little bit to the right side. And he also got stabbed in the left shoulder. Conscious alert oriented. Blood pressure, cycling right now. I'll let you know in a second. Heart rate 110, 96 on room air. Or, sorry, 96 on, I got him on high flow too because he felt a little short of breath. Lung sounds were clear bilaterally. As soon as the blood pressure comes up for you, I'll give you a number. Okay. His last one was 115 over 86. And this one is, come on, today. He's going to slip out of the infusible. He's going to slip out of the infusible. You said the left side of the back? Or the right side of the back? Right side. Sit up a little while. Double G. Right side. Just to the right of the spine. Of course, it didn't, it cycled out on me. Okay, that's fine. And then the respiratory rate is what? Respiratory rate is about 20. Okay. He's just slightly short of breath. Like I said, might be a little diminished in the right lower. But, you know, it's a little bit. Uppers and left side are clear. Absolutely clear. I'm going to listen again in a minute when my partner decides to turn the siren off for a second so I can hear. Okay. We are coming from Niagara Falls. So, actually, we're in Toronto right now. We'll be there in about another 10, 15 minutes. Okay. Thank you so much. If anything, please just call us back. Okay? Absolutely. Thanks. Bye. Bye.</t>
  </si>
  <si>
    <t>17-year-old male stabbed to the back. mid-thoracic. Lung sounds are clear a little bit to the right side. And he also got stabbed in the left shoulder. Conscious alert oriented. Heart rate 110, 96 on high flow Lung sounds were clear bilaterally. 115 over 86 Respiratory rate is about 20.</t>
  </si>
  <si>
    <t>L1, 17y/o, Vitals(BP 115/86, HR 110, RR 20), GCS:15, MOI(Penetrating Injury), stab wound to mid back, ETA:10 min</t>
  </si>
  <si>
    <t>Stabbed to the back and left shoulder</t>
  </si>
  <si>
    <t>The paramedic explicitly states the patient was "stabbed to the back" and "stabbed in the left shoulder."</t>
  </si>
  <si>
    <t>['Respiratory rate is about 20']</t>
  </si>
  <si>
    <t>['Conscious alert oriented']</t>
  </si>
  <si>
    <t>['stabbed to the back', 'stabbed in the left shoulder']</t>
  </si>
  <si>
    <t>Hi, it's Dr. Kowalski. Hi, Dr. Kowalski, paramedic Blake with AMR. Hi. I have a [REDACTED] stabbed to the back. Oh, Jesus. Okay. About thoracic level, just mid-thoracic. Lung sounds are clear a little bit to the right side. And he also got stabbed in the left shoulder. Conscious alert oriented. Blood pressure, cycling right now. I'll let you know in a second. Heart rate 110, 96 on room air. Or, sorry, 96 on, I got him on high flow too because he felt a little short of breath. Lung sounds were clear bilaterally. As soon as the blood pressure comes up for you, I'll give you a number. Okay. His last one was 115 over 86. And this one is, come on, today. He's going to slip out of the infusible. He's going to slip out of the infusible. You said the left side of the back? Or the right side of the back? Right side. Sit up a little while. Double G. Right side. Just to the right of the spine. Of course, it didn't, it cycled out on me. Okay, that's fine. And then the respiratory rate is what? Respiratory rate is about 20. Okay. He's just slightly short of breath. Like I said, might be a little diminished in the right lower. But, you know, it's a little bit. Uppers and left side are clear. Absolutely clear. I'm going to listen again in a minute when my partner decides to turn the siren off for a second so I can hear. Okay. We are coming from Niagara Falls. So, actually, we're in Toronto right now. We'll be there in about another 10, 15 minutes. Okay. Thank you so much. If anything, please just call us back. Okay? Absolutely. Thanks. Bye. Bye.</t>
  </si>
  <si>
    <t>Hi, it's Dr. Kowalski. Hi, Dr. Kowalski, paramedic Blake with AMR. Hi. I have a 17-year-old male stabbed to the back. Oh, Jesus. Okay. About thoracic level, just mid-thoracic. Lung sounds are clear a little bit to the right side. And he also got stabbed in the left shoulder. Conscious alert oriented. Blood pressure, cycling right now. I'll let you know in a second. [REDACTED], 96 on room air. Or, sorry, 96 on, I got him on high flow too because he felt a little short of breath. Lung sounds were clear bilaterally. As soon as the blood pressure comes up for you, I'll give you a number. Okay. His last one was 115 over 86. And this one is, come on, today. He's going to slip out of the infusible. He's going to slip out of the infusible. You said the left side of the back? Or the right side of the back? Right side. Sit up a little while. Double G. Right side. Just to the right of the spine. Of course, it didn't, it cycled out on me. Okay, that's fine. And then the respiratory rate is what? Respiratory rate is about 20. Okay. He's just slightly short of breath. Like I said, might be a little diminished in the right lower. But, you know, it's a little bit. Uppers and left side are clear. Absolutely clear. I'm going to listen again in a minute when my partner decides to turn the siren off for a second so I can hear. Okay. We are coming from Niagara Falls. So, actually, we're in Toronto right now. We'll be there in about another 10, 15 minutes. Okay. Thank you so much. If anything, please just call us back. Okay? Absolutely. Thanks. Bye. Bye.</t>
  </si>
  <si>
    <t>Hi, it's Dr. Kowalski. Hi, Dr. Kowalski, paramedic Blake with AMR. Hi. I have a 17-year-old male stabbed to the back. Oh, Jesus. Okay. About thoracic level, just mid-thoracic. Lung sounds are clear a little bit to the right side. And he also got stabbed in the left shoulder. Conscious alert oriented. Blood pressure, cycling right now. I'll let you know in a second. Heart rate 110, 96 on room air. Or, sorry, 96 on, I got him on high flow too because he felt a little short of breath. Lung sounds were clear bilaterally. As soon as the blood pressure comes up for you, I'll give you a number. Okay. His last one was 115 over 86. And this one is, come on, today. He's going to slip out of the infusible. He's going to slip out of the infusible. You said the left side of the back? Or the right side of the back? Right side. Sit up a little while. Double G. Right side. Just to the right of the spine. Of course, it didn't, it cycled out on me. Okay, that's fine. And then the respiratory rate is what? [REDACTED]. Okay. He's just slightly short of breath. Like I said, might be a little diminished in the right lower. But, you know, it's a little bit. Uppers and left side are clear. Absolutely clear. I'm going to listen again in a minute when my partner decides to turn the siren off for a second so I can hear. Okay. We are coming from Niagara Falls. So, actually, we're in Toronto right now. We'll be there in about another 10, 15 minutes. Okay. Thank you so much. If anything, please just call us back. Okay? Absolutely. Thanks. Bye. Bye.</t>
  </si>
  <si>
    <t>Hi, it's Dr. Kowalski. Hi, Dr. Kowalski, paramedic Blake with AMR. Hi. I have a 17-year-old male stabbed to the back. Oh, Jesus. Okay. About thoracic level, just mid-thoracic. Lung sounds are clear a little bit to the right side. And he also got stabbed in the left shoulder. [REDACTED]. Blood pressure, cycling right now. I'll let you know in a second. Heart rate 110, 96 on room air. Or, sorry, 96 on, I got him on high flow too because he felt a little short of breath. Lung sounds were clear bilaterally. As soon as the blood pressure comes up for you, I'll give you a number. Okay. His last one was 115 over 86. And this one is, come on, today. He's going to slip out of the infusible. He's going to slip out of the infusible. You said the left side of the back? Or the right side of the back? Right side. Sit up a little while. Double G. Right side. Just to the right of the spine. Of course, it didn't, it cycled out on me. Okay, that's fine. And then the respiratory rate is what? Respiratory rate is about 20. Okay. He's just slightly short of breath. Like I said, might be a little diminished in the right lower. But, you know, it's a little bit. Uppers and left side are clear. Absolutely clear. I'm going to listen again in a minute when my partner decides to turn the siren off for a second so I can hear. Okay. We are coming from Niagara Falls. So, actually, we're in Toronto right now. We'll be there in about another 10, 15 minutes. Okay. Thank you so much. If anything, please just call us back. Okay? Absolutely. Thanks. Bye. Bye.</t>
  </si>
  <si>
    <t>Hi, it's Dr. Kowalski. Hi, Dr. Kowalski, paramedic Blake with AMR. Hi. I have a 17-year-old male [REDACTED]. Oh, Jesus. Okay. About thoracic level, just mid-thoracic. Lung sounds are clear a little bit to the right side. And he also got [REDACTED]. Conscious alert oriented. Blood pressure, cycling right now. I'll let you know in a second. Heart rate 110, 96 on room air. Or, sorry, 96 on, I got him on high flow too because he felt a little short of breath. Lung sounds were clear bilaterally. As soon as the blood pressure comes up for you, I'll give you a number. Okay. His last one was 115 over 86. And this one is, come on, today. He's going to slip out of the infusible. He's going to slip out of the infusible. You said the left side of the back? Or the right side of the back? Right side. Sit up a little while. Double G. Right side. Just to the right of the spine. Of course, it didn't, it cycled out on me. Okay, that's fine. And then the respiratory rate is what? Respiratory rate is about 20. Okay. He's just slightly short of breath. Like I said, might be a little diminished in the right lower. But, you know, it's a little bit. Uppers and left side are clear. Absolutely clear. I'm going to listen again in a minute when my partner decides to turn the siren off for a second so I can hear. Okay. We are coming from Niagara Falls. So, actually, we're in Toronto right now. We'll be there in about another 10, 15 minutes. Okay. Thank you so much. If anything, please just call us back. Okay? Absolutely. Thanks. Bye. Bye.</t>
  </si>
  <si>
    <t>Dr. Sellers, PZD. Hi, this is Jeff with MercyPlex6. Can you hear me now? Okay, I can hear you now. Go ahead. Okay. All right. Coming to you with a pediatric trauma alert. Ten-year-old female. She was thrown from an ATV. No helmet. Extended loss of consciousness. She does have a pretty good abrasion, bruising, and swelling to the face. She has an abrasion over her upper right quadrant, right on the rib line. She was complaining of pretty severe pain there. Right side lung sounds were slightly diminished for me, but it could have just been her guarding at that point. Yep. She is a GCS. Sorry, can you say that one more time? The phone cut out. GCS of? 13-1-3. Okay. And the rest of her vitals? A grade of 89. Blood pressure 90 over 55. Respirations 34 and 90 percent of her man. And we're going to... Sorry, what's your ETA? Can you say it one more time? I can't hear you. ETA? I can't hear you. I can't hear you. Thanks, appreciate it. Have a nice rest of your day. Hello? Okay. Thank you.</t>
  </si>
  <si>
    <t>Ten-year-old female. She was thrown from an ATV. No helmet. Extended loss of consciousness. abrasion, bruising, and swelling to the face. She has an abrasion over her upper right quadrant, right on the rib line. Right side lung sounds were slightly diminished GCS of? 13-1-3. A grade of 89. Blood pressure 90 over 55. Respirations 34 and 90 percent of her man.</t>
  </si>
  <si>
    <t>L1, 10y/o, Vitals(BP [??]/[??], HR 89, RR [??]), GCS:13, MOI(ATV or Motorcycle), ATV, no helmet, prolonged LOC, facial injury, decreased R lung sounds, ETA:15 min</t>
  </si>
  <si>
    <t>Thrown from an ATV</t>
  </si>
  <si>
    <t>The transcript clearly states the patient was "thrown from an ATV."</t>
  </si>
  <si>
    <t>['Ten-year-old female']</t>
  </si>
  <si>
    <t>['A grade of 89']</t>
  </si>
  <si>
    <t>['Blood pressure 90 over 55']</t>
  </si>
  <si>
    <t>['Respirations 34']</t>
  </si>
  <si>
    <t>['Extended loss of consciousness']</t>
  </si>
  <si>
    <t>Dr. Sellers, PZD. Hi, this is Jeff with MercyPlex6. Can you hear me now? Okay, I can hear you now. Go ahead. Okay. All right. Coming to you with a pediatric trauma alert. [REDACTED]. She was thrown from an ATV. No helmet. Extended loss of consciousness. She does have a pretty good abrasion, bruising, and swelling to the face. She has an abrasion over her upper right quadrant, right on the rib line. She was complaining of pretty severe pain there. Right side lung sounds were slightly diminished for me, but it could have just been her guarding at that point. Yep. She is a GCS. Sorry, can you say that one more time? The phone cut out. GCS of? 13-1-3. Okay. And the rest of her vitals? A grade of 89. Blood pressure 90 over 55. Respirations 34 and 90 percent of her man. And we're going to... Sorry, what's your ETA? Can you say it one more time? I can't hear you. ETA? I can't hear you. I can't hear you. Thanks, appreciate it. Have a nice rest of your day. Hello? Okay. Thank you.</t>
  </si>
  <si>
    <t>Dr. Sellers, PZD. Hi, this is Jeff with MercyPlex6. Can you hear me now? Okay, I can hear you now. Go ahead. Okay. All right. Coming to you with a pediatric trauma alert. Ten-year-old female. She was thrown from an ATV. No helmet. Extended loss of consciousness. She does have a pretty good abrasion, bruising, and swelling to the face. She has an abrasion over her upper right quadrant, right on the rib line. She was complaining of pretty severe pain there. Right side lung sounds were slightly diminished for me, but it could have just been her guarding at that point. Yep. She is a GCS. Sorry, can you say that one more time? The phone cut out. GCS of? 13-1-3. Okay. And the rest of her vitals? [REDACTED]. Blood pressure 90 over 55. Respirations 34 and 90 percent of her man. And we're going to... Sorry, what's your ETA? Can you say it one more time? I can't hear you. ETA? I can't hear you. I can't hear you. Thanks, appreciate it. Have a nice rest of your day. Hello? Okay. Thank you.</t>
  </si>
  <si>
    <t>Dr. Sellers, PZD. Hi, this is Jeff with MercyPlex6. Can you hear me now? Okay, I can hear you now. Go ahead. Okay. All right. Coming to you with a pediatric trauma alert. Ten-year-old female. She was thrown from an ATV. No helmet. Extended loss of consciousness. She does have a pretty good abrasion, bruising, and swelling to the face. She has an abrasion over her upper right quadrant, right on the rib line. She was complaining of pretty severe pain there. Right side lung sounds were slightly diminished for me, but it could have just been her guarding at that point. Yep. She is a GCS. Sorry, can you say that one more time? The phone cut out. GCS of? 13-1-3. Okay. And the rest of her vitals? A grade of 89. [REDACTED]. Respirations 34 and 90 percent of her man. And we're going to... Sorry, what's your ETA? Can you say it one more time? I can't hear you. ETA? I can't hear you. I can't hear you. Thanks, appreciate it. Have a nice rest of your day. Hello? Okay. Thank you.</t>
  </si>
  <si>
    <t>Dr. Sellers, PZD. Hi, this is Jeff with MercyPlex6. Can you hear me now? Okay, I can hear you now. Go ahead. Okay. All right. Coming to you with a pediatric trauma alert. Ten-year-old female. She was thrown from an ATV. No helmet. Extended loss of consciousness. She does have a pretty good abrasion, bruising, and swelling to the face. She has an abrasion over her upper right quadrant, right on the rib line. She was complaining of pretty severe pain there. Right side lung sounds were slightly diminished for me, but it could have just been her guarding at that point. Yep. She is a GCS. Sorry, can you say that one more time? The phone cut out. GCS of? 13-1-3. Okay. And the rest of her vitals? A grade of 89. Blood pressure 90 over 55. [REDACTED] and 90 percent of her man. And we're going to... Sorry, what's your ETA? Can you say it one more time? I can't hear you. ETA? I can't hear you. I can't hear you. Thanks, appreciate it. Have a nice rest of your day. Hello? Okay. Thank you.</t>
  </si>
  <si>
    <t>Dr. Sellers, PZD. Hi, this is Jeff with MercyPlex6. Can you hear me now? Okay, I can hear you now. Go ahead. Okay. All right. Coming to you with a pediatric trauma alert. Ten-year-old female. She was thrown from an ATV. No helmet. [REDACTED]. She does have a pretty good abrasion, bruising, and swelling to the face. She has an abrasion over her upper right quadrant, right on the rib line. She was complaining of pretty severe pain there. Right side lung sounds were slightly diminished for me, but it could have just been her guarding at that point. Yep. She is a GCS. Sorry, can you say that one more time? The phone cut out. GCS of? 13-1-3. Okay. And the rest of her vitals? A grade of 89. Blood pressure 90 over 55. Respirations 34 and 90 percent of her man. And we're going to... Sorry, what's your ETA? Can you say it one more time? I can't hear you. ETA? I can't hear you. I can't hear you. Thanks, appreciate it. Have a nice rest of your day. Hello? Okay. Thank you.</t>
  </si>
  <si>
    <t>Children's ER. Hi, it's Rob on Mercy Flight 9. How are you? All right. I've got a child from an MVA. She looks like she's about three, but we're unsure because both her parents were unresponsive. She was in a car seat. She was in a car seat in the back seat. It was a T-bone collision, 55. Impact was right behind her door. There was about a 12-inch intrusion. The car seat was intact. On presentation, the only response was a painful stimuli. Then she goes right back out again. Her blood pressure is 111 over 71. Her heart rate is 120. She's standing at 98% on room air. Respiratory rate of about 28. She's got a little bit of blood coming from the nose, but her head is unremarkable. Lungs are clear. Endometriosis is soft. No obvious signs of long bone fractures. Unknown on history, meds, or allergies. We'll put her in the helicopter now, and we'll probably need you in about 22 to 23 minutes. From a GCS perspective, like the rest, you said responding to painful stimuli like eyes and other stuff? That's right. What would you do? She responds to pain. She starts screaming to painful stimuli. She does open her eyes, but she won't give us any verbal response. She just cries, and then once we stop stimulating her, she goes right back to sleep. Okay. I'll have to come up with a score if you guys... You feel very equal and reactive. Her blood sugar is 186. We've got two IVs established, and like I said, we'll be there in about 22 minutes. And she was in the car seat in the car still? Like she wasn't rejected or anything like that, correct? No, she was not. She was still intact in the car seat, correct? Okay. All right. Sounds like we'll see you in about 20 minutes or so. Thanks. Thanks. Okay. Bye.</t>
  </si>
  <si>
    <t>She looks like she's about three, but we're unsure because both her parents were unresponsive. She was in a car seat in the back seat. It was a T-bone collision, 55. Impact was right behind her door. There was about a 12-inch intrusion. only response was a painful stimuli. Her blood pressure is 111 over 71. Her heart rate is 120. She's standing at 98% on room air. Respiratory rate of about 28. Her blood sugar is 186.</t>
  </si>
  <si>
    <t>L1, 3y/o, Vitals(BP 111/71, HR 120, RR [??]), GCS:8, MOI(MVC), carseat, highspeed MVC, blood from nose, responds to painful stimuli, ETA:22 min</t>
  </si>
  <si>
    <t>MVA T-bone collision</t>
  </si>
  <si>
    <t>The transcript describes a motor vehicle accident (MVA) involving a T-bone collision with a child in a car seat.</t>
  </si>
  <si>
    <t>['heart rate is 120']</t>
  </si>
  <si>
    <t>['blood pressure is 111 over 71']</t>
  </si>
  <si>
    <t>['Respiratory rate of about 28']</t>
  </si>
  <si>
    <t>Children's ER. Hi, it's Rob on Mercy Flight 9. How are you? All right. I've got a child from an MVA. She looks like she's about three, but we're unsure because both her parents were unresponsive. She was in a car seat. She was in a car seat in the back seat. It was a T-bone collision, 55. Impact was right behind her door. There was about a 12-inch intrusion. The car seat was intact. On presentation, the only response was a painful stimuli. Then she goes right back out again. Her blood pressure is 111 over 71. Her [REDACTED]. She's standing at 98% on room air. Respiratory rate of about 28. She's got a little bit of blood coming from the nose, but her head is unremarkable. Lungs are clear. Endometriosis is soft. No obvious signs of long bone fractures. Unknown on history, meds, or allergies. We'll put her in the helicopter now, and we'll probably need you in about 22 to 23 minutes. From a GCS perspective, like the rest, you said responding to painful stimuli like eyes and other stuff? That's right. What would you do? She responds to pain. She starts screaming to painful stimuli. She does open her eyes, but she won't give us any verbal response. She just cries, and then once we stop stimulating her, she goes right back to sleep. Okay. I'll have to come up with a score if you guys... You feel very equal and reactive. Her blood sugar is 186. We've got two IVs established, and like I said, we'll be there in about 22 minutes. And she was in the car seat in the car still? Like she wasn't rejected or anything like that, correct? No, she was not. She was still intact in the car seat, correct? Okay. All right. Sounds like we'll see you in about 20 minutes or so. Thanks. Thanks. Okay. Bye.</t>
  </si>
  <si>
    <t>Children's ER. Hi, it's Rob on Mercy Flight 9. How are you? All right. I've got a child from an MVA. She looks like she's about three, but we're unsure because both her parents were unresponsive. She was in a car seat. She was in a car seat in the back seat. It was a T-bone collision, 55. Impact was right behind her door. There was about a 12-inch intrusion. The car seat was intact. On presentation, the only response was a painful stimuli. Then she goes right back out again. Her [REDACTED]. Her heart rate is 120. She's standing at 98% on room air. Respiratory rate of about 28. She's got a little bit of blood coming from the nose, but her head is unremarkable. Lungs are clear. Endometriosis is soft. No obvious signs of long bone fractures. Unknown on history, meds, or allergies. We'll put her in the helicopter now, and we'll probably need you in about 22 to 23 minutes. From a GCS perspective, like the rest, you said responding to painful stimuli like eyes and other stuff? That's right. What would you do? She responds to pain. She starts screaming to painful stimuli. She does open her eyes, but she won't give us any verbal response. She just cries, and then once we stop stimulating her, she goes right back to sleep. Okay. I'll have to come up with a score if you guys... You feel very equal and reactive. Her blood sugar is 186. We've got two IVs established, and like I said, we'll be there in about 22 minutes. And she was in the car seat in the car still? Like she wasn't rejected or anything like that, correct? No, she was not. She was still intact in the car seat, correct? Okay. All right. Sounds like we'll see you in about 20 minutes or so. Thanks. Thanks. Okay. Bye.</t>
  </si>
  <si>
    <t>Children's ER. Hi, it's Rob on Mercy Flight 9. How are you? All right. I've got a child from an MVA. She looks like she's about three, but we're unsure because both her parents were unresponsive. She was in a car seat. She was in a car seat in the back seat. It was a T-bone collision, 55. Impact was right behind her door. There was about a 12-inch intrusion. The car seat was intact. On presentation, the only response was a painful stimuli. Then she goes right back out again. Her blood pressure is 111 over 71. Her heart rate is 120. She's standing at 98% on room air. [REDACTED]. She's got a little bit of blood coming from the nose, but her head is unremarkable. Lungs are clear. Endometriosis is soft. No obvious signs of long bone fractures. Unknown on history, meds, or allergies. We'll put her in the helicopter now, and we'll probably need you in about 22 to 23 minutes. From a GCS perspective, like the rest, you said responding to painful stimuli like eyes and other stuff? That's right. What would you do? She responds to pain. She starts screaming to painful stimuli. She does open her eyes, but she won't give us any verbal response. She just cries, and then once we stop stimulating her, she goes right back to sleep. Okay. I'll have to come up with a score if you guys... You feel very equal and reactive. Her blood sugar is 186. We've got two IVs established, and like I said, we'll be there in about 22 minutes. And she was in the car seat in the car still? Like she wasn't rejected or anything like that, correct? No, she was not. She was still intact in the car seat, correct? Okay. All right. Sounds like we'll see you in about 20 minutes or so. Thanks. Thanks. Okay. Bye.</t>
  </si>
  <si>
    <t>Here is Dr. Ramon. Hey, Doctor. How are you doing? I have a 15-year-old female who was on the hood of a car partying where the driver of the car had to brake where she fell onto the street and her right ankle got rolled over by one of the tires. She's got a pretty gnarly abrasion to the right ankle and swelling, but no real significant injury. I didn't know if you wanted to page that out as a trauma, so I'm calling you guys out of curiosity. Did she have any other injury? Besides that ankle itself, she's not complaining of anything else, but she's also intoxicated, I'm pretty sure. Do you have any idea how fast they were going? It actually doesn't really matter. Nothing. The police officers on scene said nothing fast. It was 15 to 20 miles an hour before she hit the brake and kind of just rolled over the ankle. The driver of the car. Do you have vitals? Yeah. 122 for the heart rates. 100% room air. 133 over 87 with the pressure. Okay. And no signs of head injury. GCS is 15 to the best you can get. Yeah, yeah. With what we're dealing with, there's alcohol containers everywhere and she's kind of acting a little drunk. But she can still answer questions correctly. I'm not seeing any real obvious signs of head injury. Yeah. What would be your ETA? 10-15 minutes. Okay. All right. We'll talk it over, but thanks for the heads up. Sorry, what's that? Yeah, we'll talk it over, but thanks for the heads up. Yeah, yeah. I get you. Okay. All right. Appreciate it. Bye. Bye.</t>
  </si>
  <si>
    <t>L2, 15 y/o, Vitals(133/87, 122, RR not provided), GCS: 15, MOI (fell from hood of car, ankle rolled over by tire), ETA: 10-15 minutes</t>
  </si>
  <si>
    <t>15-year-old female right ankle got rolled over by one of the tires. abrasion to the right ankle and swelling, but no real significant injury. 122 for the heart rates. 100% room air. 133 over 87 with the pressure. GCS is 15 to the best you can get. Yeah,</t>
  </si>
  <si>
    <t>L2, 15y/o, Vitals(BP 133/87, HR 122, RR 18), GCS:15, MOI(Ped Vs Car), thrown from hood of car while dancing, obvious ankle injury, ETA:10 min</t>
  </si>
  <si>
    <t>Fall from car hood</t>
  </si>
  <si>
    <t>The patient fell from the hood of a car and her ankle was rolled over by a tire.</t>
  </si>
  <si>
    <t>['122 for the heart rates']</t>
  </si>
  <si>
    <t>['133 over 87 with the pressure']</t>
  </si>
  <si>
    <t>Here is Dr. Ramon. Hey, Doctor. How are you doing? I have a [REDACTED] who was on the hood of a car partying where the driver of the car had to brake where she fell onto the street and her right ankle got rolled over by one of the tires. She's got a pretty gnarly abrasion to the right ankle and swelling, but no real significant injury. I didn't know if you wanted to page that out as a trauma, so I'm calling you guys out of curiosity. Did she have any other injury? Besides that ankle itself, she's not complaining of anything else, but she's also intoxicated, I'm pretty sure. Do you have any idea how fast they were going? It actually doesn't really matter. Nothing. The police officers on scene said nothing fast. It was 15 to 20 miles an hour before she hit the brake and kind of just rolled over the ankle. The driver of the car. Do you have vitals? Yeah. 122 for the heart rates. 100% room air. 133 over 87 with the pressure. Okay. And no signs of head injury. GCS is 15 to the best you can get. Yeah, yeah. With what we're dealing with, there's alcohol containers everywhere and she's kind of acting a little drunk. But she can still answer questions correctly. I'm not seeing any real obvious signs of head injury. Yeah. What would be your ETA? 10-15 minutes. Okay. All right. We'll talk it over, but thanks for the heads up. Sorry, what's that? Yeah, we'll talk it over, but thanks for the heads up. Yeah, yeah. I get you. Okay. All right. Appreciate it. Bye. Bye.</t>
  </si>
  <si>
    <t>Here is Dr. Ramon. Hey, Doctor. How are you doing? I have a 15-year-old female who was on the hood of a car partying where the driver of the car had to brake where she fell onto the street and her right ankle got rolled over by one of the tires. She's got a pretty gnarly abrasion to the right ankle and swelling, but no real significant injury. I didn't know if you wanted to page that out as a trauma, so I'm calling you guys out of curiosity. Did she have any other injury? Besides that ankle itself, she's not complaining of anything else, but she's also intoxicated, I'm pretty sure. Do you have any idea how fast they were going? It actually doesn't really matter. Nothing. The police officers on scene said nothing fast. It was 15 to 20 miles an hour before she hit the brake and kind of just rolled over the ankle. The driver of the car. Do you have vitals? Yeah. [REDACTED]. 100% room air. 133 over 87 with the pressure. Okay. And no signs of head injury. GCS is 15 to the best you can get. Yeah, yeah. With what we're dealing with, there's alcohol containers everywhere and she's kind of acting a little drunk. But she can still answer questions correctly. I'm not seeing any real obvious signs of head injury. Yeah. What would be your ETA? 10-15 minutes. Okay. All right. We'll talk it over, but thanks for the heads up. Sorry, what's that? Yeah, we'll talk it over, but thanks for the heads up. Yeah, yeah. I get you. Okay. All right. Appreciate it. Bye. Bye.</t>
  </si>
  <si>
    <t>Here is Dr. Ramon. Hey, Doctor. How are you doing? I have a 15-year-old female who was on the hood of a car partying where the driver of the car had to brake where she fell onto the street and her right ankle got rolled over by one of the tires. She's got a pretty gnarly abrasion to the right ankle and swelling, but no real significant injury. I didn't know if you wanted to page that out as a trauma, so I'm calling you guys out of curiosity. Did she have any other injury? Besides that ankle itself, she's not complaining of anything else, but she's also intoxicated, I'm pretty sure. Do you have any idea how fast they were going? It actually doesn't really matter. Nothing. The police officers on scene said nothing fast. It was 15 to 20 miles an hour before she hit the brake and kind of just rolled over the ankle. The driver of the car. Do you have vitals? Yeah. 122 for the heart rates. 100% room air. [REDACTED]. Okay. And no signs of head injury. GCS is 15 to the best you can get. Yeah, yeah. With what we're dealing with, there's alcohol containers everywhere and she's kind of acting a little drunk. But she can still answer questions correctly. I'm not seeing any real obvious signs of head injury. Yeah. What would be your ETA? 10-15 minutes. Okay. All right. We'll talk it over, but thanks for the heads up. Sorry, what's that? Yeah, we'll talk it over, but thanks for the heads up. Yeah, yeah. I get you. Okay. All right. Appreciate it. Bye. Bye.</t>
  </si>
  <si>
    <t>You are Dr. Rahman. Hey, Doc. This is Mercy. I got a patient coming in. Okay. I got a 16-year-old male driving an ATV at high speed, estimated on 70 miles an hour, not wearing a helmet, sorbed, missed a deer, got thrown off the quad. He claims he probably ejected maybe 15, 20 feet. Conscious alert oriented, denies any lost consciousness, GCS of 15. Vitals are absolutely dutiful, complaining of less rib pain, less femur pain, less hip pain. Can move everything, PMS times four. I got Zofran on board along with some fentanyl. Okay. GCS 15. Vitals, what are his vitals? Less pressure was 116 and 75, heart rate 78, 100% on room air. Okay. No head injury, no lost consciousness. You said just left rib pain, left hip pain. What else? And left femur pain as well. Okay. Okay. He's breathing okay? Yeah, lungs are clear and bilateral, no diminished breathing at all. Okay. All right. He'll probably be at your roof in like 25, a year or so. Okay. All right. All right, thanks. Thanks, Doug. Bye.</t>
  </si>
  <si>
    <t>16-year-old male driving an ATV at high speed, estimated on 70 miles an hour, not wearing a helmet, got thrown off the quad. ejected maybe 15, 20 feet. complaining of less rib pain, less femur pain, less hip pain. GCS 15. Less pressure was 116 and 75, heart rate 78, 100% on room air. lungs are clear and bilateral, no diminished breathing at all.</t>
  </si>
  <si>
    <t>L2, 15y/o, Vitals(BP 116/75, HR 78, RR 20), GCS:15, MOI(ATV or Motorcycle), 70mph ejected no helmet no LOC or head injury, left rib femur and hip pain, ETA:20 min</t>
  </si>
  <si>
    <t>Thrown off ATV at high speed</t>
  </si>
  <si>
    <t>The patient was driving an ATV at high speed and was thrown off after missing a deer.</t>
  </si>
  <si>
    <t>['16-year-old male']</t>
  </si>
  <si>
    <t>['heart rate 78']</t>
  </si>
  <si>
    <t>['Conscious alert oriented', 'denies any lost consciousness']</t>
  </si>
  <si>
    <t>['driving an ATV at high speed', 'estimated on 70 miles an hour', 'not wearing a helmet', 'missed a deer', 'got thrown off the quad', 'claims he probably ejected maybe 15, 20 feet']</t>
  </si>
  <si>
    <t>You are Dr. Rahman. Hey, Doc. This is Mercy. I got a patient coming in. Okay. I got a [REDACTED] driving an ATV at high speed, estimated on 70 miles an hour, not wearing a helmet, sorbed, missed a deer, got thrown off the quad. He claims he probably ejected maybe 15, 20 feet. Conscious alert oriented, denies any lost consciousness, GCS of 15. Vitals are absolutely dutiful, complaining of less rib pain, less femur pain, less hip pain. Can move everything, PMS times four. I got Zofran on board along with some fentanyl. Okay. GCS 15. Vitals, what are his vitals? Less pressure was 116 and 75, heart rate 78, 100% on room air. Okay. No head injury, no lost consciousness. You said just left rib pain, left hip pain. What else? And left femur pain as well. Okay. Okay. He's breathing okay? Yeah, lungs are clear and bilateral, no diminished breathing at all. Okay. All right. He'll probably be at your roof in like 25, a year or so. Okay. All right. All right, thanks. Thanks, Doug. Bye.</t>
  </si>
  <si>
    <t>You are Dr. Rahman. Hey, Doc. This is Mercy. I got a patient coming in. Okay. I got a 16-year-old male driving an ATV at high speed, estimated on 70 miles an hour, not wearing a helmet, sorbed, missed a deer, got thrown off the quad. He claims he probably ejected maybe 15, 20 feet. Conscious alert oriented, denies any lost consciousness, GCS of 15. Vitals are absolutely dutiful, complaining of less rib pain, less femur pain, less hip pain. Can move everything, PMS times four. I got Zofran on board along with some fentanyl. Okay. GCS 15. Vitals, what are his vitals? Less pressure was 116 and 75, [REDACTED], 100% on room air. Okay. No head injury, no lost consciousness. You said just left rib pain, left hip pain. What else? And left femur pain as well. Okay. Okay. He's breathing okay? Yeah, lungs are clear and bilateral, no diminished breathing at all. Okay. All right. He'll probably be at your roof in like 25, a year or so. Okay. All right. All right, thanks. Thanks, Doug. Bye.</t>
  </si>
  <si>
    <t>You are Dr. Rahman. Hey, Doc. This is Mercy. I got a patient coming in. Okay. I got a 16-year-old male driving an ATV at high speed, estimated on 70 miles an hour, not wearing a helmet, sorbed, missed a deer, got thrown off the quad. He claims he probably ejected maybe 15, 20 feet. [REDACTED], [REDACTED], GCS of 15. Vitals are absolutely dutiful, complaining of less rib pain, less femur pain, less hip pain. Can move everything, PMS times four. I got Zofran on board along with some fentanyl. Okay. GCS 15. Vitals, what are his vitals? Less pressure was 116 and 75, heart rate 78, 100% on room air. Okay. No head injury, no lost consciousness. You said just left rib pain, left hip pain. What else? And left femur pain as well. Okay. Okay. He's breathing okay? Yeah, lungs are clear and bilateral, no diminished breathing at all. Okay. All right. He'll probably be at your roof in like 25, a year or so. Okay. All right. All right, thanks. Thanks, Doug. Bye.</t>
  </si>
  <si>
    <t>You are Dr. Rahman. Hey, Doc. This is Mercy. I got a patient coming in. Okay. I got a 16-year-old male [REDACTED], [REDACTED], [REDACTED], sorbed, [REDACTED], [REDACTED]. He [REDACTED]. Conscious alert oriented, denies any lost consciousness, GCS of 15. Vitals are absolutely dutiful, complaining of less rib pain, less femur pain, less hip pain. Can move everything, PMS times four. I got Zofran on board along with some fentanyl. Okay. GCS 15. Vitals, what are his vitals? Less pressure was 116 and 75, heart rate 78, 100% on room air. Okay. No head injury, no lost consciousness. You said just left rib pain, left hip pain. What else? And left femur pain as well. Okay. Okay. He's breathing okay? Yeah, lungs are clear and bilateral, no diminished breathing at all. Okay. All right. He'll probably be at your roof in like 25, a year or so. Okay. All right. All right, thanks. Thanks, Doug. Bye.</t>
  </si>
  <si>
    <t>Children's stat line, it's Dr. Bradfield. Hi, Doctor. This is Barry calling with Monroe Ambulance. I'm giving you a trauma alert on a patient we're bringing in. Can I give a report? Sure, what's up? I have a 13-year-old that was riding a four-wheeler 40 to 50 miles an hour, did a sharp turn and got ejected off of the four-wheeler. He got ejected off into the soft ground mud. He's got a severe laceration down in the femoral artery area. Going around his leg down by his groin in that area. The bleeding is controlled. It's probably a 10-inch deep open laceration. There was no loss of consciousness with the patient. He has no other complaints at this time. Was not wearing a helmet. Has no neck pain. Neurologically is intact. I have an ID of 18 days started. He's had fentanyl and delfran, alert and oriented. He's been treated with about a 10 to 12 minute ETA. Do you have vitals for me? Yes, I do. Sorry. Blood pressure 135 over 82. Heart rate is 70. Normal sinus rhythm. 17 for respirations and 100% set on room air. GCS? 15. Okay. All right. We'll see you when you get here. We'll be there in about 10. Thank you. Thanks. Bye-bye. Bye. Bye. Bye. Bye. Bye.</t>
  </si>
  <si>
    <t>13-year-old that was riding a four-wheeler 40 to 50 miles an hour, ejected off of the four-wheeler. into the soft ground severe laceration down in the femoral artery area. The bleeding is controlled. It's probably a 10-inch deep open laceration.  no loss of consciousness Blood pressure 135 over 82. Heart rate is 70. Normal sinus rhythm. 17 for respirations and 100% set on room air. GCS? 15.</t>
  </si>
  <si>
    <t>L2, 13y/o, Vitals(BP 135/87, HR 70, RR 17), GCS:15, MOI(ATV or Motorcycle), riding 40-50 mph, no helmet, ejected off, no LOC, extensive laceration to femoral area, ETA:10 min</t>
  </si>
  <si>
    <t>Ejection from four-wheeler</t>
  </si>
  <si>
    <t>The report describes the patient being ejected from a four-wheeler after a sharp turn.</t>
  </si>
  <si>
    <t>['Blood pressure 135 over 82']</t>
  </si>
  <si>
    <t>['17 for respirations']</t>
  </si>
  <si>
    <t>['alert and oriented', 'Neurologically is intact']</t>
  </si>
  <si>
    <t>Children's stat line, it's Dr. Bradfield. Hi, Doctor. This is Barry calling with Monroe Ambulance. I'm giving you a trauma alert on a patient we're bringing in. Can I give a report? Sure, what's up? I have a [REDACTED] that was riding a four-wheeler 40 to 50 miles an hour, did a sharp turn and got ejected off of the four-wheeler. He got ejected off into the soft ground mud. He's got a severe laceration down in the femoral artery area. Going around his leg down by his groin in that area. The bleeding is controlled. It's probably a 10-inch deep open laceration. There was no loss of consciousness with the patient. He has no other complaints at this time. Was not wearing a helmet. Has no neck pain. Neurologically is intact. I have an ID of 18 days started. He's had fentanyl and delfran, alert and oriented. He's been treated with about a 10 to 12 minute ETA. Do you have vitals for me? Yes, I do. Sorry. Blood pressure 135 over 82. Heart rate is 70. Normal sinus rhythm. 17 for respirations and 100% set on room air. GCS? 15. Okay. All right. We'll see you when you get here. We'll be there in about 10. Thank you. Thanks. Bye-bye. Bye. Bye. Bye. Bye. Bye.</t>
  </si>
  <si>
    <t>Children's stat line, it's Dr. Bradfield. Hi, Doctor. This is Barry calling with Monroe Ambulance. I'm giving you a trauma alert on a patient we're bringing in. Can I give a report? Sure, what's up? I have a 13-year-old that was riding a four-wheeler 40 to 50 miles an hour, did a sharp turn and got ejected off of the four-wheeler. He got ejected off into the soft ground mud. He's got a severe laceration down in the femoral artery area. Going around his leg down by his groin in that area. The bleeding is controlled. It's probably a 10-inch deep open laceration. There was no loss of consciousness with the patient. He has no other complaints at this time. Was not wearing a helmet. Has no neck pain. Neurologically is intact. I have an ID of 18 days started. He's had fentanyl and delfran, alert and oriented. He's been treated with about a 10 to 12 minute ETA. Do you have vitals for me? Yes, I do. Sorry. Blood pressure 135 over 82. [REDACTED]. Normal sinus rhythm. 17 for respirations and 100% set on room air. GCS? 15. Okay. All right. We'll see you when you get here. We'll be there in about 10. Thank you. Thanks. Bye-bye. Bye. Bye. Bye. Bye. Bye.</t>
  </si>
  <si>
    <t>Children's stat line, it's Dr. Bradfield. Hi, Doctor. This is Barry calling with Monroe Ambulance. I'm giving you a trauma alert on a patient we're bringing in. Can I give a report? Sure, what's up? I have a 13-year-old that was riding a four-wheeler 40 to 50 miles an hour, did a sharp turn and got ejected off of the four-wheeler. He got ejected off into the soft ground mud. He's got a severe laceration down in the femoral artery area. Going around his leg down by his groin in that area. The bleeding is controlled. It's probably a 10-inch deep open laceration. There was no loss of consciousness with the patient. He has no other complaints at this time. Was not wearing a helmet. Has no neck pain. Neurologically is intact. I have an ID of 18 days started. He's had fentanyl and delfran, alert and oriented. He's been treated with about a 10 to 12 minute ETA. Do you have vitals for me? Yes, I do. Sorry. [REDACTED]. Heart rate is 70. Normal sinus rhythm. 17 for respirations and 100% set on room air. GCS? 15. Okay. All right. We'll see you when you get here. We'll be there in about 10. Thank you. Thanks. Bye-bye. Bye. Bye. Bye. Bye. Bye.</t>
  </si>
  <si>
    <t>Children's stat line, it's Dr. Bradfield. Hi, Doctor. This is Barry calling with Monroe Ambulance. I'm giving you a trauma alert on a patient we're bringing in. Can I give a report? Sure, what's up? I have a 13-year-old that was riding a four-wheeler 40 to 50 miles an hour, did a sharp turn and got ejected off of the four-wheeler. He got ejected off into the soft ground mud. He's got a severe laceration down in the femoral artery area. Going around his leg down by his groin in that area. The bleeding is controlled. It's probably a 10-inch deep open laceration. There was no loss of consciousness with the patient. He has no other complaints at this time. Was not wearing a helmet. Has no neck pain. Neurologically is intact. I have an ID of 18 days started. He's had fentanyl and delfran, alert and oriented. He's been treated with about a 10 to 12 minute ETA. Do you have vitals for me? Yes, I do. Sorry. Blood pressure 135 over 82. Heart rate is 70. Normal sinus rhythm. [REDACTED] and 100% set on room air. GCS? 15. Okay. All right. We'll see you when you get here. We'll be there in about 10. Thank you. Thanks. Bye-bye. Bye. Bye. Bye. Bye. Bye.</t>
  </si>
  <si>
    <t>Children's stat line, it's Dr. Bradfield. Hi, Doctor. This is Barry calling with Monroe Ambulance. I'm giving you a trauma alert on a patient we're bringing in. Can I give a report? Sure, what's up? I have a 13-year-old that was riding a four-wheeler 40 to 50 miles an hour, did a sharp turn and got ejected off of the four-wheeler. He got ejected off into the soft ground mud. He's got a severe laceration down in the femoral artery area. Going around his leg down by his groin in that area. The bleeding is controlled. It's probably a 10-inch deep open laceration. There was no loss of consciousness with the patient. He has no other complaints at this time. Was not wearing a helmet. Has no neck pain. [REDACTED]. I have an ID of 18 days started. He's had fentanyl and delfran, [REDACTED]. He's been treated with about a 10 to 12 minute ETA. Do you have vitals for me? Yes, I do. Sorry. Blood pressure 135 over 82. Heart rate is 70. Normal sinus rhythm. 17 for respirations and 100% set on room air. GCS? 15. Okay. All right. We'll see you when you get here. We'll be there in about 10. Thank you. Thanks. Bye-bye. Bye. Bye. Bye. Bye. Bye.</t>
  </si>
  <si>
    <t>Children's ER, Dr. Rahman. Hi, this is Basic EMT with AMR. I have a 14-year-old male, minor, TSW, not through and through. Upper left shoulder. Vital when you're ready. Upper left shoulder? Yep. Okay, not into the chest cavity? No. Okay. No head injury, no neck injury? Nope. Okay. All right, what is it? Pressure, 160 over 90. Okay. Heart rate of 62. Okay. He was 95 on Ramirez. Okay. Sorry, GCS 15. Okay, is the bullet still inside, or did it just go through? Yes, there's no exit wound. So there's a penetrating bullet inside? Yep. Okay, all right, sounds good. What's your ETA? Five minutes. Five minutes, okay. Yep. All right, thanks. Five. Five.</t>
  </si>
  <si>
    <t>14-year-old male, minor, TSW, not through and through. Upper left shoulder. Pressure, 160 over 90. Okay. Heart rate of 62. Okay. He was 95 on Ramirez. GCS 15.</t>
  </si>
  <si>
    <t>L1, 14y/o, Vitals(BP 160/90, HR 62, RR 18), GCS:15, MOI(GSW), GSW to shoulder, otherwise stable, ETA:5 min</t>
  </si>
  <si>
    <t>TSW (through and through) to upper left shoulder</t>
  </si>
  <si>
    <t>The transcript mentions a "TSW, not through and through" to the upper left shoulder, indicating a gunshot wound.</t>
  </si>
  <si>
    <t>['Heart rate of 62']</t>
  </si>
  <si>
    <t>['Pressure, 160 over 90']</t>
  </si>
  <si>
    <t>Children's ER, Dr. Rahman. Hi, this is Basic EMT with AMR. I have a 14-year-old male, minor, TSW, not through and through. Upper left shoulder. Vital when you're ready. Upper left shoulder? Yep. Okay, not into the chest cavity? No. Okay. No head injury, no neck injury? Nope. Okay. All right, what is it? Pressure, 160 over 90. Okay. [REDACTED]. Okay. He was 95 on Ramirez. Okay. Sorry, GCS 15. Okay, is the bullet still inside, or did it just go through? Yes, there's no exit wound. So there's a penetrating bullet inside? Yep. Okay, all right, sounds good. What's your ETA? Five minutes. Five minutes, okay. Yep. All right, thanks. Five. Five.</t>
  </si>
  <si>
    <t>Children's ER, Dr. Rahman. Hi, this is Basic EMT with AMR. I have a 14-year-old male, minor, TSW, not through and through. Upper left shoulder. Vital when you're ready. Upper left shoulder? Yep. Okay, not into the chest cavity? No. Okay. No head injury, no neck injury? Nope. Okay. All right, what is it? [REDACTED]. Okay. Heart rate of 62. Okay. He was 95 on Ramirez. Okay. Sorry, GCS 15. Okay, is the bullet still inside, or did it just go through? Yes, there's no exit wound. So there's a penetrating bullet inside? Yep. Okay, all right, sounds good. What's your ETA? Five minutes. Five minutes, okay. Yep. All right, thanks. Five. Five.</t>
  </si>
  <si>
    <t>Hi, this is Nick with Mercy Play. Just wanted to pre-notify for a trauma we're applying on. Yeah. We're going to be inbound with a 13-year-old male who was in a go-kart type motor vehicle. He was hit by a pickup truck in a 55-mile-an-hour road zone. Unknown how fast the truck was going. There was pretty significant damage to the go-kart. Right now he has GCS of 15. We're in oriented person place time. He was wearing a helmet. He did have constipal LOSD because he cannot remember the entire event. It's unsure. He has obvious right wrist deformity, injury to the left femur, and an avalanche into the left knee, and various abrasions throughout his body. Currently vitals are 135 over 80. Heart rate of 90. SpO2 is 100% on room air. He's got a total of 150 of fentanyl for pain. Management, we're loading the aircraft now. We should be on your rooftop in about 20 minutes. Sounds good. We'll see you when you get here. All right. Thanks. Thanks.</t>
  </si>
  <si>
    <t>13-year-old male who was in a go-kart type motor vehicle. He was hit by a pickup truck in a 55-mile-an-hour road zone. Right now he has GCS of 15. He has obvious right wrist deformity, injury to the left femur, and an avalanche into the left knee, and various abrasions throughout his body. Currently vitals are 135 over 80. Heart rate of 90. SpO2 is 100% on room air.</t>
  </si>
  <si>
    <t>L2, 13y/o, Vitals(BP 135/80, HR 90, RR 20), GCS:15, MOI(ATV or Motorcycle), gokart vs pick up @ 55 mph. ?LOC R wrist, L femur injuries, ETA:20 min</t>
  </si>
  <si>
    <t>Go-kart collision with pickup truck</t>
  </si>
  <si>
    <t>The transcript describes a 13-year-old male in a go-kart who was hit by a pickup truck.</t>
  </si>
  <si>
    <t>['Heart rate of 90']</t>
  </si>
  <si>
    <t>['135 over 80']</t>
  </si>
  <si>
    <t>Hi, this is Nick with Mercy Play. Just wanted to pre-notify for a trauma we're applying on. Yeah. We're going to be inbound with a [REDACTED] who was in a go-kart type motor vehicle. He was hit by a pickup truck in a 55-mile-an-hour road zone. Unknown how fast the truck was going. There was pretty significant damage to the go-kart. Right now he has GCS of 15. We're in oriented person place time. He was wearing a helmet. He did have constipal LOSD because he cannot remember the entire event. It's unsure. He has obvious right wrist deformity, injury to the left femur, and an avalanche into the left knee, and various abrasions throughout his body. Currently vitals are 135 over 80. Heart rate of 90. SpO2 is 100% on room air. He's got a total of 150 of fentanyl for pain. Management, we're loading the aircraft now. We should be on your rooftop in about 20 minutes. Sounds good. We'll see you when you get here. All right. Thanks. Thanks.</t>
  </si>
  <si>
    <t>Hi, this is Nick with Mercy Play. Just wanted to pre-notify for a trauma we're applying on. Yeah. We're going to be inbound with a 13-year-old male who was in a go-kart type motor vehicle. He was hit by a pickup truck in a 55-mile-an-hour road zone. Unknown how fast the truck was going. There was pretty significant damage to the go-kart. Right now he has GCS of 15. We're in oriented person place time. He was wearing a helmet. He did have constipal LOSD because he cannot remember the entire event. It's unsure. He has obvious right wrist deformity, injury to the left femur, and an avalanche into the left knee, and various abrasions throughout his body. Currently vitals are 135 over 80. [REDACTED]. SpO2 is 100% on room air. He's got a total of 150 of fentanyl for pain. Management, we're loading the aircraft now. We should be on your rooftop in about 20 minutes. Sounds good. We'll see you when you get here. All right. Thanks. Thanks.</t>
  </si>
  <si>
    <t>Hi, this is Nick with Mercy Play. Just wanted to pre-notify for a trauma we're applying on. Yeah. We're going to be inbound with a 13-year-old male who was in a go-kart type motor vehicle. He was hit by a pickup truck in a 55-mile-an-hour road zone. Unknown how fast the truck was going. There was pretty significant damage to the go-kart. Right now he has GCS of 15. We're in oriented person place time. He was wearing a helmet. He did have constipal LOSD because he cannot remember the entire event. It's unsure. He has obvious right wrist deformity, injury to the left femur, and an avalanche into the left knee, and various abrasions throughout his body. Currently vitals are [REDACTED]. Heart rate of 90. SpO2 is 100% on room air. He's got a total of 150 of fentanyl for pain. Management, we're loading the aircraft now. We should be on your rooftop in about 20 minutes. Sounds good. We'll see you when you get here. All right. Thanks. Thanks.</t>
  </si>
  <si>
    <t>Children's Zero, this is Dr. Weiss. Hey, Dr. Weiss. My name is Joe Chares, hemothermetic with Twin City. How are you? Good. How are you? I'm doing all right. I'm bringing you a 13-year-old that fell off his bike that took a handlebar to the groin. Okay. He's got kind of just like an open wound right above the main genitalia there. His vitals are all stable. Pressure's 124 over 81. He's 95 on room air, 170. I did give him 50 of fentanyl just for the pain. We are probably about 20 minutes away or so. We're coming from a 10-team. Yeah. Sorry, where exactly is this? Sorry, where exactly is the laceration or the injury? It's kind of just like an open tear. It's right above the genitalia, but it looks like there's some involvement of the penis as well. Okay. So it's more like above at the base of the shaft of the penis more than like abdominal? Yeah. Yeah. Just kind of right above. Kind of like right at the belt. Right at the spine area, I guess, is the better way of saying it. Okay. Sounds good. It doesn't look like there's any scrotal involvement. Just the shaft looks like it might have been nicked with it. Okay. Sounds good. We'll see him when he gets here. All right. Thanks, Doug. You said your name is Dr. Reit? Yeah. W-I-E-S-E. W-I-E-S-E? Yep. All right. Thanks, Doug. Yep. Bye.</t>
  </si>
  <si>
    <t>13-year-old that fell off his bike that took a handlebar to the groin. open wound right above the main genitalia there. Pressure's 124 over 81. He's 95 on room air, 170.</t>
  </si>
  <si>
    <t>L2, 13y/o, Vitals(BP 125/84, HR 80, RR 12), GCS:15, MOI(Blunt trauma), 13yo, handlebar bike injury, gaping lac to abdomen, ETA:25 min</t>
  </si>
  <si>
    <t>Fall off bike with handlebar injury to groin</t>
  </si>
  <si>
    <t>The transcript describes a 13-year-old who fell off his bike and sustained a handlebar injury to the groin area.</t>
  </si>
  <si>
    <t>["Pressure's 124 over 81"]</t>
  </si>
  <si>
    <t>Children's Zero, this is Dr. Weiss. Hey, Dr. Weiss. My name is Joe Chares, hemothermetic with Twin City. How are you? Good. How are you? I'm doing all right. I'm bringing you a [REDACTED] that fell off his bike that took a handlebar to the groin. Okay. He's got kind of just like an open wound right above the main genitalia there. His vitals are all stable. Pressure's 124 over 81. He's 95 on room air, 170. I did give him 50 of fentanyl just for the pain. We are probably about 20 minutes away or so. We're coming from a 10-team. Yeah. Sorry, where exactly is this? Sorry, where exactly is the laceration or the injury? It's kind of just like an open tear. It's right above the genitalia, but it looks like there's some involvement of the penis as well. Okay. So it's more like above at the base of the shaft of the penis more than like abdominal? Yeah. Yeah. Just kind of right above. Kind of like right at the belt. Right at the spine area, I guess, is the better way of saying it. Okay. Sounds good. It doesn't look like there's any scrotal involvement. Just the shaft looks like it might have been nicked with it. Okay. Sounds good. We'll see him when he gets here. All right. Thanks, Doug. You said your name is Dr. Reit? Yeah. W-I-E-S-E. W-I-E-S-E? Yep. All right. Thanks, Doug. Yep. Bye.</t>
  </si>
  <si>
    <t>Children's Zero, this is Dr. Weiss. Hey, Dr. Weiss. My name is Joe Chares, hemothermetic with Twin City. How are you? Good. How are you? I'm doing all right. I'm bringing you a 13-year-old that fell off his bike that took a handlebar to the groin. Okay. He's got kind of just like an open wound right above the main genitalia there. His vitals are all stable. [REDACTED]. He's 95 on room air, 170. I did give him 50 of fentanyl just for the pain. We are probably about 20 minutes away or so. We're coming from a 10-team. Yeah. Sorry, where exactly is this? Sorry, where exactly is the laceration or the injury? It's kind of just like an open tear. It's right above the genitalia, but it looks like there's some involvement of the penis as well. Okay. So it's more like above at the base of the shaft of the penis more than like abdominal? Yeah. Yeah. Just kind of right above. Kind of like right at the belt. Right at the spine area, I guess, is the better way of saying it. Okay. Sounds good. It doesn't look like there's any scrotal involvement. Just the shaft looks like it might have been nicked with it. Okay. Sounds good. We'll see him when he gets here. All right. Thanks, Doug. You said your name is Dr. Reit? Yeah. W-I-E-S-E. W-I-E-S-E? Yep. All right. Thanks, Doug. Yep. Bye.</t>
  </si>
  <si>
    <t>E.D., this is Susanna. Dr. Veruano. Hi, my name's Maddie. I just wanted to give an alert for an incoming patient. Yeah. So I have a 17-year-old male. Was in a car with his dad. The car flipped over. They were going about 30 miles an hour. He seat belted. He self-exercised. Vitals are stable. 81 heart rate. 110 over 67. 100% on room air. Currently has an 18 in the left AC. Is collared. Only injury is an abrasion to right above the left eye. Right below the left eye. He's a little lethargic. Might have hit his head. Pupils are equal in responses. He's just 15. And can I get his heart rate? Heart rate? It was 63. 63 in his stats? 100% on room air. Respirators are 18. Okay. Okay. How far out are you guys? We're about 10 out. 10 minutes. Okay. Sounds good. Thank you very much. We're coming from the city of Lac Fort. Oh, okay. Sounds good. Thank you. Bye. Bye. Bye. Bye.</t>
  </si>
  <si>
    <t>17-year-old male. The car flipped over. They were going about 30 miles an hour. 81 heart rate. 110 over 67. 100% on room air. abrasion to right above the left eye. Right below the left eye. He's just 15. Heart rate? It was 63. stats? 100% on room air. Respirators are 18.</t>
  </si>
  <si>
    <t>L2, 17y/o, Vitals(BP 110/67, HR 63, RR 20), GCS:15, MOI(MVC), rollover at 30 mph, self extricated, unknown LOC, ETA:10 min</t>
  </si>
  <si>
    <t>Car flipped over</t>
  </si>
  <si>
    <t>The transcript mentions the car flipped over while the patient was inside.</t>
  </si>
  <si>
    <t>['81 heart rate', 'Heart rate? It was 63']</t>
  </si>
  <si>
    <t>['110 over 67']</t>
  </si>
  <si>
    <t>['Respirators are 18']</t>
  </si>
  <si>
    <t>E.D., this is Susanna. Dr. Veruano. Hi, my name's Maddie. I just wanted to give an alert for an incoming patient. Yeah. So I have a [REDACTED]. Was in a car with his dad. The car flipped over. They were going about 30 miles an hour. He seat belted. He self-exercised. Vitals are stable. 81 heart rate. 110 over 67. 100% on room air. Currently has an 18 in the left AC. Is collared. Only injury is an abrasion to right above the left eye. Right below the left eye. He's a little lethargic. Might have hit his head. Pupils are equal in responses. He's just 15. And can I get his heart rate? Heart rate? It was 63. 63 in his stats? 100% on room air. Respirators are 18. Okay. Okay. How far out are you guys? We're about 10 out. 10 minutes. Okay. Sounds good. Thank you very much. We're coming from the city of Lac Fort. Oh, okay. Sounds good. Thank you. Bye. Bye. Bye. Bye.</t>
  </si>
  <si>
    <t>E.D., this is Susanna. Dr. Veruano. Hi, my name's Maddie. I just wanted to give an alert for an incoming patient. Yeah. So I have a 17-year-old male. Was in a car with his dad. The car flipped over. They were going about 30 miles an hour. He seat belted. He self-exercised. Vitals are stable. [REDACTED]. 110 over 67. 100% on room air. Currently has an 18 in the left AC. Is collared. Only injury is an abrasion to right above the left eye. Right below the left eye. He's a little lethargic. Might have hit his head. Pupils are equal in responses. He's just 15. And can I get his heart rate? [REDACTED]. 63 in his stats? 100% on room air. Respirators are 18. Okay. Okay. How far out are you guys? We're about 10 out. 10 minutes. Okay. Sounds good. Thank you very much. We're coming from the city of Lac Fort. Oh, okay. Sounds good. Thank you. Bye. Bye. Bye. Bye.</t>
  </si>
  <si>
    <t>E.D., this is Susanna. Dr. Veruano. Hi, my name's Maddie. I just wanted to give an alert for an incoming patient. Yeah. So I have a 17-year-old male. Was in a car with his dad. The car flipped over. They were going about 30 miles an hour. He seat belted. He self-exercised. Vitals are stable. 81 heart rate. [REDACTED]. 100% on room air. Currently has an 18 in the left AC. Is collared. Only injury is an abrasion to right above the left eye. Right below the left eye. He's a little lethargic. Might have hit his head. Pupils are equal in responses. He's just 15. And can I get his heart rate? Heart rate? It was 63. 63 in his stats? 100% on room air. Respirators are 18. Okay. Okay. How far out are you guys? We're about 10 out. 10 minutes. Okay. Sounds good. Thank you very much. We're coming from the city of Lac Fort. Oh, okay. Sounds good. Thank you. Bye. Bye. Bye. Bye.</t>
  </si>
  <si>
    <t>E.D., this is Susanna. Dr. Veruano. Hi, my name's Maddie. I just wanted to give an alert for an incoming patient. Yeah. So I have a 17-year-old male. Was in a car with his dad. The car flipped over. They were going about 30 miles an hour. He seat belted. He self-exercised. Vitals are stable. 81 heart rate. 110 over 67. 100% on room air. Currently has an 18 in the left AC. Is collared. Only injury is an abrasion to right above the left eye. Right below the left eye. He's a little lethargic. Might have hit his head. Pupils are equal in responses. He's just 15. And can I get his heart rate? Heart rate? It was 63. 63 in his stats? 100% on room air. [REDACTED]. Okay. Okay. How far out are you guys? We're about 10 out. 10 minutes. Okay. Sounds good. Thank you very much. We're coming from the city of Lac Fort. Oh, okay. Sounds good. Thank you. Bye. Bye. Bye. Bye.</t>
  </si>
  <si>
    <t>Emergency Department, this is Dr. DePalma. Hi, good evening. This is Firefighter Pizek with Fredonia Fire. We're coming in with a patient to your facility, just looking for a patient to pass down to you guys. Okay. How old is the patient? She is 16. And what's his story? So she was involved in an ATV accident down by us this evening. There was multiple patients. We got her. When we arrived on scene, she was already immobilized with a C-collar. She has a left wrist fracture. We happened to mobilize the SAM roller bandage. Do you know how fast the ATV was going? Unknown speed to us. Okay. Any head injury? She's complaining of being tired, but her pupils are perla. In terms of her head, she has a lot of pain in her head. She has a lot of pain in her head. She has a left temple laceration. We have bleeding control with a 4x4 roller guard. Was she wearing a helmet? No. Okay. And you said no loss of consciousness? Say that again? Did she have loss of consciousness? No loss of consciousness. No vomiting after? Correct. Okay. She remembers the event entirely. She's consistently answering my questions appropriately. So would you say her GCS is 15? Like her eyes are spontaneously opening. She's verbally talking to you and all her motor movements. Okay. And do you have some vital signs for me? Yeah. Let's see. The last that I have is 141 over 96. Prior to that, it was almost textbook. She's currently standing 99, 100 room air. Current pulse is 101, 102. And respiratory rate? It's about a 16. Okay. And how far away are you guys? We're about 20 minutes. Okay. Thank you. All right. We will see you when you get here. Wonderful. Thank you for the help this evening. We'll see you. All right. Bye. Bye. Bye.</t>
  </si>
  <si>
    <t>She is 16. ATV accident She has a left wrist fracture. She has a lot of pain in her head. She has a left temple laceration. We have bleeding control And respiratory rate? It's about a 16.</t>
  </si>
  <si>
    <t>L1, 15y/o, Vitals(BP 132/16, HR 150, RR 16), GCS:10, MOI(Ped Vs Car), Blunt trauma:Head, ETA:15 min</t>
  </si>
  <si>
    <t>The transcript mentions the patient was involved in an ATV accident.</t>
  </si>
  <si>
    <t>['She is 16']</t>
  </si>
  <si>
    <t>['Current pulse is 101, 102']</t>
  </si>
  <si>
    <t>['The last that I have is 141 over 96']</t>
  </si>
  <si>
    <t>["She's complaining of being tired", 'She remembers the event entirely', "She's consistently answering my questions appropriately"]</t>
  </si>
  <si>
    <t>Emergency Department, this is Dr. DePalma. Hi, good evening. This is Firefighter Pizek with Fredonia Fire. We're coming in with a patient to your facility, just looking for a patient to pass down to you guys. Okay. How old is the patient? [REDACTED]. And what's his story? So she was involved in an ATV accident down by us this evening. There was multiple patients. We got her. When we arrived on scene, she was already immobilized with a C-collar. She has a left wrist fracture. We happened to mobilize the SAM roller bandage. Do you know how fast the ATV was going? Unknown speed to us. Okay. Any head injury? She's complaining of being tired, but her pupils are perla. In terms of her head, she has a lot of pain in her head. She has a lot of pain in her head. She has a left temple laceration. We have bleeding control with a 4x4 roller guard. Was she wearing a helmet? No. Okay. And you said no loss of consciousness? Say that again? Did she have loss of consciousness? No loss of consciousness. No vomiting after? Correct. Okay. She remembers the event entirely. She's consistently answering my questions appropriately. So would you say her GCS is 15? Like her eyes are spontaneously opening. She's verbally talking to you and all her motor movements. Okay. And do you have some vital signs for me? Yeah. Let's see. The last that I have is 141 over 96. Prior to that, it was almost textbook. She's currently standing 99, 100 room air. Current pulse is 101, 102. And respiratory rate? It's about a 16. Okay. And how far away are you guys? We're about 20 minutes. Okay. Thank you. All right. We will see you when you get here. Wonderful. Thank you for the help this evening. We'll see you. All right. Bye. Bye. Bye.</t>
  </si>
  <si>
    <t>Emergency Department, this is Dr. DePalma. Hi, good evening. This is Firefighter Pizek with Fredonia Fire. We're coming in with a patient to your facility, just looking for a patient to pass down to you guys. Okay. How old is the patient? She is 16. And what's his story? So she was involved in an ATV accident down by us this evening. There was multiple patients. We got her. When we arrived on scene, she was already immobilized with a C-collar. She has a left wrist fracture. We happened to mobilize the SAM roller bandage. Do you know how fast the ATV was going? Unknown speed to us. Okay. Any head injury? She's complaining of being tired, but her pupils are perla. In terms of her head, she has a lot of pain in her head. She has a lot of pain in her head. She has a left temple laceration. We have bleeding control with a 4x4 roller guard. Was she wearing a helmet? No. Okay. And you said no loss of consciousness? Say that again? Did she have loss of consciousness? No loss of consciousness. No vomiting after? Correct. Okay. She remembers the event entirely. She's consistently answering my questions appropriately. So would you say her GCS is 15? Like her eyes are spontaneously opening. She's verbally talking to you and all her motor movements. Okay. And do you have some vital signs for me? Yeah. Let's see. The last that I have is 141 over 96. Prior to that, it was almost textbook. She's currently standing 99, 100 room air. [REDACTED]. And respiratory rate? It's about a 16. Okay. And how far away are you guys? We're about 20 minutes. Okay. Thank you. All right. We will see you when you get here. Wonderful. Thank you for the help this evening. We'll see you. All right. Bye. Bye. Bye.</t>
  </si>
  <si>
    <t>Emergency Department, this is Dr. DePalma. Hi, good evening. This is Firefighter Pizek with Fredonia Fire. We're coming in with a patient to your facility, just looking for a patient to pass down to you guys. Okay. How old is the patient? She is 16. And what's his story? So she was involved in an ATV accident down by us this evening. There was multiple patients. We got her. When we arrived on scene, she was already immobilized with a C-collar. She has a left wrist fracture. We happened to mobilize the SAM roller bandage. Do you know how fast the ATV was going? Unknown speed to us. Okay. Any head injury? She's complaining of being tired, but her pupils are perla. In terms of her head, she has a lot of pain in her head. She has a lot of pain in her head. She has a left temple laceration. We have bleeding control with a 4x4 roller guard. Was she wearing a helmet? No. Okay. And you said no loss of consciousness? Say that again? Did she have loss of consciousness? No loss of consciousness. No vomiting after? Correct. Okay. She remembers the event entirely. She's consistently answering my questions appropriately. So would you say her GCS is 15? Like her eyes are spontaneously opening. She's verbally talking to you and all her motor movements. Okay. And do you have some vital signs for me? Yeah. Let's see. [REDACTED]. Prior to that, it was almost textbook. She's currently standing 99, 100 room air. Current pulse is 101, 102. And respiratory rate? It's about a 16. Okay. And how far away are you guys? We're about 20 minutes. Okay. Thank you. All right. We will see you when you get here. Wonderful. Thank you for the help this evening. We'll see you. All right. Bye. Bye. Bye.</t>
  </si>
  <si>
    <t>Emergency Department, this is Dr. DePalma. Hi, good evening. This is Firefighter Pizek with Fredonia Fire. We're coming in with a patient to your facility, just looking for a patient to pass down to you guys. Okay. How old is the patient? She is 16. And what's his story? So she was involved in an ATV accident down by us this evening. There was multiple patients. We got her. When we arrived on scene, she was already immobilized with a C-collar. She has a left wrist fracture. We happened to mobilize the SAM roller bandage. Do you know how fast the ATV was going? Unknown speed to us. Okay. Any head injury? [REDACTED], but her pupils are perla. In terms of her head, she has a lot of pain in her head. She has a lot of pain in her head. She has a left temple laceration. We have bleeding control with a 4x4 roller guard. Was she wearing a helmet? No. Okay. And you said no loss of consciousness? Say that again? Did she have loss of consciousness? No loss of consciousness. No vomiting after? Correct. Okay. [REDACTED]. [REDACTED]. So would you say her GCS is 15? Like her eyes are spontaneously opening. She's verbally talking to you and all her motor movements. Okay. And do you have some vital signs for me? Yeah. Let's see. The last that I have is 141 over 96. Prior to that, it was almost textbook. She's currently standing 99, 100 room air. Current pulse is 101, 102. And respiratory rate? It's about a 16. Okay. And how far away are you guys? We're about 20 minutes. Okay. Thank you. All right. We will see you when you get here. Wonderful. Thank you for the help this evening. We'll see you. All right. Bye. Bye. Bye.</t>
  </si>
  <si>
    <t>Oshawa Emergency Department, Dr. Sellish. Hello, this is Sean Bush with AT&amp;T with AMR. We're going to be bringing you a 12-year-old male struck by a motor vehicle going approximately 30-35 miles an hour. Caused a velocity on the impact. He's breathing. He's repeating a lot of the things that he's saying he is. He's superficial cuts to his arms, legs, and to the back of his head. Also potentially a broken right leg. We haven't splinted up as is right now. I got that vital if you want. Yes, please. 136 over 83 for a pressure. 97% on room air. Heart rate of 119. And you got, we're GCS 14. Just a little bit of confusion. Doesn't really remember much what happened. Otherwise, answering us normally. Sorry. Respiratory rate. He's breathing a good 24. Okay. All righty. And how far away are you guys? We're about, how far? We're about eight minutes out from you guys. Eight? Okay. All right. Thanks so much. Yep. Thank you. Bye.</t>
  </si>
  <si>
    <t>12-year-old male struck by a motor vehicle going approximately 30-35 miles an hour. He's superficial cuts to his arms, legs, and to the back of his head. Also potentially a broken right leg.  136 over 83 for a pressure. 97% on room air. Heart rate of 119. And you got, we're GCS 14. He's breathing a good 24.</t>
  </si>
  <si>
    <t>L2, 12y/o, Vitals(BP 136/83, HR 119, RR 24), GCS:14, MOI(Ped Vs Car), 30-35mph, loc, broken leg, dazed, ETA:8 min</t>
  </si>
  <si>
    <t>Struck by a motor vehicle</t>
  </si>
  <si>
    <t>The transcript mentions a 12-year-old male struck by a motor vehicle going approximately 30-35 miles an hour.</t>
  </si>
  <si>
    <t>['Heart rate of 119']</t>
  </si>
  <si>
    <t>['136 over 83 for a pressure']</t>
  </si>
  <si>
    <t>['breathing a good 24']</t>
  </si>
  <si>
    <t>['struck by a motor vehicle going approximately 30-35 miles an hour']</t>
  </si>
  <si>
    <t>Oshawa Emergency Department, Dr. Sellish. Hello, this is Sean Bush with AT&amp;T with AMR. We're going to be bringing you a [REDACTED] struck by a motor vehicle going approximately 30-35 miles an hour. Caused a velocity on the impact. He's breathing. He's repeating a lot of the things that he's saying he is. He's superficial cuts to his arms, legs, and to the back of his head. Also potentially a broken right leg. We haven't splinted up as is right now. I got that vital if you want. Yes, please. 136 over 83 for a pressure. 97% on room air. Heart rate of 119. And you got, we're GCS 14. Just a little bit of confusion. Doesn't really remember much what happened. Otherwise, answering us normally. Sorry. Respiratory rate. He's breathing a good 24. Okay. All righty. And how far away are you guys? We're about, how far? We're about eight minutes out from you guys. Eight? Okay. All right. Thanks so much. Yep. Thank you. Bye.</t>
  </si>
  <si>
    <t>Oshawa Emergency Department, Dr. Sellish. Hello, this is Sean Bush with AT&amp;T with AMR. We're going to be bringing you a 12-year-old male struck by a motor vehicle going approximately 30-35 miles an hour. Caused a velocity on the impact. He's breathing. He's repeating a lot of the things that he's saying he is. He's superficial cuts to his arms, legs, and to the back of his head. Also potentially a broken right leg. We haven't splinted up as is right now. I got that vital if you want. Yes, please. 136 over 83 for a pressure. 97% on room air. [REDACTED]. And you got, we're GCS 14. Just a little bit of confusion. Doesn't really remember much what happened. Otherwise, answering us normally. Sorry. Respiratory rate. He's breathing a good 24. Okay. All righty. And how far away are you guys? We're about, how far? We're about eight minutes out from you guys. Eight? Okay. All right. Thanks so much. Yep. Thank you. Bye.</t>
  </si>
  <si>
    <t>Oshawa Emergency Department, Dr. Sellish. Hello, this is Sean Bush with AT&amp;T with AMR. We're going to be bringing you a 12-year-old male struck by a motor vehicle going approximately 30-35 miles an hour. Caused a velocity on the impact. He's breathing. He's repeating a lot of the things that he's saying he is. He's superficial cuts to his arms, legs, and to the back of his head. Also potentially a broken right leg. We haven't splinted up as is right now. I got that vital if you want. Yes, please. [REDACTED]. 97% on room air. Heart rate of 119. And you got, we're GCS 14. Just a little bit of confusion. Doesn't really remember much what happened. Otherwise, answering us normally. Sorry. Respiratory rate. He's breathing a good 24. Okay. All righty. And how far away are you guys? We're about, how far? We're about eight minutes out from you guys. Eight? Okay. All right. Thanks so much. Yep. Thank you. Bye.</t>
  </si>
  <si>
    <t>Oshawa Emergency Department, Dr. Sellish. Hello, this is Sean Bush with AT&amp;T with AMR. We're going to be bringing you a 12-year-old male struck by a motor vehicle going approximately 30-35 miles an hour. Caused a velocity on the impact. He's breathing. He's repeating a lot of the things that he's saying he is. He's superficial cuts to his arms, legs, and to the back of his head. Also potentially a broken right leg. We haven't splinted up as is right now. I got that vital if you want. Yes, please. 136 over 83 for a pressure. 97% on room air. Heart rate of 119. And you got, we're GCS 14. Just a little bit of confusion. Doesn't really remember much what happened. Otherwise, answering us normally. Sorry. Respiratory rate. He's [REDACTED]. Okay. All righty. And how far away are you guys? We're about, how far? We're about eight minutes out from you guys. Eight? Okay. All right. Thanks so much. Yep. Thank you. Bye.</t>
  </si>
  <si>
    <t>Oshawa Emergency Department, Dr. Sellish. Hello, this is Sean Bush with AT&amp;T with AMR. We're going to be bringing you a 12-year-old male [REDACTED]. Caused a velocity on the impact. He's breathing. He's repeating a lot of the things that he's saying he is. He's superficial cuts to his arms, legs, and to the back of his head. Also potentially a broken right leg. We haven't splinted up as is right now. I got that vital if you want. Yes, please. 136 over 83 for a pressure. 97% on room air. Heart rate of 119. And you got, we're GCS 14. Just a little bit of confusion. Doesn't really remember much what happened. Otherwise, answering us normally. Sorry. Respiratory rate. He's breathing a good 24. Okay. All righty. And how far away are you guys? We're about, how far? We're about eight minutes out from you guys. Eight? Okay. All right. Thanks so much. Yep. Thank you. Bye.</t>
  </si>
  <si>
    <t>Hi, it's Dr. Amborski. What can I do for you? Hello, this is Maya, paramedic with AMR. I am bringing you what I am told is a 14-year-old female who was struck by a vehicle going approximately 40 to 50 miles per hour. I would give her GCS probably about a, maybe a 6 at this point. She's not really answering any of my questions. She just kind of wakes up to yell. Hello, I've got vitals of 118 for a heart rate, 100% on Lumare, 123 over 85 for a blood pressure, and 135 for a BG. She's got bilateral 18s, and I am on the way to you. You'll be there in approximately 7 to 10 minutes. Okay, thank you. Thank you. Yep, thanks.</t>
  </si>
  <si>
    <t>14-year-old female who was struck by a vehicle going approximately 40 to 50 miles per hour. I would give her GCS probably about a, maybe a 6 at this point. I've got vitals of 118 for a heart rate, 100% on Lumare, 123 over 85 for a blood pressure, and 135 for a BG.</t>
  </si>
  <si>
    <t>L1, 14y/o, Vitals(BP [??]/[??], HR [??], RR [??]), GCS:6, MOI(Ped Vs Car), ETA:6 min - also neuro alert</t>
  </si>
  <si>
    <t>The paramedic reported that the patient was struck by a vehicle going approximately 40 to 50 miles per hour.</t>
  </si>
  <si>
    <t>['123 over 85 for a blood pressure']</t>
  </si>
  <si>
    <t>['struck by a vehicle going approximately 40 to 50 miles per hour']</t>
  </si>
  <si>
    <t>Hi, it's Dr. Amborski. What can I do for you? Hello, this is Maya, paramedic with AMR. I am bringing you what I am told is a [REDACTED] who was struck by a vehicle going approximately 40 to 50 miles per hour. I would give her GCS probably about a, maybe a 6 at this point. She's not really answering any of my questions. She just kind of wakes up to yell. Hello, I've got vitals of 118 for a heart rate, 100% on Lumare, 123 over 85 for a blood pressure, and 135 for a BG. She's got bilateral 18s, and I am on the way to you. You'll be there in approximately 7 to 10 minutes. Okay, thank you. Thank you. Yep, thanks.</t>
  </si>
  <si>
    <t>Hi, it's Dr. Amborski. What can I do for you? Hello, this is Maya, paramedic with AMR. I am bringing you what I am told is a 14-year-old female who was struck by a vehicle going approximately 40 to 50 miles per hour. I would give her GCS probably about a, maybe a 6 at this point. She's not really answering any of my questions. She just kind of wakes up to yell. Hello, I've got vitals of 118 for a heart rate, 100% on Lumare, [REDACTED], and 135 for a BG. She's got bilateral 18s, and I am on the way to you. You'll be there in approximately 7 to 10 minutes. Okay, thank you. Thank you. Yep, thanks.</t>
  </si>
  <si>
    <t>Hi, it's Dr. Amborski. What can I do for you? Hello, this is Maya, paramedic with AMR. I am bringing you what I am told is a 14-year-old female who was [REDACTED]. I would give her GCS probably about a, maybe a 6 at this point. She's not really answering any of my questions. She just kind of wakes up to yell. Hello, I've got vitals of 118 for a heart rate, 100% on Lumare, 123 over 85 for a blood pressure, and 135 for a BG. She's got bilateral 18s, and I am on the way to you. You'll be there in approximately 7 to 10 minutes. Okay, thank you. Thank you. Yep, thanks.</t>
  </si>
  <si>
    <t>Hi, Dr. Amborski. What can I do for you? Hi, Doc. It's Steve Pepper over at Airy County Emergency Services at MERS. I'm giving you a report. Okay. Medevac 12 is 15 minutes from your rooftop. They have a 08-year-old female patient who was an unrestrained backseat passenger in a motor vehicle accident. She is in altered mental status right now. Has an eye gel in place for airway control. Is being ventilated at 94%. Heart rate is 95. Blood pressure is 86 over 53. Okay. And they said there's a copious amount of blood coming from her abdomen. That's the only information they gave me. All right. So 15 minutes out? 15 minutes, yes. Security has been notified. Okay. Thanks so much. Thank you. Bye. Okay. Bye.</t>
  </si>
  <si>
    <t>08-year-old female patient who was an unrestrained backseat passenger in a motor vehicle accident. She is in altered mental status right now. Has an eye gel in place for airway control. Is being ventilated at 94%. Heart rate is 95. Blood pressure is 86 over 53. a copious amount of blood coming from her abdomen.</t>
  </si>
  <si>
    <t>L1, 8y/o, Vitals(BP 86/53, HR 95, RR 20), GCS:8, MOI(MVC), stat medivac - single fatality mvc, pt found in road. blood from abdomen, igel in place, GCS assumed, ETA:15 min</t>
  </si>
  <si>
    <t>Motor vehicle accident (unrestrained backseat passenger)</t>
  </si>
  <si>
    <t>The report mentions the patient was an unrestrained backseat passenger in a motor vehicle accident.</t>
  </si>
  <si>
    <t>['08-year-old female patient']</t>
  </si>
  <si>
    <t>['Heart rate is 95']</t>
  </si>
  <si>
    <t>['Blood pressure is 86 over 53']</t>
  </si>
  <si>
    <t>['altered mental status']</t>
  </si>
  <si>
    <t>['unrestrained backseat passenger in a motor vehicle accident']</t>
  </si>
  <si>
    <t>Hi, Dr. Amborski. What can I do for you? Hi, Doc. It's Steve Pepper over at Airy County Emergency Services at MERS. I'm giving you a report. Okay. Medevac 12 is 15 minutes from your rooftop. They have a [REDACTED] who was an unrestrained backseat passenger in a motor vehicle accident. She is in altered mental status right now. Has an eye gel in place for airway control. Is being ventilated at 94%. Heart rate is 95. Blood pressure is 86 over 53. Okay. And they said there's a copious amount of blood coming from her abdomen. That's the only information they gave me. All right. So 15 minutes out? 15 minutes, yes. Security has been notified. Okay. Thanks so much. Thank you. Bye. Okay. Bye.</t>
  </si>
  <si>
    <t>Hi, Dr. Amborski. What can I do for you? Hi, Doc. It's Steve Pepper over at Airy County Emergency Services at MERS. I'm giving you a report. Okay. Medevac 12 is 15 minutes from your rooftop. They have a 08-year-old female patient who was an unrestrained backseat passenger in a motor vehicle accident. She is in altered mental status right now. Has an eye gel in place for airway control. Is being ventilated at 94%. [REDACTED]. Blood pressure is 86 over 53. Okay. And they said there's a copious amount of blood coming from her abdomen. That's the only information they gave me. All right. So 15 minutes out? 15 minutes, yes. Security has been notified. Okay. Thanks so much. Thank you. Bye. Okay. Bye.</t>
  </si>
  <si>
    <t>Hi, Dr. Amborski. What can I do for you? Hi, Doc. It's Steve Pepper over at Airy County Emergency Services at MERS. I'm giving you a report. Okay. Medevac 12 is 15 minutes from your rooftop. They have a 08-year-old female patient who was an unrestrained backseat passenger in a motor vehicle accident. She is in altered mental status right now. Has an eye gel in place for airway control. Is being ventilated at 94%. Heart rate is 95. [REDACTED]. Okay. And they said there's a copious amount of blood coming from her abdomen. That's the only information they gave me. All right. So 15 minutes out? 15 minutes, yes. Security has been notified. Okay. Thanks so much. Thank you. Bye. Okay. Bye.</t>
  </si>
  <si>
    <t>Hi, Dr. Amborski. What can I do for you? Hi, Doc. It's Steve Pepper over at Airy County Emergency Services at MERS. I'm giving you a report. Okay. Medevac 12 is 15 minutes from your rooftop. They have a 08-year-old female patient who was an unrestrained backseat passenger in a motor vehicle accident. She is in [REDACTED] right now. Has an eye gel in place for airway control. Is being ventilated at 94%. Heart rate is 95. Blood pressure is 86 over 53. Okay. And they said there's a copious amount of blood coming from her abdomen. That's the only information they gave me. All right. So 15 minutes out? 15 minutes, yes. Security has been notified. Okay. Thanks so much. Thank you. Bye. Okay. Bye.</t>
  </si>
  <si>
    <t>Hi, Dr. Amborski. What can I do for you? Hi, Doc. It's Steve Pepper over at Airy County Emergency Services at MERS. I'm giving you a report. Okay. Medevac 12 is 15 minutes from your rooftop. They have a 08-year-old female patient who was an [REDACTED]. She is in altered mental status right now. Has an eye gel in place for airway control. Is being ventilated at 94%. Heart rate is 95. Blood pressure is 86 over 53. Okay. And they said there's a copious amount of blood coming from her abdomen. That's the only information they gave me. All right. So 15 minutes out? 15 minutes, yes. Security has been notified. Okay. Thanks so much. Thank you. Bye. Okay. Bye.</t>
  </si>
  <si>
    <t>Hello, this is Dr. Rees. Hi, this is Nick Carlson, paramedic with CCDMS. I called up here about 15 minutes ago. I am. Yeah, what's going on? So we've had no changes in route. We're 10 minutes out. We've been doing neural checks about like every 5-10 minutes. Pupils are still equal and reactive. Lung sounds are still clear and equal bilaterally. In route, we did put an IV in, so he has the 18-day FAC. Still, his only real complaint is back pain, kind of in the middle of his back, probably within like that T10 to L2 region. He did have a couple episodes where he was gagging, so I did administer 4 mg of Zofran through his IV. Let's see. Last set of vitals for you. Sinus rhythm, 104. SpO2 is 99% on room air. Last blood pressure was 132 over 72. And yeah, that's about it. Like I said, we're now 9 minutes out. Alright. Great. We'll see you when you get here. Thank you much. Bye bye.</t>
  </si>
  <si>
    <t>only real complaint is back pain, kind of in the middle of his back, probably within like that T10 to L2 region. Sinus rhythm, 104. SpO2 is 99% on room air. Last blood pressure was 132 over 72.</t>
  </si>
  <si>
    <t>L2, 12y/o, Vitals(BP [??]/[??], HR [??], RR [??]), GCS:15, MOI(Fall&gt;10 or 3x Child height), 12yo amish fell 27' in silo, ETA:5 mi  also had 60 minute ETA page.</t>
  </si>
  <si>
    <t>The transcript does not mention any specific mechanism of injury.</t>
  </si>
  <si>
    <t>['Sinus rhythm, 104']</t>
  </si>
  <si>
    <t>['Last blood pressure was 132 over 72']</t>
  </si>
  <si>
    <t>Hello, this is Dr. Rees. Hi, this is Nick Carlson, paramedic with CCDMS. I called up here about 15 minutes ago. I am. Yeah, what's going on? So we've had no changes in route. We're 10 minutes out. We've been doing neural checks about like every 5-10 minutes. Pupils are still equal and reactive. Lung sounds are still clear and equal bilaterally. In route, we did put an IV in, so he has the 18-day FAC. Still, his only real complaint is back pain, kind of in the middle of his back, probably within like that T10 to L2 region. He did have a couple episodes where he was gagging, so I did administer 4 mg of Zofran through his IV. Let's see. Last set of vitals for you. [REDACTED]. SpO2 is 99% on room air. Last blood pressure was 132 over 72. And yeah, that's about it. Like I said, we're now 9 minutes out. Alright. Great. We'll see you when you get here. Thank you much. Bye bye.</t>
  </si>
  <si>
    <t>Hello, this is Dr. Rees. Hi, this is Nick Carlson, paramedic with CCDMS. I called up here about 15 minutes ago. I am. Yeah, what's going on? So we've had no changes in route. We're 10 minutes out. We've been doing neural checks about like every 5-10 minutes. Pupils are still equal and reactive. Lung sounds are still clear and equal bilaterally. In route, we did put an IV in, so he has the 18-day FAC. Still, his only real complaint is back pain, kind of in the middle of his back, probably within like that T10 to L2 region. He did have a couple episodes where he was gagging, so I did administer 4 mg of Zofran through his IV. Let's see. Last set of vitals for you. Sinus rhythm, 104. SpO2 is 99% on room air. [REDACTED]. And yeah, that's about it. Like I said, we're now 9 minutes out. Alright. Great. We'll see you when you get here. Thank you much. Bye bye.</t>
  </si>
  <si>
    <t>PPD, Dr. Hall. Hi, I am calling with a trauma with Arcade Fire Department. All right. I have an 11-year-old male who has extreme hip pain. We do have it splinted at this time. He is missing a left pedopulse, and he does not have – or the left side is where the pain is. He's got some collarbone pain. He's got some neck pain. We do have his wrist splinted as well because we suspect that might be broken. What happened? Do you know? Car accident. Car accident. Head on. Head on. We've got more patients coming. More pediatric patients coming? You have his brother coming. Okay. So you should be getting a call about that one too. Okay. Do they have any idea? Like, was anyone ejected from the car? Did anyone die at the scene? Anything like that? We do have a patient being flown from the scene, but no DOAs. Okay. Any idea how fast the car was going? Does anyone have any suggestions? About 50. 55. This is a 55-mile-per-hour road. Okay. And was he seat belted? I'm sorry? Was he seat belted? Do you know? Were you in a seat belt? Yes. Okay. And what are his vitals? What are his vitals? So we have been splinting, so we haven't had a chance. Okay. But he is breathing and talking to us just fine. His pupils are responsive and equal. His O2 was at 95, I believe. Okay. Okay. Okay. Just because I'm going to page this out and they'll ask for it, I'll give, can I just hold on the phone while someone gets at least like a heart rate and a blood pressure, that would be? Yes, of course. We can work on that right now for you. Thank you. And how old is his brother? Got to get her to find out. I'm going to put something on your finger. Are you okay? Five, four, six, seven. Put something on your finger. Do I have your finger? I'm not seeing a problem. I got it. I'll be back. And putCL photos on that. Yeah. And will we get pPoSüm that one out? True. But when are the school gonna relax there. Okay. Good. And so my son-in-law. Well you know, I love my baby though. Yeah. God. Is your father. Your father. Yes, he's�er. Oh. All right, we've got a CO2 of 96 and a pulse rate of 97. Okay. Any blood pressure on him yet? Did you catch that? Yes, heart rate of 97, pulse ox in 96. Just waiting on the blood pressure. Okay. She's currently trying to get blood pressure. How old is his brother? I believe the brother is nine years old. Okay. And does he seem just as sick or injured or less so, or do you know? He's not in this ambulance, so I don't really care. That's fine. That's no problem. They should be receiving a call about him. Yeah, you should be getting a call about him shortly. Thank you. It's in your arm, okay? Can you move it out for me a little bit? There it is. That's his brother. Could you? I'm just telling him to hold. Okay. And your mama's going to see you at the hospital, okay? And mother should be en route to the hospital also. They're flying in. I'm sorry, did you say anything, Sarah? I wasn't paying attention. Yeah. Yeah. Yeah. Yeah. Yeah. Yeah. Yeah. Yeah. Yeah. Yeah. Yeah. Yeah. Yeah. Yeah. Yeah. Yeah. Yeah. Yeah. Yeah. Yeah. Yeah. Yeah. Yeah. Yeah. Yeah. Yeah. will you write the blood pressure that they give you down 110 over 70 110 over 70 110 over 70 all right thank you okay what's your eta uh we are in our cage so i'm going to say probably 45 to 50 minutes 45 to 50 minutes okay all right yeah and they will probably be running hot okay because of uh nighttime traffic okay okay thanks all right all right bye</t>
  </si>
  <si>
    <t>11-year-old male who has extreme hip pain.He's got some collarbone pain. He's got some neck pain. We do have his wrist splinted as well because we suspect that might be broken. Car accident. Head on. About 50. 55. This is a 55-mile-per-hour road.  Were you in a seat belt? Yes. But he is breathing and talking to us just fine. His pupils are responsive and equal. His O2 was at 95, Heart rate in 97. Pulse ox in 96. Blood pressure 110 over 70.</t>
  </si>
  <si>
    <t>, 11y/o, Vitals(BP 110/70, HR 97, RR 18), GCS:15, MOI(MVC), MVC head on 55mph, absent L pedal pulse, L leg splinted, L wrist pain, ETA:45 min</t>
  </si>
  <si>
    <t>Head-on car accident</t>
  </si>
  <si>
    <t>The transcript mentions a head-on car accident as the cause of the injuries.</t>
  </si>
  <si>
    <t>['11-year-old male', 'the brother is nine years old']</t>
  </si>
  <si>
    <t>['pulse rate of 97', 'heart rate of 97']</t>
  </si>
  <si>
    <t>['110 over 70']</t>
  </si>
  <si>
    <t>['he is breathing and talking to us just fine', 'His pupils are responsive and equal']</t>
  </si>
  <si>
    <t>PPD, Dr. Hall. Hi, I am calling with a trauma with Arcade Fire Department. All right. I have an [REDACTED] who has extreme hip pain. We do have it splinted at this time. He is missing a left pedopulse, and he does not have – or the left side is where the pain is. He's got some collarbone pain. He's got some neck pain. We do have his wrist splinted as well because we suspect that might be broken. What happened? Do you know? Car accident. Car accident. Head on. Head on. We've got more patients coming. More pediatric patients coming? You have his brother coming. Okay. So you should be getting a call about that one too. Okay. Do they have any idea? Like, was anyone ejected from the car? Did anyone die at the scene? Anything like that? We do have a patient being flown from the scene, but no DOAs. Okay. Any idea how fast the car was going? Does anyone have any suggestions? About 50. 55. This is a 55-mile-per-hour road. Okay. And was he seat belted? I'm sorry? Was he seat belted? Do you know? Were you in a seat belt? Yes. Okay. And what are his vitals? What are his vitals? So we have been splinting, so we haven't had a chance. Okay. But he is breathing and talking to us just fine. His pupils are responsive and equal. His O2 was at 95, I believe. Okay. Okay. Okay. Just because I'm going to page this out and they'll ask for it, I'll give, can I just hold on the phone while someone gets at least like a heart rate and a blood pressure, that would be? Yes, of course. We can work on that right now for you. Thank you. And how old is his brother? Got to get her to find out. I'm going to put something on your finger. Are you okay? Five, four, six, seven. Put something on your finger. Do I have your finger? I'm not seeing a problem. I got it. I'll be back. And putCL photos on that. Yeah. And will we get pPoSüm that one out? True. But when are the school gonna relax there. Okay. Good. And so my son-in-law. Well you know, I love my baby though. Yeah. God. Is your father. Your father. Yes, he's�er. Oh. All right, we've got a CO2 of 96 and a pulse rate of 97. Okay. Any blood pressure on him yet? Did you catch that? Yes, heart rate of 97, pulse ox in 96. Just waiting on the blood pressure. Okay. She's currently trying to get blood pressure. How old is his brother? I believe [REDACTED]. Okay. And does he seem just as sick or injured or less so, or do you know? He's not in this ambulance, so I don't really care. That's fine. That's no problem. They should be receiving a call about him. Yeah, you should be getting a call about him shortly. Thank you. It's in your arm, okay? Can you move it out for me a little bit? There it is. That's his brother. Could you? I'm just telling him to hold. Okay. And your mama's going to see you at the hospital, okay? And mother should be en route to the hospital also. They're flying in. I'm sorry, did you say anything, Sarah? I wasn't paying attention. Yeah. Yeah. Yeah. Yeah. Yeah. Yeah. Yeah. Yeah. Yeah. Yeah. Yeah. Yeah. Yeah. Yeah. Yeah. Yeah. Yeah. Yeah. Yeah. Yeah. Yeah. Yeah. Yeah. Yeah. Yeah. Yeah. will you write the blood pressure that they give you down 110 over 70 110 over 70 110 over 70 all right thank you okay what's your eta uh we are in our cage so i'm going to say probably 45 to 50 minutes 45 to 50 minutes okay all right yeah and they will probably be running hot okay because of uh nighttime traffic okay okay thanks all right all right bye</t>
  </si>
  <si>
    <t>PPD, Dr. Hall. Hi, I am calling with a trauma with Arcade Fire Department. All right. I have an 11-year-old male who has extreme hip pain. We do have it splinted at this time. He is missing a left pedopulse, and he does not have – or the left side is where the pain is. He's got some collarbone pain. He's got some neck pain. We do have his wrist splinted as well because we suspect that might be broken. What happened? Do you know? Car accident. Car accident. Head on. Head on. We've got more patients coming. More pediatric patients coming? You have his brother coming. Okay. So you should be getting a call about that one too. Okay. Do they have any idea? Like, was anyone ejected from the car? Did anyone die at the scene? Anything like that? We do have a patient being flown from the scene, but no DOAs. Okay. Any idea how fast the car was going? Does anyone have any suggestions? About 50. 55. This is a 55-mile-per-hour road. Okay. And was he seat belted? I'm sorry? Was he seat belted? Do you know? Were you in a seat belt? Yes. Okay. And what are his vitals? What are his vitals? So we have been splinting, so we haven't had a chance. Okay. But he is breathing and talking to us just fine. His pupils are responsive and equal. His O2 was at 95, I believe. Okay. Okay. Okay. Just because I'm going to page this out and they'll ask for it, I'll give, can I just hold on the phone while someone gets at least like a heart rate and a blood pressure, that would be? Yes, of course. We can work on that right now for you. Thank you. And how old is his brother? Got to get her to find out. I'm going to put something on your finger. Are you okay? Five, four, six, seven. Put something on your finger. Do I have your finger? I'm not seeing a problem. I got it. I'll be back. And putCL photos on that. Yeah. And will we get pPoSüm that one out? True. But when are the school gonna relax there. Okay. Good. And so my son-in-law. Well you know, I love my baby though. Yeah. God. Is your father. Your father. Yes, he's�er. Oh. All right, we've got a CO2 of 96 and a [REDACTED]. Okay. Any blood pressure on him yet? Did you catch that? Yes, [REDACTED], pulse ox in 96. Just waiting on the blood pressure. Okay. She's currently trying to get blood pressure. How old is his brother? I believe the brother is nine years old. Okay. And does he seem just as sick or injured or less so, or do you know? He's not in this ambulance, so I don't really care. That's fine. That's no problem. They should be receiving a call about him. Yeah, you should be getting a call about him shortly. Thank you. It's in your arm, okay? Can you move it out for me a little bit? There it is. That's his brother. Could you? I'm just telling him to hold. Okay. And your mama's going to see you at the hospital, okay? And mother should be en route to the hospital also. They're flying in. I'm sorry, did you say anything, Sarah? I wasn't paying attention. Yeah. Yeah. Yeah. Yeah. Yeah. Yeah. Yeah. Yeah. Yeah. Yeah. Yeah. Yeah. Yeah. Yeah. Yeah. Yeah. Yeah. Yeah. Yeah. Yeah. Yeah. Yeah. Yeah. Yeah. Yeah. Yeah. will you write the blood pressure that they give you down 110 over 70 110 over 70 110 over 70 all right thank you okay what's your eta uh we are in our cage so i'm going to say probably 45 to 50 minutes 45 to 50 minutes okay all right yeah and they will probably be running hot okay because of uh nighttime traffic okay okay thanks all right all right bye</t>
  </si>
  <si>
    <t>PPD, Dr. Hall. Hi, I am calling with a trauma with Arcade Fire Department. All right. I have an 11-year-old male who has extreme hip pain. We do have it splinted at this time. He is missing a left pedopulse, and he does not have – or the left side is where the pain is. He's got some collarbone pain. He's got some neck pain. We do have his wrist splinted as well because we suspect that might be broken. What happened? Do you know? Car accident. Car accident. Head on. Head on. We've got more patients coming. More pediatric patients coming? You have his brother coming. Okay. So you should be getting a call about that one too. Okay. Do they have any idea? Like, was anyone ejected from the car? Did anyone die at the scene? Anything like that? We do have a patient being flown from the scene, but no DOAs. Okay. Any idea how fast the car was going? Does anyone have any suggestions? About 50. 55. This is a 55-mile-per-hour road. Okay. And was he seat belted? I'm sorry? Was he seat belted? Do you know? Were you in a seat belt? Yes. Okay. And what are his vitals? What are his vitals? So we have been splinting, so we haven't had a chance. Okay. But he is breathing and talking to us just fine. His pupils are responsive and equal. His O2 was at 95, I believe. Okay. Okay. Okay. Just because I'm going to page this out and they'll ask for it, I'll give, can I just hold on the phone while someone gets at least like a heart rate and a blood pressure, that would be? Yes, of course. We can work on that right now for you. Thank you. And how old is his brother? Got to get her to find out. I'm going to put something on your finger. Are you okay? Five, four, six, seven. Put something on your finger. Do I have your finger? I'm not seeing a problem. I got it. I'll be back. And putCL photos on that. Yeah. And will we get pPoSüm that one out? True. But when are the school gonna relax there. Okay. Good. And so my son-in-law. Well you know, I love my baby though. Yeah. God. Is your father. Your father. Yes, he's�er. Oh. All right, we've got a CO2 of 96 and a pulse rate of 97. Okay. Any blood pressure on him yet? Did you catch that? Yes, heart rate of 97, pulse ox in 96. Just waiting on the blood pressure. Okay. She's currently trying to get blood pressure. How old is his brother? I believe the brother is nine years old. Okay. And does he seem just as sick or injured or less so, or do you know? He's not in this ambulance, so I don't really care. That's fine. That's no problem. They should be receiving a call about him. Yeah, you should be getting a call about him shortly. Thank you. It's in your arm, okay? Can you move it out for me a little bit? There it is. That's his brother. Could you? I'm just telling him to hold. Okay. And your mama's going to see you at the hospital, okay? And mother should be en route to the hospital also. They're flying in. I'm sorry, did you say anything, Sarah? I wasn't paying attention. Yeah. Yeah. Yeah. Yeah. Yeah. Yeah. Yeah. Yeah. Yeah. Yeah. Yeah. Yeah. Yeah. Yeah. Yeah. Yeah. Yeah. Yeah. Yeah. Yeah. Yeah. Yeah. Yeah. Yeah. Yeah. Yeah. will you write the blood pressure that they give you down [REDACTED] [REDACTED] [REDACTED] all right thank you okay what's your eta uh we are in our cage so i'm going to say probably 45 to 50 minutes 45 to 50 minutes okay all right yeah and they will probably be running hot okay because of uh nighttime traffic okay okay thanks all right all right bye</t>
  </si>
  <si>
    <t>PPD, Dr. Hall. Hi, I am calling with a trauma with Arcade Fire Department. All right. I have an 11-year-old male who has extreme hip pain. We do have it splinted at this time. He is missing a left pedopulse, and he does not have – or the left side is where the pain is. He's got some collarbone pain. He's got some neck pain. We do have his wrist splinted as well because we suspect that might be broken. What happened? Do you know? Car accident. Car accident. Head on. Head on. We've got more patients coming. More pediatric patients coming? You have his brother coming. Okay. So you should be getting a call about that one too. Okay. Do they have any idea? Like, was anyone ejected from the car? Did anyone die at the scene? Anything like that? We do have a patient being flown from the scene, but no DOAs. Okay. Any idea how fast the car was going? Does anyone have any suggestions? About 50. 55. This is a 55-mile-per-hour road. Okay. And was he seat belted? I'm sorry? Was he seat belted? Do you know? Were you in a seat belt? Yes. Okay. And what are his vitals? What are his vitals? So we have been splinting, so we haven't had a chance. Okay. But [REDACTED]. [REDACTED]. His O2 was at 95, I believe. Okay. Okay. Okay. Just because I'm going to page this out and they'll ask for it, I'll give, can I just hold on the phone while someone gets at least like a heart rate and a blood pressure, that would be? Yes, of course. We can work on that right now for you. Thank you. And how old is his brother? Got to get her to find out. I'm going to put something on your finger. Are you okay? Five, four, six, seven. Put something on your finger. Do I have your finger? I'm not seeing a problem. I got it. I'll be back. And putCL photos on that. Yeah. And will we get pPoSüm that one out? True. But when are the school gonna relax there. Okay. Good. And so my son-in-law. Well you know, I love my baby though. Yeah. God. Is your father. Your father. Yes, he's�er. Oh. All right, we've got a CO2 of 96 and a pulse rate of 97. Okay. Any blood pressure on him yet? Did you catch that? Yes, heart rate of 97, pulse ox in 96. Just waiting on the blood pressure. Okay. She's currently trying to get blood pressure. How old is his brother? I believe the brother is nine years old. Okay. And does he seem just as sick or injured or less so, or do you know? He's not in this ambulance, so I don't really care. That's fine. That's no problem. They should be receiving a call about him. Yeah, you should be getting a call about him shortly. Thank you. It's in your arm, okay? Can you move it out for me a little bit? There it is. That's his brother. Could you? I'm just telling him to hold. Okay. And your mama's going to see you at the hospital, okay? And mother should be en route to the hospital also. They're flying in. I'm sorry, did you say anything, Sarah? I wasn't paying attention. Yeah. Yeah. Yeah. Yeah. Yeah. Yeah. Yeah. Yeah. Yeah. Yeah. Yeah. Yeah. Yeah. Yeah. Yeah. Yeah. Yeah. Yeah. Yeah. Yeah. Yeah. Yeah. Yeah. Yeah. Yeah. Yeah. will you write the blood pressure that they give you down 110 over 70 110 over 70 110 over 70 all right thank you okay what's your eta uh we are in our cage so i'm going to say probably 45 to 50 minutes 45 to 50 minutes okay all right yeah and they will probably be running hot okay because of uh nighttime traffic okay okay thanks all right all right bye</t>
  </si>
  <si>
    <t>Children's ER, Dr. Kenyon. Hey, Dr. Kenyon. Jamie, I'm with you. How are you? Good. What's up? I have a nine-month-old male patient, zero, nine-month-old, who was bit by a large dog. He has multiple puncture wounds to his chest and back. It looks like some are pretty deep. I currently have a seal on them now. I'd say he's very semi-unstable at this point. His heart rate is currently 177 sinus pack on the monitor. He is very pale, almost like shocky pale. And we're about 15 to 20 minutes out. Okay. And you said nine months. Do you have any other vitals on him for me? Right now, I have a heart rate of 178, which is sinus pack. I'm working on getting an SPO2 now, but I'm not getting anything. I'm going to put him on high flow here in a minute, and I have not yet gotten a blood pressure yet. Okay. And you said it's mainly to the chest and abdomen? To the chest, back, and abdomen. Chest, back, and abdomen. Okay. Sounds good. And do you know how big of a dog or what kind of dog? Same. Very large dog. Okay. All right. Cool. We'll see you when you get here. We're going to go to the code room. All right. Thank you. Thanks. Bye.</t>
  </si>
  <si>
    <t>nine-month-old male patient, zero, nine-month-old, who was bit by a large dog. He has multiple puncture wounds to his chest and back. His heart rate is currently 177 sinus pack on the monitor.  I have a heart rate of 178, which is sinus pack. To the chest, back, and abdomen.</t>
  </si>
  <si>
    <t>L2, 9m/o, Vitals(BP [??]/[??], HR 178, RR [??]), GCS:14, MOI(Penetrating Injury), attacked by ST Bernard. Deep punctures to chest, abd. Dehisced abd wound. Pale and listless, ETA:8 min</t>
  </si>
  <si>
    <t>Dog bite</t>
  </si>
  <si>
    <t>The transcript describes a nine-month-old male patient who was bitten by a large dog, resulting in multiple puncture wounds.</t>
  </si>
  <si>
    <t>['heart rate is currently 177', 'heart rate of 178']</t>
  </si>
  <si>
    <t>['bit by a large dog', 'multiple puncture wounds to his chest and back', 'some are pretty deep', 'mainly to the chest and abdomen', 'chest, back, and abdomen']</t>
  </si>
  <si>
    <t>Children's ER, Dr. Kenyon. Hey, Dr. Kenyon. Jamie, I'm with you. How are you? Good. What's up? I have a nine-month-old male patient, zero, nine-month-old, who was bit by a large dog. He has multiple puncture wounds to his chest and back. It looks like some are pretty deep. I currently have a seal on them now. I'd say he's very semi-unstable at this point. His [REDACTED] sinus pack on the monitor. He is very pale, almost like shocky pale. And we're about 15 to 20 minutes out. Okay. And you said nine months. Do you have any other vitals on him for me? Right now, I have a [REDACTED], which is sinus pack. I'm working on getting an SPO2 now, but I'm not getting anything. I'm going to put him on high flow here in a minute, and I have not yet gotten a blood pressure yet. Okay. And you said it's mainly to the chest and abdomen? To the chest, back, and abdomen. Chest, back, and abdomen. Okay. Sounds good. And do you know how big of a dog or what kind of dog? Same. Very large dog. Okay. All right. Cool. We'll see you when you get here. We're going to go to the code room. All right. Thank you. Thanks. Bye.</t>
  </si>
  <si>
    <t>Children's Mercy Department, this is Dr. Ruano. Hey, it's Rachel from town. How are you? Yeah, good. Thanks. How are you? Good. We're going to be having him shortly. Perfect. I just want to give you a set of vitals. Perfect. He's like 124 heart rate, 115 over 80, 100% on room air. I do have a C collar on him. I haven't established any kind of ALS. I don't know if you want me to or just pulled off. No, that's fine. He's got a little bit of belly pain. Yeah, I was like, and then GCS of 15. And you said no loss of consciousness, wasn't in a car seat. Was he wearing like a lap belt or like just the one across? It was like the lap across the shoulder and about perfect, perfect. So like a normal seatbelt. And what's your ETA? We're all the way in Kenmore. So you probably give me like 10 minutes. 10 minutes. Yeah, just because of the belly pain, we'll probably end up activating as a trauma. So I appreciate you giving us a call back. Also, his mom's coming with us. She told the EMTs before I got in here that she had neck pain. So she is walk it wounded with a collar on. Okay. I put it on her before I could. Just to give you a heads up if you see this. Sounds good. Thank you. Thank you. Bye. Okay. Bye.</t>
  </si>
  <si>
    <t>124 heart rate, 115 over 80, 100% on room air. He's got a little bit of belly pain. GCS of 15. And you said no loss of consciousness, wasn't in a car seat.</t>
  </si>
  <si>
    <t>L2, 4y/o, Vitals(BP 115/80, HR 120, RR 20), GCS:15, MOI(MVC), seatbelt in back seat tboned another vehicle at 30 mph. belly pain, no LOC, ETA:10 min</t>
  </si>
  <si>
    <t>MVC with improper seatbelt use</t>
  </si>
  <si>
    <t>The conversation mentions a child not in a car seat and wearing a seatbelt incorrectly, suggesting a motor vehicle collision.</t>
  </si>
  <si>
    <t>['115 over 80']</t>
  </si>
  <si>
    <t>["wasn't in a car seat", 'lap across the shoulder', 'normal seatbelt']</t>
  </si>
  <si>
    <t>Children's Mercy Department, this is Dr. Ruano. Hey, it's Rachel from town. How are you? Yeah, good. Thanks. How are you? Good. We're going to be having him shortly. Perfect. I just want to give you a set of vitals. Perfect. He's like [REDACTED], 115 over 80, 100% on room air. I do have a C collar on him. I haven't established any kind of ALS. I don't know if you want me to or just pulled off. No, that's fine. He's got a little bit of belly pain. Yeah, I was like, and then GCS of 15. And you said no loss of consciousness, wasn't in a car seat. Was he wearing like a lap belt or like just the one across? It was like the lap across the shoulder and about perfect, perfect. So like a normal seatbelt. And what's your ETA? We're all the way in Kenmore. So you probably give me like 10 minutes. 10 minutes. Yeah, just because of the belly pain, we'll probably end up activating as a trauma. So I appreciate you giving us a call back. Also, his mom's coming with us. She told the EMTs before I got in here that she had neck pain. So she is walk it wounded with a collar on. Okay. I put it on her before I could. Just to give you a heads up if you see this. Sounds good. Thank you. Thank you. Bye. Okay. Bye.</t>
  </si>
  <si>
    <t>Children's Mercy Department, this is Dr. Ruano. Hey, it's Rachel from town. How are you? Yeah, good. Thanks. How are you? Good. We're going to be having him shortly. Perfect. I just want to give you a set of vitals. Perfect. He's like 124 heart rate, [REDACTED], 100% on room air. I do have a C collar on him. I haven't established any kind of ALS. I don't know if you want me to or just pulled off. No, that's fine. He's got a little bit of belly pain. Yeah, I was like, and then GCS of 15. And you said no loss of consciousness, wasn't in a car seat. Was he wearing like a lap belt or like just the one across? It was like the lap across the shoulder and about perfect, perfect. So like a normal seatbelt. And what's your ETA? We're all the way in Kenmore. So you probably give me like 10 minutes. 10 minutes. Yeah, just because of the belly pain, we'll probably end up activating as a trauma. So I appreciate you giving us a call back. Also, his mom's coming with us. She told the EMTs before I got in here that she had neck pain. So she is walk it wounded with a collar on. Okay. I put it on her before I could. Just to give you a heads up if you see this. Sounds good. Thank you. Thank you. Bye. Okay. Bye.</t>
  </si>
  <si>
    <t>Children's Mercy Department, this is Dr. Ruano. Hey, it's Rachel from town. How are you? Yeah, good. Thanks. How are you? Good. We're going to be having him shortly. Perfect. I just want to give you a set of vitals. Perfect. He's like 124 heart rate, 115 over 80, 100% on room air. I do have a C collar on him. I haven't established any kind of ALS. I don't know if you want me to or just pulled off. No, that's fine. He's got a little bit of belly pain. Yeah, I was like, and then GCS of 15. And you said no loss of consciousness, [REDACTED]. Was he wearing like a lap belt or like just the one across? It was like the [REDACTED] and about perfect, perfect. So like a [REDACTED]. And what's your ETA? We're all the way in Kenmore. So you probably give me like 10 minutes. 10 minutes. Yeah, just because of the belly pain, we'll probably end up activating as a trauma. So I appreciate you giving us a call back. Also, his mom's coming with us. She told the EMTs before I got in here that she had neck pain. So she is walk it wounded with a collar on. Okay. I put it on her before I could. Just to give you a heads up if you see this. Sounds good. Thank you. Thank you. Bye. Okay. Bye.</t>
  </si>
  <si>
    <t>Hey, Doc. I'm coming here with a 16-year-old male, post-MBC, with positive LLC, GCS-14. Okay. What did you take off for? I'm sorry? The GCS-14. What did you take off for? For confusion. For confusion? Yes. Okay. Was he belted? Correct. Positive LLC. Was he belted? Yes. Okay. About 50 to 60 miles an hour with a rollover and a box truck. Rollover and what was that? And a box truck. Oh, a box truck. Okay. Do you have a set of vitals? Yep. Heart rate of 130, 130. Restorative rate of 20. Life pressure 142. Okay. 93. 98% on Romare. 98%? Correct. Okay. How far out? About 10. All right. We'll see what you get there. Thanks. Bye. Bye. Bye. Bye.</t>
  </si>
  <si>
    <t>16-year-old male, post-MBC, with positive LLC, GCS-14. About 50 to 60 miles an hour with a rollover and a box truck. Heart rate of 130, 130. Restorative rate of 20. Life pressure 142. 93. 98% on Romare.</t>
  </si>
  <si>
    <t>L2, 16y/o, Vitals(BP 142/93, HR 130, RR 20), GCS:14, MOI(MVC), 60mph, rollover, LOC, ETA:10 min</t>
  </si>
  <si>
    <t>MVC rollover with a box truck</t>
  </si>
  <si>
    <t>The transcript mentions a "rollover and a box truck," indicating a motor vehicle collision involving a rollover.</t>
  </si>
  <si>
    <t>['Life pressure 142']</t>
  </si>
  <si>
    <t>['Restorative rate of 20']</t>
  </si>
  <si>
    <t>['For confusion', 'For confusion? Yes.']</t>
  </si>
  <si>
    <t>['post-MBC', 'About 50 to 60 miles an hour with a rollover and a box truck', 'rollover and a box truck']</t>
  </si>
  <si>
    <t>Hey, Doc. I'm coming here with a [REDACTED], post-MBC, with positive LLC, GCS-14. Okay. What did you take off for? I'm sorry? The GCS-14. What did you take off for? For confusion. For confusion? Yes. Okay. Was he belted? Correct. Positive LLC. Was he belted? Yes. Okay. About 50 to 60 miles an hour with a rollover and a box truck. Rollover and what was that? And a box truck. Oh, a box truck. Okay. Do you have a set of vitals? Yep. Heart rate of 130, 130. Restorative rate of 20. Life pressure 142. Okay. 93. 98% on Romare. 98%? Correct. Okay. How far out? About 10. All right. We'll see what you get there. Thanks. Bye. Bye. Bye. Bye.</t>
  </si>
  <si>
    <t>Hey, Doc. I'm coming here with a 16-year-old male, post-MBC, with positive LLC, GCS-14. Okay. What did you take off for? I'm sorry? The GCS-14. What did you take off for? For confusion. For confusion? Yes. Okay. Was he belted? Correct. Positive LLC. Was he belted? Yes. Okay. About 50 to 60 miles an hour with a rollover and a box truck. Rollover and what was that? And a box truck. Oh, a box truck. Okay. Do you have a set of vitals? Yep. Heart rate of 130, 130. Restorative rate of 20. [REDACTED]. Okay. 93. 98% on Romare. 98%? Correct. Okay. How far out? About 10. All right. We'll see what you get there. Thanks. Bye. Bye. Bye. Bye.</t>
  </si>
  <si>
    <t>Hey, Doc. I'm coming here with a 16-year-old male, post-MBC, with positive LLC, GCS-14. Okay. What did you take off for? I'm sorry? The GCS-14. What did you take off for? For confusion. For confusion? Yes. Okay. Was he belted? Correct. Positive LLC. Was he belted? Yes. Okay. About 50 to 60 miles an hour with a rollover and a box truck. Rollover and what was that? And a box truck. Oh, a box truck. Okay. Do you have a set of vitals? Yep. Heart rate of 130, 130. [REDACTED]. Life pressure 142. Okay. 93. 98% on Romare. 98%? Correct. Okay. How far out? About 10. All right. We'll see what you get there. Thanks. Bye. Bye. Bye. Bye.</t>
  </si>
  <si>
    <t>Hey, Doc. I'm coming here with a 16-year-old male, [REDACTED], with positive LLC, GCS-14. Okay. What did you take off for? I'm sorry? The GCS-14. What did you take off for? For confusion. For confusion? Yes. Okay. Was he belted? Correct. Positive LLC. Was he belted? Yes. Okay. [REDACTED]. Rollover and what was that? And a box truck. Oh, a box truck. Okay. Do you have a set of vitals? Yep. Heart rate of 130, 130. Restorative rate of 20. Life pressure 142. Okay. 93. 98% on Romare. 98%? Correct. Okay. How far out? About 10. All right. We'll see what you get there. Thanks. Bye. Bye. Bye. Bye.</t>
  </si>
  <si>
    <t>Hello, Dr. Reeves. Hi, Dr. Reeves. This is Jeremy with AMR. I didn't have another number but you. I'm coming in with an 8-year-old from Niagara Falls that got struck by a vehicle going about 30 miles an hour in the road. Witnesses said that he did go underneath the vehicle, complaining of abdominal pain, head pain. He does have some minor abrasions. Lung stones are clear. Vitals are stable. There's a questionable LLC at the scene. He's got a collar on. BP is 126 over 64. Heart rate of 86. SpO2 is 100%. And we're probably like 10, 15 minutes out. And then you said he went under? Yeah, that's what the witnesses said that saw it. And the troopers are saying probably about 30 miles an hour for the car. There's cars. I didn't have a stop sign. And he ran out in front of it. Okay. All right. And then what was that blood pressure again? 126 over 64. His heart rate is 80 feet. And then he's 100% right over there. And GCS right now? 15. 15. Okay. All right. Yeah, we'll see when you get here. Okay. All right. Cool. All right. Thanks. Thank you. Bye. Bye.</t>
  </si>
  <si>
    <t>8-year-old struck by a vehicle going about 30 miles an hour Witnesses said that he did go underneath the vehicle, complaining of abdominal pain, head pain. minor abrasions. BP is 126 over 64. Heart rate of 86. SpO2 is 100%. 126 over 64. His heart rate is 80 feet. And then he's 100% right over there. And GCS right now? 15.</t>
  </si>
  <si>
    <t>L2, 8y/o, Vitals(BP 126/64, HR 86, RR [??]), GCS:15, MOI(Ped Vs Car), ran in front of car. poss under. abd pn, head pn, ETA:10 min</t>
  </si>
  <si>
    <t>The transcript describes an 8-year-old who was struck by a vehicle going about 30 miles an hour.</t>
  </si>
  <si>
    <t>['BP is 126 over 64', 'blood pressure again? 126 over 64']</t>
  </si>
  <si>
    <t>['questionable LLC at the scene']</t>
  </si>
  <si>
    <t>Hello, Dr. Reeves. Hi, Dr. Reeves. This is Jeremy with AMR. I didn't have another number but you. I'm coming in with an [REDACTED] from Niagara Falls that got struck by a vehicle going about 30 miles an hour in the road. Witnesses said that he did go underneath the vehicle, complaining of abdominal pain, head pain. He does have some minor abrasions. Lung stones are clear. Vitals are stable. There's a questionable LLC at the scene. He's got a collar on. BP is 126 over 64. Heart rate of 86. SpO2 is 100%. And we're probably like 10, 15 minutes out. And then you said he went under? Yeah, that's what the witnesses said that saw it. And the troopers are saying probably about 30 miles an hour for the car. There's cars. I didn't have a stop sign. And he ran out in front of it. Okay. All right. And then what was that blood pressure again? 126 over 64. His heart rate is 80 feet. And then he's 100% right over there. And GCS right now? 15. 15. Okay. All right. Yeah, we'll see when you get here. Okay. All right. Cool. All right. Thanks. Thank you. Bye. Bye.</t>
  </si>
  <si>
    <t>Hello, Dr. Reeves. Hi, Dr. Reeves. This is Jeremy with AMR. I didn't have another number but you. I'm coming in with an 8-year-old from Niagara Falls that got struck by a vehicle going about 30 miles an hour in the road. Witnesses said that he did go underneath the vehicle, complaining of abdominal pain, head pain. He does have some minor abrasions. Lung stones are clear. Vitals are stable. There's a questionable LLC at the scene. He's got a collar on. [REDACTED]. Heart rate of 86. SpO2 is 100%. And we're probably like 10, 15 minutes out. And then you said he went under? Yeah, that's what the witnesses said that saw it. And the troopers are saying probably about 30 miles an hour for the car. There's cars. I didn't have a stop sign. And he ran out in front of it. Okay. All right. And then what was that [REDACTED]. His heart rate is 80 feet. And then he's 100% right over there. And GCS right now? 15. 15. Okay. All right. Yeah, we'll see when you get here. Okay. All right. Cool. All right. Thanks. Thank you. Bye. Bye.</t>
  </si>
  <si>
    <t>Hello, Dr. Reeves. Hi, Dr. Reeves. This is Jeremy with AMR. I didn't have another number but you. I'm coming in with an 8-year-old from Niagara Falls that got struck by a vehicle going about 30 miles an hour in the road. Witnesses said that he did go underneath the vehicle, complaining of abdominal pain, head pain. He does have some minor abrasions. Lung stones are clear. Vitals are stable. There's a [REDACTED]. He's got a collar on. BP is 126 over 64. Heart rate of 86. SpO2 is 100%. And we're probably like 10, 15 minutes out. And then you said he went under? Yeah, that's what the witnesses said that saw it. And the troopers are saying probably about 30 miles an hour for the car. There's cars. I didn't have a stop sign. And he ran out in front of it. Okay. All right. And then what was that blood pressure again? 126 over 64. His heart rate is 80 feet. And then he's 100% right over there. And GCS right now? 15. 15. Okay. All right. Yeah, we'll see when you get here. Okay. All right. Cool. All right. Thanks. Thank you. Bye. Bye.</t>
  </si>
  <si>
    <t>Hello, this is Dr. Reeves. Hi, this is Fnaz with AMR. I'm going to be coming in with a 16-year-old who was involved with the NBA with a rollover. He rolled his car about three times, and he did hit his head, but no LOC. His pressure is 157 over 110, heart rate of 120, 96% room air. The only injury I see so far is left knee abrasion. I'm sorry, it's breast burn. Okay, so can you repeat the vitals again one more time? Vital is one. The heart rate is 132. Oxygen is 97 on room air. Pressure is 157 over 110. And he says there might be glass in his eyes as well, and he's complaining about left upper. Chest pain. Left upper chest pain. He's in the sleep out. Okay, and GCS is what right now? 50. Okay. Respiratory rate? Respiratory is perfect. Respirations are normal, 80. Okay. All right, how far out are you? We're about eight minutes out, ten minutes out. Ten minutes out, you got him collared and stuff? Yes. Okay. All right. We'll see you in ten. See you in ten. All right, cool. Thanks. No problem. Bye-bye. Bye.</t>
  </si>
  <si>
    <t>16-year-old who was involved with the NBA with a rollover. He rolled his car about three times, and he did hit his head, but no LOC. His pressure is 157 over 110, heart rate of 120, 96% room air.  And he says there might be glass in his eyes as well, and he's complaining about left upper. Chest pain. GCS is what right now? 50. Respirations are normal, 80.</t>
  </si>
  <si>
    <t>L2, 15y/o, Vitals(BP 157/110, HR 132, RR 18), GCS:15, MOI(MVC), MVA with rollover x3. no LOC. L chest pn. , ETA:10 min</t>
  </si>
  <si>
    <t>NBA with a rollover</t>
  </si>
  <si>
    <t>The transcript mentions a 16-year-old involved in an NBA (non-battle injury) with a rollover, indicating a motor vehicle collision (MVC) with the car rolling over three times.</t>
  </si>
  <si>
    <t>['16-year-old']</t>
  </si>
  <si>
    <t>['pressure is 157 over 110', 'Pressure is 157 over 110']</t>
  </si>
  <si>
    <t>['involved with the NBA with a rollover', 'He rolled his car about three times', 'he did hit his head, but no LOC']</t>
  </si>
  <si>
    <t>Hello, this is Dr. Reeves. Hi, this is Fnaz with AMR. I'm going to be coming in with a [REDACTED] who was involved with the NBA with a rollover. He rolled his car about three times, and he did hit his head, but no LOC. His pressure is 157 over 110, heart rate of 120, 96% room air. The only injury I see so far is left knee abrasion. I'm sorry, it's breast burn. Okay, so can you repeat the vitals again one more time? Vital is one. The heart rate is 132. Oxygen is 97 on room air. Pressure is 157 over 110. And he says there might be glass in his eyes as well, and he's complaining about left upper. Chest pain. Left upper chest pain. He's in the sleep out. Okay, and GCS is what right now? 50. Okay. Respiratory rate? Respiratory is perfect. Respirations are normal, 80. Okay. All right, how far out are you? We're about eight minutes out, ten minutes out. Ten minutes out, you got him collared and stuff? Yes. Okay. All right. We'll see you in ten. See you in ten. All right, cool. Thanks. No problem. Bye-bye. Bye.</t>
  </si>
  <si>
    <t>Hello, this is Dr. Reeves. Hi, this is Fnaz with AMR. I'm going to be coming in with a 16-year-old who was involved with the NBA with a rollover. He rolled his car about three times, and he did hit his head, but no LOC. His [REDACTED], heart rate of 120, 96% room air. The only injury I see so far is left knee abrasion. I'm sorry, it's breast burn. Okay, so can you repeat the vitals again one more time? Vital is one. The heart rate is 132. Oxygen is 97 on room air. [REDACTED]. And he says there might be glass in his eyes as well, and he's complaining about left upper. Chest pain. Left upper chest pain. He's in the sleep out. Okay, and GCS is what right now? 50. Okay. Respiratory rate? Respiratory is perfect. Respirations are normal, 80. Okay. All right, how far out are you? We're about eight minutes out, ten minutes out. Ten minutes out, you got him collared and stuff? Yes. Okay. All right. We'll see you in ten. See you in ten. All right, cool. Thanks. No problem. Bye-bye. Bye.</t>
  </si>
  <si>
    <t>Hello, this is Dr. Reeves. Hi, this is Fnaz with AMR. I'm going to be coming in with a 16-year-old who was [REDACTED]. [REDACTED], and [REDACTED]. His pressure is 157 over 110, heart rate of 120, 96% room air. The only injury I see so far is left knee abrasion. I'm sorry, it's breast burn. Okay, so can you repeat the vitals again one more time? Vital is one. The heart rate is 132. Oxygen is 97 on room air. Pressure is 157 over 110. And he says there might be glass in his eyes as well, and he's complaining about left upper. Chest pain. Left upper chest pain. He's in the sleep out. Okay, and GCS is what right now? 50. Okay. Respiratory rate? Respiratory is perfect. Respirations are normal, 80. Okay. All right, how far out are you? We're about eight minutes out, ten minutes out. Ten minutes out, you got him collared and stuff? Yes. Okay. All right. We'll see you in ten. See you in ten. All right, cool. Thanks. No problem. Bye-bye. Bye.</t>
  </si>
  <si>
    <t>Dr. Boughton, can I help you? Thank you. Hello, Timothy from Paramedics with AMR, giving you a further update on the trial. Traum coming in? Yep. So, MVA, head injury, has a head wound bleeding out of the right ear. Heart rate is 64, blood pressure is 118 on 67. He is in respiratory arrest at this point, working on intubation at this point. So, he's got a pulse, heart rate is 118, or blood pressure is 118 over 67? Yes. Heart rate is 64? Okay. And you're trying to evade him now? Correct. All right. I have an ER physician that was on scene on board with me, and also a pediatric ER nurse on board with me. You have an EM doc on board with you? I have an ER doc on board with me that was on scene bypassing. Okay. What's your ETA? Still probably 15 minutes out. Or what are his pupils doing? What were his pupils doing? Fixing dilators. Okay. Are we moving on his legs? Move his legs around. Is he moving? Yeah. Okay. So, you said he has a pulse? Yes. Strong pulse. He's kind of moaning over it, but he's not really holding his own respiratory drive. Okay. Who's the ER doc that's with you? She's from downstate. Here on vacation, driving by. Oh, somebody on scene, not one of the EM residents. Okay. Yeah. All right. All right. This is the . Oh, . All right. Thanks. Any other injuries? All right. Is that there? That's unnoted now. ET tube's in. Okay. Thanks so very much. Okay. So, yes. About 15 minutes out. All right. You guys got the tube? He's got good breath?</t>
  </si>
  <si>
    <t>MVA, head injury, has a head wound bleeding out of the right ear. Heart rate is 64, blood pressure is 118 on 67. He is in respiratory arrest at this point,  Fixing dilators. ET tube's in.</t>
  </si>
  <si>
    <t>L1, 10y/o, Vitals(BP [??]/[??], HR [??], RR [??]), GCS:3, MOI(MVC), unresponsive Head trauma EMS is attempting to intubate in route to ED, ETA:15 min</t>
  </si>
  <si>
    <t>MVA with head injury</t>
  </si>
  <si>
    <t>The transcript mentions "MVA, head injury" as the cause of the trauma.</t>
  </si>
  <si>
    <t>['Heart rate is 64', 'heart rate is 118']</t>
  </si>
  <si>
    <t>['blood pressure is 118 on 67', 'blood pressure is 118 over 67']</t>
  </si>
  <si>
    <t>['respiratory arrest', "he's not really holding his own respiratory drive"]</t>
  </si>
  <si>
    <t>Dr. Boughton, can I help you? Thank you. Hello, Timothy from Paramedics with AMR, giving you a further update on the trial. Traum coming in? Yep. So, MVA, head injury, has a head wound bleeding out of the right ear. [REDACTED], blood pressure is 118 on 67. He is in respiratory arrest at this point, working on intubation at this point. So, he's got a pulse, [REDACTED], or blood pressure is 118 over 67? Yes. [REDACTED]? Okay. And you're trying to evade him now? Correct. All right. I have an ER physician that was on scene on board with me, and also a pediatric ER nurse on board with me. You have an EM doc on board with you? I have an ER doc on board with me that was on scene bypassing. Okay. What's your ETA? Still probably 15 minutes out. Or what are his pupils doing? What were his pupils doing? Fixing dilators. Okay. Are we moving on his legs? Move his legs around. Is he moving? Yeah. Okay. So, you said he has a pulse? Yes. Strong pulse. He's kind of moaning over it, but he's not really holding his own respiratory drive. Okay. Who's the ER doc that's with you? She's from downstate. Here on vacation, driving by. Oh, somebody on scene, not one of the EM residents. Okay. Yeah. All right. All right. This is the . Oh, . All right. Thanks. Any other injuries? All right. Is that there? That's unnoted now. ET tube's in. Okay. Thanks so very much. Okay. So, yes. About 15 minutes out. All right. You guys got the tube? He's got good breath?</t>
  </si>
  <si>
    <t>Dr. Boughton, can I help you? Thank you. Hello, Timothy from Paramedics with AMR, giving you a further update on the trial. Traum coming in? Yep. So, MVA, head injury, has a head wound bleeding out of the right ear. Heart rate is 64, [REDACTED]. He is in respiratory arrest at this point, working on intubation at this point. So, he's got a pulse, heart rate is 118, or [REDACTED]? Yes. Heart rate is 64? Okay. And you're trying to evade him now? Correct. All right. I have an ER physician that was on scene on board with me, and also a pediatric ER nurse on board with me. You have an EM doc on board with you? I have an ER doc on board with me that was on scene bypassing. Okay. What's your ETA? Still probably 15 minutes out. Or what are his pupils doing? What were his pupils doing? Fixing dilators. Okay. Are we moving on his legs? Move his legs around. Is he moving? Yeah. Okay. So, you said he has a pulse? Yes. Strong pulse. He's kind of moaning over it, but he's not really holding his own respiratory drive. Okay. Who's the ER doc that's with you? She's from downstate. Here on vacation, driving by. Oh, somebody on scene, not one of the EM residents. Okay. Yeah. All right. All right. This is the . Oh, . All right. Thanks. Any other injuries? All right. Is that there? That's unnoted now. ET tube's in. Okay. Thanks so very much. Okay. So, yes. About 15 minutes out. All right. You guys got the tube? He's got good breath?</t>
  </si>
  <si>
    <t>Dr. Boughton, can I help you? Thank you. Hello, Timothy from Paramedics with AMR, giving you a further update on the trial. Traum coming in? Yep. So, MVA, head injury, has a head wound bleeding out of the right ear. Heart rate is 64, blood pressure is 118 on 67. He is in [REDACTED] at this point, working on intubation at this point. So, he's got a pulse, heart rate is 118, or blood pressure is 118 over 67? Yes. Heart rate is 64? Okay. And you're trying to evade him now? Correct. All right. I have an ER physician that was on scene on board with me, and also a pediatric ER nurse on board with me. You have an EM doc on board with you? I have an ER doc on board with me that was on scene bypassing. Okay. What's your ETA? Still probably 15 minutes out. Or what are his pupils doing? What were his pupils doing? Fixing dilators. Okay. Are we moving on his legs? Move his legs around. Is he moving? Yeah. Okay. So, you said he has a pulse? Yes. Strong pulse. He's kind of moaning over it, but [REDACTED]. Okay. Who's the ER doc that's with you? She's from downstate. Here on vacation, driving by. Oh, somebody on scene, not one of the EM residents. Okay. Yeah. All right. All right. This is the . Oh, . All right. Thanks. Any other injuries? All right. Is that there? That's unnoted now. ET tube's in. Okay. Thanks so very much. Okay. So, yes. About 15 minutes out. All right. You guys got the tube? He's got good breath?</t>
  </si>
  <si>
    <t>Dr. Boughton, can I help you? Thank you. Hello, Timothy from Paramedics with AMR, giving you a further update on the trial. Traum coming in? Yep. So, MVA, head injury, has a head wound bleeding out of the right ear. Heart rate is 64, blood pressure is 118 on 67. He is in respiratory arrest at this point, working on intubation at this point. So, he's got a pulse, heart rate is 118, or blood pressure is 118 over 67? Yes. Heart rate is 64? Okay. And you're trying to evade him now? Correct. All right. I have an ER physician that was on scene on board with me, and also a pediatric ER nurse on board with me. You have an EM doc on board with you? I have an ER doc on board with me that was on scene bypassing. Okay. What's your ETA? Still probably 15 minutes out. Or what are his pupils doing? What were his pupils doing? Fixing dilators. Okay. Are we moving on his legs? Move his legs around. Is he moving? Yeah. Okay. So, you said he has a pulse? Yes. Strong pulse. [REDACTED], but he's not really holding his own respiratory drive. Okay. Who's the ER doc that's with you? She's from downstate. Here on vacation, driving by. Oh, somebody on scene, not one of the EM residents. Okay. Yeah. All right. All right. This is the . Oh, . All right. Thanks. Any other injuries? All right. Is that there? That's unnoted now. ET tube's in. Okay. Thanks so very much. Okay. So, yes. About 15 minutes out. All right. You guys got the tube? He's got good breath?</t>
  </si>
  <si>
    <t>Hi, this is Dr. Pathros. Hi, doctor. This is Eric Barkey, paramedic on Mercy Flight 8. We're going to be inbound shortly with a 15-year-old female involved in an e-bike accident, not wearing a helmet. She appears to be bleeding with some CFS fluid coming from her left ear. Her vitals right now are about 110 on 80 is her blood pressure. Yeah, 128 on 68 is her blood pressure. She's at 97%. Her pulse right now is 54. End title is about 32 right now on a nasal end title. We had to give her two and a half of Versed as she was agitated and confused and starting to grab at everybody. She's not intubated right now. She is maintaining her own airway. We're going to closely monitor, but we're just loading up now. If you're ready to go to you, we have about a 15-minute ETA. If you have any questions for me. Unknown allergies, unknown meds. She was found by pedestrians. What would you say her GCS is? Her GCS now is, because of the Versed, is probably, I don't know, an 8. But before her GCS, I would say would be probably about a 12. Okay. Before the Versed. Okay. She's crying right now, but she's not really responding. But she is crying. So maybe her GCS would be about a 9 or a 10 right now. And then do you have IV access? Yes, we have IV access. We're going to have our innovation stuff ready if needed. Okay. We'll see you in about 15. Okay. Bye.</t>
  </si>
  <si>
    <t>15-year-old female involved in an e-bike accident, not wearing a helmet. She appears to be bleeding with some CFS fluid coming from her left ear. Her vitals right now are about 110 on 80 is her blood pressure. Yeah, 128 on 68 is her blood pressure. She's at 97%. Her pulse right now is 54. End title is about 32 right now on a nasal end title. She is maintaining her own airway. So maybe her GCS would be about a 9 or a 10 right now.</t>
  </si>
  <si>
    <t>L1, 15y/o, Vitals(BP 128/68, HR 54, RR 16), GCS:9, MOI(Ped Vs Car), unhelmeted bicyclist, poss CSF ear leakgiven Versed IV, ETA:12 min</t>
  </si>
  <si>
    <t>E-bike accident</t>
  </si>
  <si>
    <t>The transcript mentions a 15-year-old female involved in an e-bike accident.</t>
  </si>
  <si>
    <t>['Her pulse right now is 54']</t>
  </si>
  <si>
    <t>['about 110 on 80 is her blood pressure', '128 on 68 is her blood pressure']</t>
  </si>
  <si>
    <t>['she was agitated and confused and starting to grab at everybody', "She's crying right now, but she's not really responding"]</t>
  </si>
  <si>
    <t>['involved in an e-bike accident, not wearing a helmet']</t>
  </si>
  <si>
    <t>Hi, this is Dr. Pathros. Hi, doctor. This is Eric Barkey, paramedic on Mercy Flight 8. We're going to be inbound shortly with a [REDACTED] involved in an e-bike accident, not wearing a helmet. She appears to be bleeding with some CFS fluid coming from her left ear. Her vitals right now are about 110 on 80 is her blood pressure. Yeah, 128 on 68 is her blood pressure. She's at 97%. Her pulse right now is 54. End title is about 32 right now on a nasal end title. We had to give her two and a half of Versed as she was agitated and confused and starting to grab at everybody. She's not intubated right now. She is maintaining her own airway. We're going to closely monitor, but we're just loading up now. If you're ready to go to you, we have about a 15-minute ETA. If you have any questions for me. Unknown allergies, unknown meds. She was found by pedestrians. What would you say her GCS is? Her GCS now is, because of the Versed, is probably, I don't know, an 8. But before her GCS, I would say would be probably about a 12. Okay. Before the Versed. Okay. She's crying right now, but she's not really responding. But she is crying. So maybe her GCS would be about a 9 or a 10 right now. And then do you have IV access? Yes, we have IV access. We're going to have our innovation stuff ready if needed. Okay. We'll see you in about 15. Okay. Bye.</t>
  </si>
  <si>
    <t>Hi, this is Dr. Pathros. Hi, doctor. This is Eric Barkey, paramedic on Mercy Flight 8. We're going to be inbound shortly with a 15-year-old female involved in an e-bike accident, not wearing a helmet. She appears to be bleeding with some CFS fluid coming from her left ear. Her vitals right now are about 110 on 80 is her blood pressure. Yeah, 128 on 68 is her blood pressure. She's at 97%. [REDACTED]. End title is about 32 right now on a nasal end title. We had to give her two and a half of Versed as she was agitated and confused and starting to grab at everybody. She's not intubated right now. She is maintaining her own airway. We're going to closely monitor, but we're just loading up now. If you're ready to go to you, we have about a 15-minute ETA. If you have any questions for me. Unknown allergies, unknown meds. She was found by pedestrians. What would you say her GCS is? Her GCS now is, because of the Versed, is probably, I don't know, an 8. But before her GCS, I would say would be probably about a 12. Okay. Before the Versed. Okay. She's crying right now, but she's not really responding. But she is crying. So maybe her GCS would be about a 9 or a 10 right now. And then do you have IV access? Yes, we have IV access. We're going to have our innovation stuff ready if needed. Okay. We'll see you in about 15. Okay. Bye.</t>
  </si>
  <si>
    <t>Hi, this is Dr. Pathros. Hi, doctor. This is Eric Barkey, paramedic on Mercy Flight 8. We're going to be inbound shortly with a 15-year-old female involved in an e-bike accident, not wearing a helmet. She appears to be bleeding with some CFS fluid coming from her left ear. Her vitals right now are [REDACTED]. Yeah, [REDACTED]. She's at 97%. Her pulse right now is 54. End title is about 32 right now on a nasal end title. We had to give her two and a half of Versed as she was agitated and confused and starting to grab at everybody. She's not intubated right now. She is maintaining her own airway. We're going to closely monitor, but we're just loading up now. If you're ready to go to you, we have about a 15-minute ETA. If you have any questions for me. Unknown allergies, unknown meds. She was found by pedestrians. What would you say her GCS is? Her GCS now is, because of the Versed, is probably, I don't know, an 8. But before her GCS, I would say would be probably about a 12. Okay. Before the Versed. Okay. She's crying right now, but she's not really responding. But she is crying. So maybe her GCS would be about a 9 or a 10 right now. And then do you have IV access? Yes, we have IV access. We're going to have our innovation stuff ready if needed. Okay. We'll see you in about 15. Okay. Bye.</t>
  </si>
  <si>
    <t>Hi, this is Dr. Pathros. Hi, doctor. This is Eric Barkey, paramedic on Mercy Flight 8. We're going to be inbound shortly with a 15-year-old female involved in an e-bike accident, not wearing a helmet. She appears to be bleeding with some CFS fluid coming from her left ear. Her vitals right now are about 110 on 80 is her blood pressure. Yeah, 128 on 68 is her blood pressure. She's at 97%. Her pulse right now is 54. End title is about 32 right now on a nasal end title. We had to give her two and a half of Versed as [REDACTED]. She's not intubated right now. She is maintaining her own airway. We're going to closely monitor, but we're just loading up now. If you're ready to go to you, we have about a 15-minute ETA. If you have any questions for me. Unknown allergies, unknown meds. She was found by pedestrians. What would you say her GCS is? Her GCS now is, because of the Versed, is probably, I don't know, an 8. But before her GCS, I would say would be probably about a 12. Okay. Before the Versed. Okay. [REDACTED]. But she is crying. So maybe her GCS would be about a 9 or a 10 right now. And then do you have IV access? Yes, we have IV access. We're going to have our innovation stuff ready if needed. Okay. We'll see you in about 15. Okay. Bye.</t>
  </si>
  <si>
    <t>Hi, this is Dr. Pathros. Hi, doctor. This is Eric Barkey, paramedic on Mercy Flight 8. We're going to be inbound shortly with a 15-year-old female [REDACTED]. She appears to be bleeding with some CFS fluid coming from her left ear. Her vitals right now are about 110 on 80 is her blood pressure. Yeah, 128 on 68 is her blood pressure. She's at 97%. Her pulse right now is 54. End title is about 32 right now on a nasal end title. We had to give her two and a half of Versed as she was agitated and confused and starting to grab at everybody. She's not intubated right now. She is maintaining her own airway. We're going to closely monitor, but we're just loading up now. If you're ready to go to you, we have about a 15-minute ETA. If you have any questions for me. Unknown allergies, unknown meds. She was found by pedestrians. What would you say her GCS is? Her GCS now is, because of the Versed, is probably, I don't know, an 8. But before her GCS, I would say would be probably about a 12. Okay. Before the Versed. Okay. She's crying right now, but she's not really responding. But she is crying. So maybe her GCS would be about a 9 or a 10 right now. And then do you have IV access? Yes, we have IV access. We're going to have our innovation stuff ready if needed. Okay. We'll see you in about 15. Okay. Bye.</t>
  </si>
  <si>
    <t>Hello, this is Paramedic Brovic, AMR 267. Call in with a pedestrian struck. Okay. What you got? I have a 10-year-old male. He was on a bicycle crossing the street. A car driving at an unknown rate of speed struck him, then reportedly backed over him. Patient does not remember the incident. He's having severe pain in the abdomen with tenderness all over. Otherwise, just has some abrasions, bruises on his extremities. He feels hot, thirsty. We have a heart rate of 92. He's 99% Rumer. Blood pressure was 93 over 61. Current GPS of 15. Blood sugar was 160 and will probably be there in about 8 minutes. What's his respiratory rate? One minute. About 24. 24? Okay. And then clear work of reason and stuff like that? Yeah. And collared and such? Yep. Collars applied. I'm going to look for IV access. Okay. And you said how long? 6 minutes? Probably 8 minutes or so. 8 minutes. Okay. All right. We will see when you get here. All right. See you soon. Yep. Bye.</t>
  </si>
  <si>
    <t>pedestrian struck. 10-year-old male. Patient does not remember the incident. He's having severe pain in the abdomen with tenderness all over. We have a heart rate of 92. He's 99% Rumer. Blood pressure was 93 over 61. Current GPS of 15. Blood sugar was 160 What's his respiratory rate? About 24.</t>
  </si>
  <si>
    <t>L2, 10y/o, Vitals(BP 93/61, HR 92, RR 24), GCS:15, MOI(Ped Vs Car), bicycle struck by car and backed over. LOC abd pn., ETA:6 min</t>
  </si>
  <si>
    <t>The transcript describes a 10-year-old male who was struck by a car while on a bicycle.</t>
  </si>
  <si>
    <t>['heart rate of 92']</t>
  </si>
  <si>
    <t>['Blood pressure was 93 over 61']</t>
  </si>
  <si>
    <t>['Patient does not remember the incident']</t>
  </si>
  <si>
    <t>Hello, this is Paramedic Brovic, AMR 267. Call in with a pedestrian struck. Okay. What you got? I have a [REDACTED]. He was on a bicycle crossing the street. A car driving at an unknown rate of speed struck him, then reportedly backed over him. Patient does not remember the incident. He's having severe pain in the abdomen with tenderness all over. Otherwise, just has some abrasions, bruises on his extremities. He feels hot, thirsty. We have a heart rate of 92. He's 99% Rumer. Blood pressure was 93 over 61. Current GPS of 15. Blood sugar was 160 and will probably be there in about 8 minutes. What's his respiratory rate? One minute. About 24. 24? Okay. And then clear work of reason and stuff like that? Yeah. And collared and such? Yep. Collars applied. I'm going to look for IV access. Okay. And you said how long? 6 minutes? Probably 8 minutes or so. 8 minutes. Okay. All right. We will see when you get here. All right. See you soon. Yep. Bye.</t>
  </si>
  <si>
    <t>Hello, this is Paramedic Brovic, AMR 267. Call in with a pedestrian struck. Okay. What you got? I have a 10-year-old male. He was on a bicycle crossing the street. A car driving at an unknown rate of speed struck him, then reportedly backed over him. Patient does not remember the incident. He's having severe pain in the abdomen with tenderness all over. Otherwise, just has some abrasions, bruises on his extremities. He feels hot, thirsty. We have a [REDACTED]. He's 99% Rumer. Blood pressure was 93 over 61. Current GPS of 15. Blood sugar was 160 and will probably be there in about 8 minutes. What's his respiratory rate? One minute. About 24. 24? Okay. And then clear work of reason and stuff like that? Yeah. And collared and such? Yep. Collars applied. I'm going to look for IV access. Okay. And you said how long? 6 minutes? Probably 8 minutes or so. 8 minutes. Okay. All right. We will see when you get here. All right. See you soon. Yep. Bye.</t>
  </si>
  <si>
    <t>Hello, this is Paramedic Brovic, AMR 267. Call in with a pedestrian struck. Okay. What you got? I have a 10-year-old male. He was on a bicycle crossing the street. A car driving at an unknown rate of speed struck him, then reportedly backed over him. Patient does not remember the incident. He's having severe pain in the abdomen with tenderness all over. Otherwise, just has some abrasions, bruises on his extremities. He feels hot, thirsty. We have a heart rate of 92. He's 99% Rumer. [REDACTED]. Current GPS of 15. Blood sugar was 160 and will probably be there in about 8 minutes. What's his respiratory rate? One minute. About 24. 24? Okay. And then clear work of reason and stuff like that? Yeah. And collared and such? Yep. Collars applied. I'm going to look for IV access. Okay. And you said how long? 6 minutes? Probably 8 minutes or so. 8 minutes. Okay. All right. We will see when you get here. All right. See you soon. Yep. Bye.</t>
  </si>
  <si>
    <t>Hello, this is Paramedic Brovic, AMR 267. Call in with a pedestrian struck. Okay. What you got? I have a 10-year-old male. He was on a bicycle crossing the street. A car driving at an unknown rate of speed struck him, then reportedly backed over him. [REDACTED]. He's having severe pain in the abdomen with tenderness all over. Otherwise, just has some abrasions, bruises on his extremities. He feels hot, thirsty. We have a heart rate of 92. He's 99% Rumer. Blood pressure was 93 over 61. Current GPS of 15. Blood sugar was 160 and will probably be there in about 8 minutes. What's his respiratory rate? One minute. About 24. 24? Okay. And then clear work of reason and stuff like that? Yeah. And collared and such? Yep. Collars applied. I'm going to look for IV access. Okay. And you said how long? 6 minutes? Probably 8 minutes or so. 8 minutes. Okay. All right. We will see when you get here. All right. See you soon. Yep. Bye.</t>
  </si>
  <si>
    <t>OSHA Emergency Department, Dr. Selish. Hey, this is Joe with OSHA CMS. Did PDAC or Urgent Care contact you? They might have contacted somebody else. I didn't speak to them, though. Okay. So I am coming to you with a 15-year-old male, fell about seven to eight feet off of a fence, onto the ground, hit his head, complaining of left side abdominal pain, guarding it a lot. It is definitely a lot more rigid and descended than the right side. Denied losing consciousness, but then hit his head. I put him in a C-collar. Vitals were good when I got there. Now he's sitting, finest rhythm at 88. What pressure is 60 over 43? So 150 over 40? Sorry, you said 150 over 43? No, 60 over 43. 50 over 43. Okay. Yes, that's why I'm calling you now. Yeah, yeah, yeah. Okay. Okay. Rest of his vitals, please. FBO 2 is 100% on room air, showing a finest rhythm at 90 on the monitor. Yeah. And I have turned him on fluids for now. Okay. I just kind of want you guys to be ready for me when I get there. Awake alert, otherwise okay? Yes, awake alert. Lung sounds are good. I'm going to check them again, and we'll be with you in probably like five minutes. Five minutes? Okay. Yeah. All right. We will see you in five minutes then. All right. Thank you. Thanks. Bye.</t>
  </si>
  <si>
    <t>15-year-old male, fell about seven to eight feet hit his head, complaining of left side abdominal pain, Denied losing consciousness, but then hit his head. finest rhythm at 88. What pressure is 60 over 43? FBO 2 is 100% on room air, showing a finest rhythm at 90 on the monitor. Yeah. And I have turned him on fluids for now. Okay.</t>
  </si>
  <si>
    <t>L1, 15y/o, Vitals(BP 50/43, HR 88, RR 20), GCS:15, MOI(Fall&gt;10 or 3x Child height), 8 ft fall, hypotensive, abd distension and pain, ETA:3 min</t>
  </si>
  <si>
    <t>Fall from a fence</t>
  </si>
  <si>
    <t>The transcript mentions a 15-year-old male who fell about seven to eight feet off of a fence.</t>
  </si>
  <si>
    <t>['Awake alert', 'awake alert']</t>
  </si>
  <si>
    <t>['fell about seven to eight feet off of a fence, onto the ground, hit his head']</t>
  </si>
  <si>
    <t>OSHA Emergency Department, Dr. Selish. Hey, this is Joe with OSHA CMS. Did PDAC or Urgent Care contact you? They might have contacted somebody else. I didn't speak to them, though. Okay. So I am coming to you with a [REDACTED], fell about seven to eight feet off of a fence, onto the ground, hit his head, complaining of left side abdominal pain, guarding it a lot. It is definitely a lot more rigid and descended than the right side. Denied losing consciousness, but then hit his head. I put him in a C-collar. Vitals were good when I got there. Now he's sitting, finest rhythm at 88. What pressure is 60 over 43? So 150 over 40? Sorry, you said 150 over 43? No, 60 over 43. 50 over 43. Okay. Yes, that's why I'm calling you now. Yeah, yeah, yeah. Okay. Okay. Rest of his vitals, please. FBO 2 is 100% on room air, showing a finest rhythm at 90 on the monitor. Yeah. And I have turned him on fluids for now. Okay. I just kind of want you guys to be ready for me when I get there. Awake alert, otherwise okay? Yes, awake alert. Lung sounds are good. I'm going to check them again, and we'll be with you in probably like five minutes. Five minutes? Okay. Yeah. All right. We will see you in five minutes then. All right. Thank you. Thanks. Bye.</t>
  </si>
  <si>
    <t>OSHA Emergency Department, Dr. Selish. Hey, this is Joe with OSHA CMS. Did PDAC or Urgent Care contact you? They might have contacted somebody else. I didn't speak to them, though. Okay. So I am coming to you with a 15-year-old male, fell about seven to eight feet off of a fence, onto the ground, hit his head, complaining of left side abdominal pain, guarding it a lot. It is definitely a lot more rigid and descended than the right side. Denied losing consciousness, but then hit his head. I put him in a C-collar. Vitals were good when I got there. Now he's sitting, finest rhythm at 88. What pressure is 60 over 43? So 150 over 40? Sorry, you said 150 over 43? No, 60 over 43. 50 over 43. Okay. Yes, that's why I'm calling you now. Yeah, yeah, yeah. Okay. Okay. Rest of his vitals, please. FBO 2 is 100% on room air, showing a finest rhythm at 90 on the monitor. Yeah. And I have turned him on fluids for now. Okay. I just kind of want you guys to be ready for me when I get there. [REDACTED], otherwise okay? Yes, [REDACTED]. Lung sounds are good. I'm going to check them again, and we'll be with you in probably like five minutes. Five minutes? Okay. Yeah. All right. We will see you in five minutes then. All right. Thank you. Thanks. Bye.</t>
  </si>
  <si>
    <t>OSHA Emergency Department, Dr. Selish. Hey, this is Joe with OSHA CMS. Did PDAC or Urgent Care contact you? They might have contacted somebody else. I didn't speak to them, though. Okay. So I am coming to you with a 15-year-old male, [REDACTED], complaining of left side abdominal pain, guarding it a lot. It is definitely a lot more rigid and descended than the right side. Denied losing consciousness, but then hit his head. I put him in a C-collar. Vitals were good when I got there. Now he's sitting, finest rhythm at 88. What pressure is 60 over 43? So 150 over 40? Sorry, you said 150 over 43? No, 60 over 43. 50 over 43. Okay. Yes, that's why I'm calling you now. Yeah, yeah, yeah. Okay. Okay. Rest of his vitals, please. FBO 2 is 100% on room air, showing a finest rhythm at 90 on the monitor. Yeah. And I have turned him on fluids for now. Okay. I just kind of want you guys to be ready for me when I get there. Awake alert, otherwise okay? Yes, awake alert. Lung sounds are good. I'm going to check them again, and we'll be with you in probably like five minutes. Five minutes? Okay. Yeah. All right. We will see you in five minutes then. All right. Thank you. Thanks. Bye.</t>
  </si>
  <si>
    <t>Hello, Dr. Reif. Hey, Dr. Reif. This is Denise Sherald, paramedic on Mercy Playdate. How are you? I'm doing all right. And you? Was wearing a helmet. Helmet? You were in a helmet? What? You were not wearing a helmet. Okay. We're coming in with a five-year-old involved in an ATO rollover. Let me know when you're ready. An ATV rollover, you said? Yeah. Yeah. Okay. All right. Go for it. Okay. I've got a five-year-old male patient was involved in an AT rollover. He felt that he was not wearing a helmet. I don't know how fast they were going, but the ATV landed on him, and when mom got to him, he was unresponsive and not breathing, and he was underneath the ATV. Once she knocked the ATV off of him, shook him, he did become conscious again. He threw up all over her, and he's been conscious and alert since then. Conscious, alert, and orientated, but, you know, clearly very upset. Airway's clear. Breathing is good. Sounds are clear bilaterally. Belly is fine. He's complaining of pain in his left hip, and I've got some external rotation of the left lower extremities with good distal pulses, motor, and sensation. I've got a blood pressure of 144 over 90. Got a heart rate of 131 with sinus attack on the monitor. He's got a respiratory rate of 34. He needs chatting at 100%. They've got him on an on-rebreather right now. Blood glucose level is 139. He does have a history of ASD, and he's got a device separating. His septum right now, so he is not a candidate for MRI, and he's on platypus. Okay. History of ASD. No MRIs. All right. And a big hematoma on the forehead. Hematoma on the forehead. Okay. And then, so, how long was he out for, do you think? I'm going to say probably maybe about a minute. Okay. It sounds like she was right there. Ran. Got him. Got the ATV off of him, and then was able to revive him. All right. GCS, which you say is like 15 right now, or? I'm sorry? Yeah, GCS is 15 right now. I mean, as close as it gets. I know he has fetal alcohol syndrome. I don't know, like, what his baseline is. Okay. But he's crying. He just keeps telling, you know, he's looking at me, makes eye contact. He keeps telling me he wants to go home. I told him so do I. He didn't really feel my pain. Yeah. Fair enough. All right. And then you said you've got IV access. Yeah. He's got a collar on IV access. He's got, like, they used a sheet for a pelvic binder. Worked out pretty well. We just gave him 30 mics of fentanyl, and it looks like that's calmed him down pretty good. So we'll keep a good eye on him as he's on the way out. Okay. And how far out are you? We'll be airborne, I'm going to say, in eight minutes, probably an 18-minute flight. So let's say 20 minutes to the rooftop. All right. All right. Awesome. Thanks so much. Okay. I'll see you then. Yep. Bye.</t>
  </si>
  <si>
    <t>five-year-old involved in an ATO rollover. Conscious, alert, and orientated, I've got a blood pressure of 144 over 90. Got a heart rate of 131 with sinus attack on the monitor. He's got a respiratory rate of 34. He needs chatting at 100%. They've got him on an on-rebreather right now. Blood glucose level is 139. And a big hematoma on the forehead. Yeah, GCS is 15 right now. So let's say 20 minutes to the rooftop.</t>
  </si>
  <si>
    <t>L2, 5y/o, Vitals(BP 144/90, HR 131, RR 34), GCS:15, MOI(ATV or Motorcycle), ATV rollover landed on pt. no helmet. 1min LOC. vomited. pain in hip. forehead hematoma., ETA:20 min</t>
  </si>
  <si>
    <t>The transcript describes a five-year-old involved in an ATV rollover where the ATV landed on him.</t>
  </si>
  <si>
    <t>['five-year-old', 'five-year-old male patient']</t>
  </si>
  <si>
    <t>['heart rate of 131']</t>
  </si>
  <si>
    <t>['blood pressure of 144 over 90']</t>
  </si>
  <si>
    <t>['respiratory rate of 34']</t>
  </si>
  <si>
    <t>Hello, Dr. Reif. Hey, Dr. Reif. This is Denise Sherald, paramedic on Mercy Playdate. How are you? I'm doing all right. And you? Was wearing a helmet. Helmet? You were in a helmet? What? You were not wearing a helmet. Okay. We're coming in with a five-year-old involved in an ATO rollover. Let me know when you're ready. An ATV rollover, you said? Yeah. Yeah. Okay. All right. Go for it. Okay. I've got a five-year-old male patient was involved in an AT rollover. He felt that he was not wearing a helmet. I don't know how fast they were going, but the ATV landed on him, and when mom got to him, he was unresponsive and not breathing, and he was underneath the ATV. Once she knocked the ATV off of him, shook him, he did become conscious again. He threw up all over her, and he's been conscious and alert since then. Conscious, alert, and orientated, but, you know, clearly very upset. Airway's clear. Breathing is good. Sounds are clear bilaterally. Belly is fine. He's complaining of pain in his left hip, and I've got some external rotation of the left lower extremities with good distal pulses, motor, and sensation. I've got a blood pressure of 144 over 90. Got a [REDACTED] with sinus attack on the monitor. He's got a respiratory rate of 34. He needs chatting at 100%. They've got him on an on-rebreather right now. Blood glucose level is 139. He does have a history of ASD, and he's got a device separating. His septum right now, so he is not a candidate for MRI, and he's on platypus. Okay. History of ASD. No MRIs. All right. And a big hematoma on the forehead. Hematoma on the forehead. Okay. And then, so, how long was he out for, do you think? I'm going to say probably maybe about a minute. Okay. It sounds like she was right there. Ran. Got him. Got the ATV off of him, and then was able to revive him. All right. GCS, which you say is like 15 right now, or? I'm sorry? Yeah, GCS is 15 right now. I mean, as close as it gets. I know he has fetal alcohol syndrome. I don't know, like, what his baseline is. Okay. But he's crying. He just keeps telling, you know, he's looking at me, makes eye contact. He keeps telling me he wants to go home. I told him so do I. He didn't really feel my pain. Yeah. Fair enough. All right. And then you said you've got IV access. Yeah. He's got a collar on IV access. He's got, like, they used a sheet for a pelvic binder. Worked out pretty well. We just gave him 30 mics of fentanyl, and it looks like that's calmed him down pretty good. So we'll keep a good eye on him as he's on the way out. Okay. And how far out are you? We'll be airborne, I'm going to say, in eight minutes, probably an 18-minute flight. So let's say 20 minutes to the rooftop. All right. All right. Awesome. Thanks so much. Okay. I'll see you then. Yep. Bye.</t>
  </si>
  <si>
    <t>Hello, Dr. Reif. Hey, Dr. Reif. This is Denise Sherald, paramedic on Mercy Playdate. How are you? I'm doing all right. And you? Was wearing a helmet. Helmet? You were in a helmet? What? You were not wearing a helmet. Okay. We're coming in with a five-year-old involved in an ATO rollover. Let me know when you're ready. An ATV rollover, you said? Yeah. Yeah. Okay. All right. Go for it. Okay. I've got a five-year-old male patient was involved in an AT rollover. He felt that he was not wearing a helmet. I don't know how fast they were going, but the ATV landed on him, and when mom got to him, he was unresponsive and not breathing, and he was underneath the ATV. Once she knocked the ATV off of him, shook him, he did become conscious again. He threw up all over her, and he's been conscious and alert since then. Conscious, alert, and orientated, but, you know, clearly very upset. Airway's clear. Breathing is good. Sounds are clear bilaterally. Belly is fine. He's complaining of pain in his left hip, and I've got some external rotation of the left lower extremities with good distal pulses, motor, and sensation. I've got a [REDACTED]. Got a heart rate of 131 with sinus attack on the monitor. He's got a respiratory rate of 34. He needs chatting at 100%. They've got him on an on-rebreather right now. Blood glucose level is 139. He does have a history of ASD, and he's got a device separating. His septum right now, so he is not a candidate for MRI, and he's on platypus. Okay. History of ASD. No MRIs. All right. And a big hematoma on the forehead. Hematoma on the forehead. Okay. And then, so, how long was he out for, do you think? I'm going to say probably maybe about a minute. Okay. It sounds like she was right there. Ran. Got him. Got the ATV off of him, and then was able to revive him. All right. GCS, which you say is like 15 right now, or? I'm sorry? Yeah, GCS is 15 right now. I mean, as close as it gets. I know he has fetal alcohol syndrome. I don't know, like, what his baseline is. Okay. But he's crying. He just keeps telling, you know, he's looking at me, makes eye contact. He keeps telling me he wants to go home. I told him so do I. He didn't really feel my pain. Yeah. Fair enough. All right. And then you said you've got IV access. Yeah. He's got a collar on IV access. He's got, like, they used a sheet for a pelvic binder. Worked out pretty well. We just gave him 30 mics of fentanyl, and it looks like that's calmed him down pretty good. So we'll keep a good eye on him as he's on the way out. Okay. And how far out are you? We'll be airborne, I'm going to say, in eight minutes, probably an 18-minute flight. So let's say 20 minutes to the rooftop. All right. All right. Awesome. Thanks so much. Okay. I'll see you then. Yep. Bye.</t>
  </si>
  <si>
    <t>Hello, Dr. Reif. Hey, Dr. Reif. This is Denise Sherald, paramedic on Mercy Playdate. How are you? I'm doing all right. And you? Was wearing a helmet. Helmet? You were in a helmet? What? You were not wearing a helmet. Okay. We're coming in with a five-year-old involved in an ATO rollover. Let me know when you're ready. An ATV rollover, you said? Yeah. Yeah. Okay. All right. Go for it. Okay. I've got a five-year-old male patient was involved in an AT rollover. He felt that he was not wearing a helmet. I don't know how fast they were going, but the ATV landed on him, and when mom got to him, he was unresponsive and not breathing, and he was underneath the ATV. Once she knocked the ATV off of him, shook him, he did become conscious again. He threw up all over her, and he's been conscious and alert since then. Conscious, alert, and orientated, but, you know, clearly very upset. Airway's clear. Breathing is good. Sounds are clear bilaterally. Belly is fine. He's complaining of pain in his left hip, and I've got some external rotation of the left lower extremities with good distal pulses, motor, and sensation. I've got a blood pressure of 144 over 90. Got a heart rate of 131 with sinus attack on the monitor. He's got a [REDACTED]. He needs chatting at 100%. They've got him on an on-rebreather right now. Blood glucose level is 139. He does have a history of ASD, and he's got a device separating. His septum right now, so he is not a candidate for MRI, and he's on platypus. Okay. History of ASD. No MRIs. All right. And a big hematoma on the forehead. Hematoma on the forehead. Okay. And then, so, how long was he out for, do you think? I'm going to say probably maybe about a minute. Okay. It sounds like she was right there. Ran. Got him. Got the ATV off of him, and then was able to revive him. All right. GCS, which you say is like 15 right now, or? I'm sorry? Yeah, GCS is 15 right now. I mean, as close as it gets. I know he has fetal alcohol syndrome. I don't know, like, what his baseline is. Okay. But he's crying. He just keeps telling, you know, he's looking at me, makes eye contact. He keeps telling me he wants to go home. I told him so do I. He didn't really feel my pain. Yeah. Fair enough. All right. And then you said you've got IV access. Yeah. He's got a collar on IV access. He's got, like, they used a sheet for a pelvic binder. Worked out pretty well. We just gave him 30 mics of fentanyl, and it looks like that's calmed him down pretty good. So we'll keep a good eye on him as he's on the way out. Okay. And how far out are you? We'll be airborne, I'm going to say, in eight minutes, probably an 18-minute flight. So let's say 20 minutes to the rooftop. All right. All right. Awesome. Thanks so much. Okay. I'll see you then. Yep. Bye.</t>
  </si>
  <si>
    <t>OSHA, it's Dr. Patheros. Hi, it's Church Park Police. I'll give you an update. We had a rollover accident with a six-month involved. EMS is inbound 20 minutes. Head injury, laceration, in and out of consciousness. Okay. All right. And that's all I can give you for the moment. All right, in and out of consciousness. Okay. All right, in 20 minutes. Okay. All right. Thanks. Okay. Bye-bye. Bye-bye.</t>
  </si>
  <si>
    <t>We had a rollover accident with a six-month involved. Head injury, laceration, in and out of consciousness. </t>
  </si>
  <si>
    <t>L2, 16y/o, Vitals(BP 138/70, HR 144, RR [??]), GCS:15, MOI(MVC), unbelted, front seat passenger, no LOC, extremity pains, ETA:5 min</t>
  </si>
  <si>
    <t>The transcript mentions a "rollover accident" as the incident.</t>
  </si>
  <si>
    <t>['six-month']</t>
  </si>
  <si>
    <t>['in and out of consciousness', 'in and out of consciousness']</t>
  </si>
  <si>
    <t>['rollover accident', 'Head injury', 'laceration']</t>
  </si>
  <si>
    <t>OSHA, it's Dr. Patheros. Hi, it's Church Park Police. I'll give you an update. We had a rollover accident with a [REDACTED] involved. EMS is inbound 20 minutes. Head injury, laceration, in and out of consciousness. Okay. All right. And that's all I can give you for the moment. All right, in and out of consciousness. Okay. All right, in 20 minutes. Okay. All right. Thanks. Okay. Bye-bye. Bye-bye.</t>
  </si>
  <si>
    <t>OSHA, it's Dr. Patheros. Hi, it's Church Park Police. I'll give you an update. We had a rollover accident with a six-month involved. EMS is inbound 20 minutes. Head injury, laceration, [REDACTED]. Okay. All right. And that's all I can give you for the moment. All right, [REDACTED]. Okay. All right, in 20 minutes. Okay. All right. Thanks. Okay. Bye-bye. Bye-bye.</t>
  </si>
  <si>
    <t>OSHA, it's Dr. Patheros. Hi, it's Church Park Police. I'll give you an update. We had a [REDACTED] with a six-month involved. EMS is inbound 20 minutes. [REDACTED], [REDACTED], in and out of consciousness. Okay. All right. And that's all I can give you for the moment. All right, in and out of consciousness. Okay. All right, in 20 minutes. Okay. All right. Thanks. Okay. Bye-bye. Bye-bye.</t>
  </si>
  <si>
    <t>Hi, Emergency Department, Dr. Salish. Hey, Doc, how you doing? This is Paramount Ship with AMR. Okay. I am inbound to you with a 14-year-old female. She was hit by a Silverado truck. It was a low speed. What happened was she was running across like on the street, like a driveway type of thing on a busy street coming out of a commercial place. And the guy didn't see her, and he rolled over her with his truck. Okay. She's got a lot of road rash, things like that. The only significant injuries I can find is on her right knee area. It's an open wound. And I also see from her right shoulder area, she's got a wound in the back of her, you know, penetration instead of back of her right shoulder. But she has a lot of road rash from head to toe. And it was small. And it was a little bit of a rash ratio on top. There was no loss of conscious. Yes. I was going to say, can I have the vitals, but finish. Go for it. Oh, absolutely. 114 over 70. She's got a heart rate of 120. Respirations are 18, 95% on room air. Conscious hula hoop times three. I do have an IV excess. I do have a C collar. And we're going to be there probably within seven minutes. Seven minutes. Okay. Fabulous. We will see you then. Okay. Okay. Thank you, Doc. Thank you. Bye-bye.</t>
  </si>
  <si>
    <t>14-year-old female. She was hit by a Silverado truck. It was a low speed. significant injuries I can find is on her right knee area. It's an open wound. There was no loss of conscious. 114 over 70. She's got a heart rate of 120. Respirations are 18, 95% on room air.</t>
  </si>
  <si>
    <t>L2, 14y/o, Vitals(BP 117/70, HR 120, RR 18), GCS:15, MOI(Ped Vs Car), low speed, run over by truck, knee and shoulder pain, no LOC, ETA:5 min</t>
  </si>
  <si>
    <t>Hit by a Silverado truck</t>
  </si>
  <si>
    <t>The transcript describes a 14-year-old female who was hit by a Silverado truck while running across a street.</t>
  </si>
  <si>
    <t>['114 over 70']</t>
  </si>
  <si>
    <t>['Conscious hula hoop times three']</t>
  </si>
  <si>
    <t>Hi, Emergency Department, Dr. Salish. Hey, Doc, how you doing? This is Paramount Ship with AMR. Okay. I am inbound to you with a [REDACTED]. She was hit by a Silverado truck. It was a low speed. What happened was she was running across like on the street, like a driveway type of thing on a busy street coming out of a commercial place. And the guy didn't see her, and he rolled over her with his truck. Okay. She's got a lot of road rash, things like that. The only significant injuries I can find is on her right knee area. It's an open wound. And I also see from her right shoulder area, she's got a wound in the back of her, you know, penetration instead of back of her right shoulder. But she has a lot of road rash from head to toe. And it was small. And it was a little bit of a rash ratio on top. There was no loss of conscious. Yes. I was going to say, can I have the vitals, but finish. Go for it. Oh, absolutely. 114 over 70. She's got a heart rate of 120. Respirations are 18, 95% on room air. Conscious hula hoop times three. I do have an IV excess. I do have a C collar. And we're going to be there probably within seven minutes. Seven minutes. Okay. Fabulous. We will see you then. Okay. Okay. Thank you, Doc. Thank you. Bye-bye.</t>
  </si>
  <si>
    <t>Hi, Emergency Department, Dr. Salish. Hey, Doc, how you doing? This is Paramount Ship with AMR. Okay. I am inbound to you with a 14-year-old female. She was hit by a Silverado truck. It was a low speed. What happened was she was running across like on the street, like a driveway type of thing on a busy street coming out of a commercial place. And the guy didn't see her, and he rolled over her with his truck. Okay. She's got a lot of road rash, things like that. The only significant injuries I can find is on her right knee area. It's an open wound. And I also see from her right shoulder area, she's got a wound in the back of her, you know, penetration instead of back of her right shoulder. But she has a lot of road rash from head to toe. And it was small. And it was a little bit of a rash ratio on top. There was no loss of conscious. Yes. I was going to say, can I have the vitals, but finish. Go for it. Oh, absolutely. 114 over 70. She's got a [REDACTED]. Respirations are 18, 95% on room air. Conscious hula hoop times three. I do have an IV excess. I do have a C collar. And we're going to be there probably within seven minutes. Seven minutes. Okay. Fabulous. We will see you then. Okay. Okay. Thank you, Doc. Thank you. Bye-bye.</t>
  </si>
  <si>
    <t>Hi, Emergency Department, Dr. Salish. Hey, Doc, how you doing? This is Paramount Ship with AMR. Okay. I am inbound to you with a 14-year-old female. She was hit by a Silverado truck. It was a low speed. What happened was she was running across like on the street, like a driveway type of thing on a busy street coming out of a commercial place. And the guy didn't see her, and he rolled over her with his truck. Okay. She's got a lot of road rash, things like that. The only significant injuries I can find is on her right knee area. It's an open wound. And I also see from her right shoulder area, she's got a wound in the back of her, you know, penetration instead of back of her right shoulder. But she has a lot of road rash from head to toe. And it was small. And it was a little bit of a rash ratio on top. There was no loss of conscious. Yes. I was going to say, can I have the vitals, but finish. Go for it. Oh, absolutely. [REDACTED]. She's got a heart rate of 120. Respirations are 18, 95% on room air. Conscious hula hoop times three. I do have an IV excess. I do have a C collar. And we're going to be there probably within seven minutes. Seven minutes. Okay. Fabulous. We will see you then. Okay. Okay. Thank you, Doc. Thank you. Bye-bye.</t>
  </si>
  <si>
    <t>Hi, Emergency Department, Dr. Salish. Hey, Doc, how you doing? This is Paramount Ship with AMR. Okay. I am inbound to you with a 14-year-old female. She was hit by a Silverado truck. It was a low speed. What happened was she was running across like on the street, like a driveway type of thing on a busy street coming out of a commercial place. And the guy didn't see her, and he rolled over her with his truck. Okay. She's got a lot of road rash, things like that. The only significant injuries I can find is on her right knee area. It's an open wound. And I also see from her right shoulder area, she's got a wound in the back of her, you know, penetration instead of back of her right shoulder. But she has a lot of road rash from head to toe. And it was small. And it was a little bit of a rash ratio on top. There was no loss of conscious. Yes. I was going to say, can I have the vitals, but finish. Go for it. Oh, absolutely. 114 over 70. She's got a heart rate of 120. [REDACTED], 95% on room air. Conscious hula hoop times three. I do have an IV excess. I do have a C collar. And we're going to be there probably within seven minutes. Seven minutes. Okay. Fabulous. We will see you then. Okay. Okay. Thank you, Doc. Thank you. Bye-bye.</t>
  </si>
  <si>
    <t>Hi, Emergency Department, Dr. Salish. Hey, Doc, how you doing? This is Paramount Ship with AMR. Okay. I am inbound to you with a 14-year-old female. She was hit by a Silverado truck. It was a low speed. What happened was she was running across like on the street, like a driveway type of thing on a busy street coming out of a commercial place. And the guy didn't see her, and he rolled over her with his truck. Okay. She's got a lot of road rash, things like that. The only significant injuries I can find is on her right knee area. It's an open wound. And I also see from her right shoulder area, she's got a wound in the back of her, you know, penetration instead of back of her right shoulder. But she has a lot of road rash from head to toe. And it was small. And it was a little bit of a rash ratio on top. There was no loss of conscious. Yes. I was going to say, can I have the vitals, but finish. Go for it. Oh, absolutely. 114 over 70. She's got a heart rate of 120. Respirations are 18, 95% on room air. [REDACTED]. I do have an IV excess. I do have a C collar. And we're going to be there probably within seven minutes. Seven minutes. Okay. Fabulous. We will see you then. Okay. Okay. Thank you, Doc. Thank you. Bye-bye.</t>
  </si>
  <si>
    <t>Hey, this is Dr. Penella Children's. Hi, Doc. It's Tom Ritter, paramedic with AMR here. I got an ambulance going to you, paramedic level there, with a 12-year-old. Got struck by a vehicle. Got positive bilateral femur fractures. Don't know anything else at this time. Unsure of loss of consciousness. He is conscious and alert now. He's crying in pain. Vital is 116 over 69 for pressure. Pulse rate is 80. Set 99 on 2 liters. Right now working on ALS, and they're leaving now. We're right under the Peace Bridge in Niagara. Probably about seven to eight minutes. We'll be there. How old did you say he was? One, two, 12. 12. Thank you. You're welcome. We're going to get here. Bye. Bye. Bye.</t>
  </si>
  <si>
    <t>12-year-old. Got struck by a vehicle. Got positive bilateral femur fractures. Unsure of loss of consciousness. He is conscious and alert now. He's crying in pain. Vital is 116 over 69 for pressure. Pulse rate is 80. Set 99 on 2 liters.</t>
  </si>
  <si>
    <t>L2, 12y/o, Vitals(BP 116/69, HR 80, RR [??]), GCS:15, MOI(Ped Vs Car), hit by car, unsure loc but now alerthas concern for b/l femur fractures, ETA:7 min</t>
  </si>
  <si>
    <t>The transcript mentions a 12-year-old who "got struck by a vehicle."</t>
  </si>
  <si>
    <t>['12-year-old', '12', '12']</t>
  </si>
  <si>
    <t>['Pulse rate is 80']</t>
  </si>
  <si>
    <t>['116 over 69 for pressure']</t>
  </si>
  <si>
    <t>['He is conscious and alert now', "He's crying in pain"]</t>
  </si>
  <si>
    <t>Hey, this is Dr. Penella Children's. Hi, Doc. It's Tom Ritter, paramedic with AMR here. I got an ambulance going to you, paramedic level there, with a [REDACTED]. Got struck by a vehicle. Got positive bilateral femur fractures. Don't know anything else at this time. Unsure of loss of consciousness. He is conscious and alert now. He's crying in pain. Vital is 116 over 69 for pressure. Pulse rate is 80. Set 99 on 2 liters. Right now working on ALS, and they're leaving now. We're right under the Peace Bridge in Niagara. Probably about seven to eight minutes. We'll be there. How old did you say he was? One, two, [REDACTED]. [REDACTED]. Thank you. You're welcome. We're going to get here. Bye. Bye. Bye.</t>
  </si>
  <si>
    <t>Hey, this is Dr. Penella Children's. Hi, Doc. It's Tom Ritter, paramedic with AMR here. I got an ambulance going to you, paramedic level there, with a 12-year-old. Got struck by a vehicle. Got positive bilateral femur fractures. Don't know anything else at this time. Unsure of loss of consciousness. He is conscious and alert now. He's crying in pain. Vital is 116 over 69 for pressure. [REDACTED]. Set 99 on 2 liters. Right now working on ALS, and they're leaving now. We're right under the Peace Bridge in Niagara. Probably about seven to eight minutes. We'll be there. How old did you say he was? One, two, 12. 12. Thank you. You're welcome. We're going to get here. Bye. Bye. Bye.</t>
  </si>
  <si>
    <t>Hey, this is Dr. Penella Children's. Hi, Doc. It's Tom Ritter, paramedic with AMR here. I got an ambulance going to you, paramedic level there, with a 12-year-old. Got struck by a vehicle. Got positive bilateral femur fractures. Don't know anything else at this time. Unsure of loss of consciousness. He is conscious and alert now. He's crying in pain. Vital is [REDACTED]. Pulse rate is 80. Set 99 on 2 liters. Right now working on ALS, and they're leaving now. We're right under the Peace Bridge in Niagara. Probably about seven to eight minutes. We'll be there. How old did you say he was? One, two, 12. 12. Thank you. You're welcome. We're going to get here. Bye. Bye. Bye.</t>
  </si>
  <si>
    <t>Hey, this is Dr. Penella Children's. Hi, Doc. It's Tom Ritter, paramedic with AMR here. I got an ambulance going to you, paramedic level there, with a 12-year-old. Got struck by a vehicle. Got positive bilateral femur fractures. Don't know anything else at this time. Unsure of loss of consciousness. [REDACTED]. [REDACTED]. Vital is 116 over 69 for pressure. Pulse rate is 80. Set 99 on 2 liters. Right now working on ALS, and they're leaving now. We're right under the Peace Bridge in Niagara. Probably about seven to eight minutes. We'll be there. How old did you say he was? One, two, 12. 12. Thank you. You're welcome. We're going to get here. Bye. Bye. Bye.</t>
  </si>
  <si>
    <t>Children's Air, this is Dr. Reese. Hi, Dr. Reese. This is Joy from AMR. I'm coming in with you with a pediatric trauma. I have a 15-year-old male that was an unrestrained passenger of a vehicle, positive LOC, injuries to the left forearm as well as jaw and face with fluid coming out of his ear. Bloody fluid or? Bloody fluid coming out of his ear. Bloody fluid, okay. All right. What are his vitals right now? Last set of vitals was 172 over 96. Heart rate is currently 87. SpO2 is 95 on the air. And GCS is 15? Yes, GCS is 15. He's just really, really freaked out right now. Sorry, he's really, really what? Sorry. He's just freaked out right now. Okay. He was unrestrained and he did pass out. Okay. That's the biggest thing. That's the biggest thing for you here. Sounds good. He's in a collar? Yep, in a collar, all bandaged up, full trauma assessment done already for you. Awesome. We're, I think, five minutes out. Okay. And does he have an IV? Just for? No, we're BLS only. Okay. There are three passengers in this vehicle that all got. Okay. Are the other passengers adults? Do we expect him? They're adults. So he's the only pediatric. Okay. Sounds good. We'll see you in about five minutes. All right. Thank you. Yep. Bye.</t>
  </si>
  <si>
    <t>15-year-old male that was an unrestrained passenger of a vehicle, positive LOC, injuries to the left forearm as well as jaw and face with fluid coming out of his ear. Bloody fluid coming out of his ear. 172 over 96. Heart rate is currently 87. SpO2 is 95 on the air. And GCS is 15? Yes, GCS is 15.</t>
  </si>
  <si>
    <t>L2, 15y/o, Vitals(BP 102/96, HR 87, RR [??]), GCS:15, MOI(MVC), unrestrained in MVC, LOC, ETA:5 min</t>
  </si>
  <si>
    <t>Unrestrained passenger in a vehicle</t>
  </si>
  <si>
    <t>The transcript mentions the patient was an unrestrained passenger in a vehicle, indicating a motor vehicle collision (MVC) as the mechanism of injury.</t>
  </si>
  <si>
    <t>['Heart rate is currently 87']</t>
  </si>
  <si>
    <t>['Last set of vitals was 172 over 96']</t>
  </si>
  <si>
    <t>Children's Air, this is Dr. Reese. Hi, Dr. Reese. This is Joy from AMR. I'm coming in with you with a pediatric trauma. I have a [REDACTED] that was an unrestrained passenger of a vehicle, positive LOC, injuries to the left forearm as well as jaw and face with fluid coming out of his ear. Bloody fluid or? Bloody fluid coming out of his ear. Bloody fluid, okay. All right. What are his vitals right now? Last set of vitals was 172 over 96. Heart rate is currently 87. SpO2 is 95 on the air. And GCS is 15? Yes, GCS is 15. He's just really, really freaked out right now. Sorry, he's really, really what? Sorry. He's just freaked out right now. Okay. He was unrestrained and he did pass out. Okay. That's the biggest thing. That's the biggest thing for you here. Sounds good. He's in a collar? Yep, in a collar, all bandaged up, full trauma assessment done already for you. Awesome. We're, I think, five minutes out. Okay. And does he have an IV? Just for? No, we're BLS only. Okay. There are three passengers in this vehicle that all got. Okay. Are the other passengers adults? Do we expect him? They're adults. So he's the only pediatric. Okay. Sounds good. We'll see you in about five minutes. All right. Thank you. Yep. Bye.</t>
  </si>
  <si>
    <t>Children's Air, this is Dr. Reese. Hi, Dr. Reese. This is Joy from AMR. I'm coming in with you with a pediatric trauma. I have a 15-year-old male that was an unrestrained passenger of a vehicle, positive LOC, injuries to the left forearm as well as jaw and face with fluid coming out of his ear. Bloody fluid or? Bloody fluid coming out of his ear. Bloody fluid, okay. All right. What are his vitals right now? Last set of vitals was 172 over 96. [REDACTED]. SpO2 is 95 on the air. And GCS is 15? Yes, GCS is 15. He's just really, really freaked out right now. Sorry, he's really, really what? Sorry. He's just freaked out right now. Okay. He was unrestrained and he did pass out. Okay. That's the biggest thing. That's the biggest thing for you here. Sounds good. He's in a collar? Yep, in a collar, all bandaged up, full trauma assessment done already for you. Awesome. We're, I think, five minutes out. Okay. And does he have an IV? Just for? No, we're BLS only. Okay. There are three passengers in this vehicle that all got. Okay. Are the other passengers adults? Do we expect him? They're adults. So he's the only pediatric. Okay. Sounds good. We'll see you in about five minutes. All right. Thank you. Yep. Bye.</t>
  </si>
  <si>
    <t>Children's Air, this is Dr. Reese. Hi, Dr. Reese. This is Joy from AMR. I'm coming in with you with a pediatric trauma. I have a 15-year-old male that was an unrestrained passenger of a vehicle, positive LOC, injuries to the left forearm as well as jaw and face with fluid coming out of his ear. Bloody fluid or? Bloody fluid coming out of his ear. Bloody fluid, okay. All right. What are his vitals right now? [REDACTED]. Heart rate is currently 87. SpO2 is 95 on the air. And GCS is 15? Yes, GCS is 15. He's just really, really freaked out right now. Sorry, he's really, really what? Sorry. He's just freaked out right now. Okay. He was unrestrained and he did pass out. Okay. That's the biggest thing. That's the biggest thing for you here. Sounds good. He's in a collar? Yep, in a collar, all bandaged up, full trauma assessment done already for you. Awesome. We're, I think, five minutes out. Okay. And does he have an IV? Just for? No, we're BLS only. Okay. There are three passengers in this vehicle that all got. Okay. Are the other passengers adults? Do we expect him? They're adults. So he's the only pediatric. Okay. Sounds good. We'll see you in about five minutes. All right. Thank you. Yep. Bye.</t>
  </si>
  <si>
    <t>Hello, this is Dr. Reeve. Hello? Hello? Hello, can you hear me? Yeah, now I can hear you. This is Dr. Reeve. Oh, hi. What can I do for you? This is Mercy Flight Number 6. We're going to be launching in about five minutes with an ET to your helipad in about 30 minutes. I have a 13-year-old gentleman who went down into a 10-foot creek off his ATV, no loss of consciousness. His helmet's actually intact pretty good. He's looking like he has a left ankle, right ankle, and left wrist fracture. There was no loss of consciousness, no bouts of hypotension. He's doing okay right now. He's just in a lot of pain. He also has a lot of mid to lower back pain. Neurologically, he's intact. Everything sounds good. He's alert and oriented and everything. Like I said, we're going to be there in 30 minutes. Do you want a set of vitals? Yeah, that'd be great. All right, last set of vitals on this young man was... We got stats are 94. He's 112 over 62 for blood pressure. His respiratory effort is about 14 and normal. He's been on a lot of medications for a long time. He's been on a lot of medications for a long time. What was the heart rate? Heart rate was 84. 84, and then how old is he? He's 1313. Okay. All right. And then, so, we've got back and abdominal pain? No, just mid to lower back pain. So, like lower to lumbar back pain. Right. Right ankle. Right ankle. Looks like fracture left. Ankle or left wrist fracture. Okay. And that's... Deformities? Oh, yeah, it's deformities. They have them all splinted up. Okay. And GCS of 15? He's 15. There was no alteredness, no loss of consciousness or anything. There was somebody with him when this all happened. Okay. It just took forever. This happened like around 12 o'clock. It took forever for them to get him out of the ditch to extricate him. So, we actually... We waited almost 25 minutes for them to bring him back. We waited almost 25 minutes for them to bring him to the LZ, so... Okay. All right. All right. So, about 35 minutes. Yeah, three, 35 minutes we should be at your pad. All right. Cool. All right. Thank you. Bye. Thank you. Bye. Bye. Bye. Bye. Bye. Bye. Bye. Bye. Bye. Bye. Bye. Bye. Bye. Bye. Bye. Bye. Bye. Bye.</t>
  </si>
  <si>
    <t>13-year-old gentleman who went down into a 10-foot creek off his ATV, no loss of consciousness. He's looking like he has a left ankle, right ankle, and left wrist fracture. There was no loss of consciousness, no bouts of hypotension. Neurologically, he's intact.   stats are 94. He's 112 over 62 for blood pressure. His respiratory effort is about 14 and normal. Heart rate was 84. And GCS of 15? He's 15.</t>
  </si>
  <si>
    <t>L2, 13y/o, Vitals(BP 112/62, HR 84, RR 14), GCS:15, MOI(ATV or Motorcycle), Helmeted, no LOC, into 10' ditch, L wrist and R ankle, , ETA:30 min</t>
  </si>
  <si>
    <t>ATV accident into a 10-foot creek</t>
  </si>
  <si>
    <t>The transcript describes a 13-year-old who went down into a creek off his ATV.</t>
  </si>
  <si>
    <t>['13-year-old gentleman', "he's 1313"]</t>
  </si>
  <si>
    <t>['Heart rate was 84', 'heart rate was 84']</t>
  </si>
  <si>
    <t>['112 over 62 for blood pressure']</t>
  </si>
  <si>
    <t>Hello, this is Dr. Reeve. Hello? Hello? Hello, can you hear me? Yeah, now I can hear you. This is Dr. Reeve. Oh, hi. What can I do for you? This is Mercy Flight Number 6. We're going to be launching in about five minutes with an ET to your helipad in about 30 minutes. I have a 13-year-old gentleman who went down into a 10-foot creek off his ATV, no loss of consciousness. His helmet's actually intact pretty good. He's looking like he has a left ankle, right ankle, and left wrist fracture. There was no loss of consciousness, no bouts of hypotension. He's doing okay right now. He's just in a lot of pain. He also has a lot of mid to lower back pain. Neurologically, he's intact. Everything sounds good. He's alert and oriented and everything. Like I said, we're going to be there in 30 minutes. Do you want a set of vitals? Yeah, that'd be great. All right, last set of vitals on this young man was... We got stats are 94. He's 112 over 62 for blood pressure. His respiratory effort is about 14 and normal. He's been on a lot of medications for a long time. He's been on a lot of medications for a long time. What was the heart rate? [REDACTED]. 84, and then how old is he? He's 1313. Okay. All right. And then, so, we've got back and abdominal pain? No, just mid to lower back pain. So, like lower to lumbar back pain. Right. Right ankle. Right ankle. Looks like fracture left. Ankle or left wrist fracture. Okay. And that's... Deformities? Oh, yeah, it's deformities. They have them all splinted up. Okay. And GCS of 15? He's 15. There was no alteredness, no loss of consciousness or anything. There was somebody with him when this all happened. Okay. It just took forever. This happened like around 12 o'clock. It took forever for them to get him out of the ditch to extricate him. So, we actually... We waited almost 25 minutes for them to bring him back. We waited almost 25 minutes for them to bring him to the LZ, so... Okay. All right. All right. So, about 35 minutes. Yeah, three, 35 minutes we should be at your pad. All right. Cool. All right. Thank you. Bye. Thank you. Bye. Bye. Bye. Bye. Bye. Bye. Bye. Bye. Bye. Bye. Bye. Bye. Bye. Bye. Bye. Bye. Bye. Bye.</t>
  </si>
  <si>
    <t>Hello, this is Dr. Reeve. Hello? Hello? Hello, can you hear me? Yeah, now I can hear you. This is Dr. Reeve. Oh, hi. What can I do for you? This is Mercy Flight Number 6. We're going to be launching in about five minutes with an ET to your helipad in about 30 minutes. I have a 13-year-old gentleman who went down into a 10-foot creek off his ATV, no loss of consciousness. His helmet's actually intact pretty good. He's looking like he has a left ankle, right ankle, and left wrist fracture. There was no loss of consciousness, no bouts of hypotension. He's doing okay right now. He's just in a lot of pain. He also has a lot of mid to lower back pain. Neurologically, he's intact. Everything sounds good. He's alert and oriented and everything. Like I said, we're going to be there in 30 minutes. Do you want a set of vitals? Yeah, that'd be great. All right, last set of vitals on this young man was... We got stats are 94. He's [REDACTED]. His respiratory effort is about 14 and normal. He's been on a lot of medications for a long time. He's been on a lot of medications for a long time. What was the heart rate? Heart rate was 84. 84, and then how old is he? He's 1313. Okay. All right. And then, so, we've got back and abdominal pain? No, just mid to lower back pain. So, like lower to lumbar back pain. Right. Right ankle. Right ankle. Looks like fracture left. Ankle or left wrist fracture. Okay. And that's... Deformities? Oh, yeah, it's deformities. They have them all splinted up. Okay. And GCS of 15? He's 15. There was no alteredness, no loss of consciousness or anything. There was somebody with him when this all happened. Okay. It just took forever. This happened like around 12 o'clock. It took forever for them to get him out of the ditch to extricate him. So, we actually... We waited almost 25 minutes for them to bring him back. We waited almost 25 minutes for them to bring him to the LZ, so... Okay. All right. All right. So, about 35 minutes. Yeah, three, 35 minutes we should be at your pad. All right. Cool. All right. Thank you. Bye. Thank you. Bye. Bye. Bye. Bye. Bye. Bye. Bye. Bye. Bye. Bye. Bye. Bye. Bye. Bye. Bye. Bye. Bye. Bye.</t>
  </si>
  <si>
    <t>Hey, Children's, this is Ashlyn. Hey, this is Hannah with Mercy Flight. Hi. You okay? Yeah. We're bringing in the 14-year-old to you guys who fell off a bike, lost consciousness, and has some head trauma, a little laugh to his eyebrow, and some abrasion. Other than that, no obvious injuries. All right. All right. And has had stable vitals. I'm just getting, like, fluid, KBO, no meds from EMF. He has two lines, and we're about 15 minutes out. Okay. Do you mind giving me his most recent vitals? Yeah, let me make sure I can give you that one. Heart rate, 90. Pressure, 127 over 68. Breastfords are 30, and stats, 99. And then we're more. Okay. GPS is 14. 14. And what did you say his heart rate was again? Sorry, it cut out. 90. Okay. All righty. We will see you guys shortly. All right. Bye. Thanks. Thank you. Thank you. Bye.</t>
  </si>
  <si>
    <t>14-year-old to you guys who fell off a bike, lost consciousness, and has some head trauma, a little laugh to his eyebrow, and some abrasion. Heart rate, 90. Pressure, 127 over 68. Breastfords are 30, and stats, 99. GPS is 14.</t>
  </si>
  <si>
    <t>L2, 14y/o, Vitals(BP [??]/[??], HR [??], RR [??]), GCS:14, MOI(Other), found in street after fall off bike, LOC, unsure if hit by car, abrasions to face/forehead, ETA:Here Now</t>
  </si>
  <si>
    <t>Fall off a bike</t>
  </si>
  <si>
    <t>The transcript mentions a 14-year-old who fell off a bike and sustained head trauma.</t>
  </si>
  <si>
    <t>['14-year-old']</t>
  </si>
  <si>
    <t>['Pressure, 127 over 68']</t>
  </si>
  <si>
    <t>['Breastfords are 30']</t>
  </si>
  <si>
    <t>['lost consciousness']</t>
  </si>
  <si>
    <t>Hey, Children's, this is Ashlyn. Hey, this is Hannah with Mercy Flight. Hi. You okay? Yeah. We're bringing in the [REDACTED] to you guys who fell off a bike, lost consciousness, and has some head trauma, a little laugh to his eyebrow, and some abrasion. Other than that, no obvious injuries. All right. All right. And has had stable vitals. I'm just getting, like, fluid, KBO, no meds from EMF. He has two lines, and we're about 15 minutes out. Okay. Do you mind giving me his most recent vitals? Yeah, let me make sure I can give you that one. Heart rate, 90. Pressure, 127 over 68. Breastfords are 30, and stats, 99. And then we're more. Okay. GPS is 14. 14. And what did you say his heart rate was again? Sorry, it cut out. 90. Okay. All righty. We will see you guys shortly. All right. Bye. Thanks. Thank you. Thank you. Bye.</t>
  </si>
  <si>
    <t>Hey, Children's, this is Ashlyn. Hey, this is Hannah with Mercy Flight. Hi. You okay? Yeah. We're bringing in the 14-year-old to you guys who fell off a bike, lost consciousness, and has some head trauma, a little laugh to his eyebrow, and some abrasion. Other than that, no obvious injuries. All right. All right. And has had stable vitals. I'm just getting, like, fluid, KBO, no meds from EMF. He has two lines, and we're about 15 minutes out. Okay. Do you mind giving me his most recent vitals? Yeah, let me make sure I can give you that one. Heart rate, 90. [REDACTED]. Breastfords are 30, and stats, 99. And then we're more. Okay. GPS is 14. 14. And what did you say his heart rate was again? Sorry, it cut out. 90. Okay. All righty. We will see you guys shortly. All right. Bye. Thanks. Thank you. Thank you. Bye.</t>
  </si>
  <si>
    <t>Hey, Children's, this is Ashlyn. Hey, this is Hannah with Mercy Flight. Hi. You okay? Yeah. We're bringing in the 14-year-old to you guys who fell off a bike, lost consciousness, and has some head trauma, a little laugh to his eyebrow, and some abrasion. Other than that, no obvious injuries. All right. All right. And has had stable vitals. I'm just getting, like, fluid, KBO, no meds from EMF. He has two lines, and we're about 15 minutes out. Okay. Do you mind giving me his most recent vitals? Yeah, let me make sure I can give you that one. Heart rate, 90. Pressure, 127 over 68. [REDACTED], and stats, 99. And then we're more. Okay. GPS is 14. 14. And what did you say his heart rate was again? Sorry, it cut out. 90. Okay. All righty. We will see you guys shortly. All right. Bye. Thanks. Thank you. Thank you. Bye.</t>
  </si>
  <si>
    <t>Hey, Children's, this is Ashlyn. Hey, this is Hannah with Mercy Flight. Hi. You okay? Yeah. We're bringing in the 14-year-old to you guys who fell off a bike, [REDACTED], and has some head trauma, a little laugh to his eyebrow, and some abrasion. Other than that, no obvious injuries. All right. All right. And has had stable vitals. I'm just getting, like, fluid, KBO, no meds from EMF. He has two lines, and we're about 15 minutes out. Okay. Do you mind giving me his most recent vitals? Yeah, let me make sure I can give you that one. Heart rate, 90. Pressure, 127 over 68. Breastfords are 30, and stats, 99. And then we're more. Okay. GPS is 14. 14. And what did you say his heart rate was again? Sorry, it cut out. 90. Okay. All righty. We will see you guys shortly. All right. Bye. Thanks. Thank you. Thank you. Bye.</t>
  </si>
  <si>
    <t>Children's Statline, it's Dr. Bradfield. Hi, this is Thomas A. Amar. I'm bringing you a 10- or 11-month-old child, infant, involved in a motor vehicle accident at unknown speed. Airbags were deployed. A bystander told police that they saw the baby laying in the street, unable to verify if the child was ejected or carried out and put on the street, or if the child was actually in the street at all. But that's the story we got. So far, I've just found one tiny laceration at the bottom of his foot. Alert and oriented, he's been crying the whole time. Also, 112, 99% on room air, 133 over 89. So the baby looks good overall, though. Yeah, he seems to be acting appropriately for his age. Is this with the same accident that we just got a call about that somebody brought in? Bailey and Delavan? I don't know. Was that a Bailey and Delavan, this one? I'm just making sure because we have a lot of MVCs coming in right now, and I don't know if they're all related or not related. Yeah. I don't know if anybody came to Children's or not from this one. I was, like, the last call called in. Okay. All right. Okay, thank you. All right. We'll see you. How far out are you? All right. About 10. 10. Okay. All right. Thank you. Thank you. Bye-bye. Bye. Bye. Bye. Bye. Bye. Bye. Bye. Bye. Bye. Bye. Bye. Bye. Bye. Bye. Bye. Bye. Bye. Bye. Bye. Bye. Bye. Bye. Bye. Bye. Bye. Bye.</t>
  </si>
  <si>
    <t>10- or 11-month-old child, infant, involved in a motor vehicle accident at unknown speed. Airbags were deployed. A bystander told police that they saw the baby laying in the street, unable to verify if the child was ejected or carried out and put on the street, or if the child was actually in the street at all. I've just found one tiny laceration at the bottom of his foot. Alert and oriented, he's been crying the whole time. Also, 112, 99% on room air, 133 over 89.</t>
  </si>
  <si>
    <t>L2, 10m/o, Vitals(BP 113/89, HR 112, RR [??]), GCS:15, MOI(MVC), MVC, unknown speed, airbag, bystander saw baby in street, unknown how got there. tiny laceration, ETA:10 min</t>
  </si>
  <si>
    <t>Motor vehicle accident (MVC)</t>
  </si>
  <si>
    <t>The transcript mentions an infant involved in a motor vehicle accident with airbags deployed.</t>
  </si>
  <si>
    <t>['10- or 11-month-old child', 'infant', 'the baby']</t>
  </si>
  <si>
    <t>['112']</t>
  </si>
  <si>
    <t>['133 over 89']</t>
  </si>
  <si>
    <t>Children's Statline, it's Dr. Bradfield. Hi, this is Thomas A. Amar. I'm bringing you a [REDACTED], [REDACTED], involved in a motor vehicle accident at unknown speed. Airbags were deployed. A bystander told police that they saw [REDACTED] laying in the street, unable to verify if the child was ejected or carried out and put on the street, or if the child was actually in the street at all. But that's the story we got. So far, I've just found one tiny laceration at the bottom of his foot. Alert and oriented, he's been crying the whole time. Also, 112, 99% on room air, 133 over 89. So [REDACTED] looks good overall, though. Yeah, he seems to be acting appropriately for his age. Is this with the same accident that we just got a call about that somebody brought in? Bailey and Delavan? I don't know. Was that a Bailey and Delavan, this one? I'm just making sure because we have a lot of MVCs coming in right now, and I don't know if they're all related or not related. Yeah. I don't know if anybody came to Children's or not from this one. I was, like, the last call called in. Okay. All right. Okay, thank you. All right. We'll see you. How far out are you? All right. About 10. 10. Okay. All right. Thank you. Thank you. Bye-bye. Bye. Bye. Bye. Bye. Bye. Bye. Bye. Bye. Bye. Bye. Bye. Bye. Bye. Bye. Bye. Bye. Bye. Bye. Bye. Bye. Bye. Bye. Bye. Bye. Bye. Bye.</t>
  </si>
  <si>
    <t>Children's Statline, it's Dr. Bradfield. Hi, this is Thomas A. Amar. I'm bringing you a 10- or 11-month-old child, infant, involved in a motor vehicle accident at unknown speed. Airbags were deployed. A bystander told police that they saw the baby laying in the street, unable to verify if the child was ejected or carried out and put on the street, or if the child was actually in the street at all. But that's the story we got. So far, I've just found one tiny laceration at the bottom of his foot. Alert and oriented, he's been crying the whole time. Also, [REDACTED], 99% on room air, 133 over 89. So the baby looks good overall, though. Yeah, he seems to be acting appropriately for his age. Is this with the same accident that we just got a call about that somebody brought in? Bailey and Delavan? I don't know. Was that a Bailey and Delavan, this one? I'm just making sure because we have a lot of MVCs coming in right now, and I don't know if they're all related or not related. Yeah. I don't know if anybody came to Children's or not from this one. I was, like, the last call called in. Okay. All right. Okay, thank you. All right. We'll see you. How far out are you? All right. About 10. 10. Okay. All right. Thank you. Thank you. Bye-bye. Bye. Bye. Bye. Bye. Bye. Bye. Bye. Bye. Bye. Bye. Bye. Bye. Bye. Bye. Bye. Bye. Bye. Bye. Bye. Bye. Bye. Bye. Bye. Bye. Bye. Bye.</t>
  </si>
  <si>
    <t>Children's Statline, it's Dr. Bradfield. Hi, this is Thomas A. Amar. I'm bringing you a 10- or 11-month-old child, infant, involved in a motor vehicle accident at unknown speed. Airbags were deployed. A bystander told police that they saw the baby laying in the street, unable to verify if the child was ejected or carried out and put on the street, or if the child was actually in the street at all. But that's the story we got. So far, I've just found one tiny laceration at the bottom of his foot. Alert and oriented, he's been crying the whole time. Also, 112, 99% on room air, [REDACTED]. So the baby looks good overall, though. Yeah, he seems to be acting appropriately for his age. Is this with the same accident that we just got a call about that somebody brought in? Bailey and Delavan? I don't know. Was that a Bailey and Delavan, this one? I'm just making sure because we have a lot of MVCs coming in right now, and I don't know if they're all related or not related. Yeah. I don't know if anybody came to Children's or not from this one. I was, like, the last call called in. Okay. All right. Okay, thank you. All right. We'll see you. How far out are you? All right. About 10. 10. Okay. All right. Thank you. Thank you. Bye-bye. Bye. Bye. Bye. Bye. Bye. Bye. Bye. Bye. Bye. Bye. Bye. Bye. Bye. Bye. Bye. Bye. Bye. Bye. Bye. Bye. Bye. Bye. Bye. Bye. Bye. Bye.</t>
  </si>
  <si>
    <t>Dr. Belton, can I help you? Hey, doctor. I'm a paramedic with AMR. I just got an update for a patient coming in for you guys. We got an 8-year-old female. She was involved in a car accident. She does have a minor head injury, hematoma to her forehead, positive loss of consciousness. Parents are unsure if she was belted in the vehicle. Pretty significant damage to the vehicle. Right now, she's pretty lethargic, doesn't know exactly what happened to her. She does have current vital signs of 143 over 92 for pressure. She is 100 for a heart rate. She had 129 for sugar. She's 20 for respiration. We should be rolling in to you guys in probably 6 to 7 minutes, and you guys will have multiple pediatric patients coming in for you. How many patients are coming in from this? I want to say right now it's going to be around a total of four at this time. Okay. Are they all trauma sort of patients? For this patient, yes. The other ones, I want to say at least two of them are going to be considered trauma patients, yes. Okay. I assume we'll get a call for them separately. Most likely, yes. Most likely, yes. Okay. All right. Thanks. All right. Thank you. All right. Bye-bye. Bye.</t>
  </si>
  <si>
    <t>8-year-old female. She was involved in a car accident. She does have a minor head injury, hematoma to her forehead, positive loss of consciousness. current vital signs of 143 over 92 for pressure. She is 100 for heart rate. She had 129 for sugar. She's 20 for respiration.</t>
  </si>
  <si>
    <t>L2, 8y/o, Vitals(BP [??]/[??], HR 100, RR 20), GCS:14, MOI(MVC), unrestrained LOC, ETA:5 min</t>
  </si>
  <si>
    <t>Car accident</t>
  </si>
  <si>
    <t>The transcript mentions an 8-year-old female involved in a car accident with significant vehicle damage.</t>
  </si>
  <si>
    <t>['100 for a heart rate']</t>
  </si>
  <si>
    <t>['143 over 92 for pressure']</t>
  </si>
  <si>
    <t>['20 for respiration']</t>
  </si>
  <si>
    <t>['pretty lethargic', "doesn't know exactly what happened to her"]</t>
  </si>
  <si>
    <t>['car accident', 'minor head injury', 'hematoma to her forehead', 'positive loss of consciousness', 'Parents are unsure if she was belted in the vehicle', 'Pretty significant damage to the vehicle']</t>
  </si>
  <si>
    <t>Dr. Belton, can I help you? Hey, doctor. I'm a paramedic with AMR. I just got an update for a patient coming in for you guys. We got an [REDACTED]. She was involved in a car accident. She does have a minor head injury, hematoma to her forehead, positive loss of consciousness. Parents are unsure if she was belted in the vehicle. Pretty significant damage to the vehicle. Right now, she's pretty lethargic, doesn't know exactly what happened to her. She does have current vital signs of 143 over 92 for pressure. She is 100 for a heart rate. She had 129 for sugar. She's 20 for respiration. We should be rolling in to you guys in probably 6 to 7 minutes, and you guys will have multiple pediatric patients coming in for you. How many patients are coming in from this? I want to say right now it's going to be around a total of four at this time. Okay. Are they all trauma sort of patients? For this patient, yes. The other ones, I want to say at least two of them are going to be considered trauma patients, yes. Okay. I assume we'll get a call for them separately. Most likely, yes. Most likely, yes. Okay. All right. Thanks. All right. Thank you. All right. Bye-bye. Bye.</t>
  </si>
  <si>
    <t>Dr. Belton, can I help you? Hey, doctor. I'm a paramedic with AMR. I just got an update for a patient coming in for you guys. We got an 8-year-old female. She was involved in a car accident. She does have a minor head injury, hematoma to her forehead, positive loss of consciousness. Parents are unsure if she was belted in the vehicle. Pretty significant damage to the vehicle. Right now, she's pretty lethargic, doesn't know exactly what happened to her. She does have current vital signs of 143 over 92 for pressure. She is [REDACTED]. She had 129 for sugar. She's 20 for respiration. We should be rolling in to you guys in probably 6 to 7 minutes, and you guys will have multiple pediatric patients coming in for you. How many patients are coming in from this? I want to say right now it's going to be around a total of four at this time. Okay. Are they all trauma sort of patients? For this patient, yes. The other ones, I want to say at least two of them are going to be considered trauma patients, yes. Okay. I assume we'll get a call for them separately. Most likely, yes. Most likely, yes. Okay. All right. Thanks. All right. Thank you. All right. Bye-bye. Bye.</t>
  </si>
  <si>
    <t>Dr. Belton, can I help you? Hey, doctor. I'm a paramedic with AMR. I just got an update for a patient coming in for you guys. We got an 8-year-old female. She was involved in a car accident. She does have a minor head injury, hematoma to her forehead, positive loss of consciousness. Parents are unsure if she was belted in the vehicle. Pretty significant damage to the vehicle. Right now, she's pretty lethargic, doesn't know exactly what happened to her. She does have current vital signs of [REDACTED]. She is 100 for a heart rate. She had 129 for sugar. She's 20 for respiration. We should be rolling in to you guys in probably 6 to 7 minutes, and you guys will have multiple pediatric patients coming in for you. How many patients are coming in from this? I want to say right now it's going to be around a total of four at this time. Okay. Are they all trauma sort of patients? For this patient, yes. The other ones, I want to say at least two of them are going to be considered trauma patients, yes. Okay. I assume we'll get a call for them separately. Most likely, yes. Most likely, yes. Okay. All right. Thanks. All right. Thank you. All right. Bye-bye. Bye.</t>
  </si>
  <si>
    <t>Dr. Belton, can I help you? Hey, doctor. I'm a paramedic with AMR. I just got an update for a patient coming in for you guys. We got an 8-year-old female. She was involved in a car accident. She does have a minor head injury, hematoma to her forehead, positive loss of consciousness. Parents are unsure if she was belted in the vehicle. Pretty significant damage to the vehicle. Right now, she's pretty lethargic, doesn't know exactly what happened to her. She does have current vital signs of 143 over 92 for pressure. She is 100 for a heart rate. She had 129 for sugar. She's [REDACTED]. We should be rolling in to you guys in probably 6 to 7 minutes, and you guys will have multiple pediatric patients coming in for you. How many patients are coming in from this? I want to say right now it's going to be around a total of four at this time. Okay. Are they all trauma sort of patients? For this patient, yes. The other ones, I want to say at least two of them are going to be considered trauma patients, yes. Okay. I assume we'll get a call for them separately. Most likely, yes. Most likely, yes. Okay. All right. Thanks. All right. Thank you. All right. Bye-bye. Bye.</t>
  </si>
  <si>
    <t>Dr. Belton, can I help you? Hey, doctor. I'm a paramedic with AMR. I just got an update for a patient coming in for you guys. We got an 8-year-old female. She was involved in a car accident. She does have a minor head injury, hematoma to her forehead, positive loss of consciousness. Parents are unsure if she was belted in the vehicle. Pretty significant damage to the vehicle. Right now, she's [REDACTED], [REDACTED]. She does have current vital signs of 143 over 92 for pressure. She is 100 for a heart rate. She had 129 for sugar. She's 20 for respiration. We should be rolling in to you guys in probably 6 to 7 minutes, and you guys will have multiple pediatric patients coming in for you. How many patients are coming in from this? I want to say right now it's going to be around a total of four at this time. Okay. Are they all trauma sort of patients? For this patient, yes. The other ones, I want to say at least two of them are going to be considered trauma patients, yes. Okay. I assume we'll get a call for them separately. Most likely, yes. Most likely, yes. Okay. All right. Thanks. All right. Thank you. All right. Bye-bye. Bye.</t>
  </si>
  <si>
    <t>Dr. Belton, can I help you? Hey, doctor. I'm a paramedic with AMR. I just got an update for a patient coming in for you guys. We got an 8-year-old female. She was involved in a [REDACTED]. She does have a [REDACTED], [REDACTED], [REDACTED]. [REDACTED]. [REDACTED]. Right now, she's pretty lethargic, doesn't know exactly what happened to her. She does have current vital signs of 143 over 92 for pressure. She is 100 for a heart rate. She had 129 for sugar. She's 20 for respiration. We should be rolling in to you guys in probably 6 to 7 minutes, and you guys will have multiple pediatric patients coming in for you. How many patients are coming in from this? I want to say right now it's going to be around a total of four at this time. Okay. Are they all trauma sort of patients? For this patient, yes. The other ones, I want to say at least two of them are going to be considered trauma patients, yes. Okay. I assume we'll get a call for them separately. Most likely, yes. Most likely, yes. Okay. All right. Thanks. All right. Thank you. All right. Bye-bye. Bye.</t>
  </si>
  <si>
    <t>ED, Dr. Petrowski. This is Eric Murphy, paramedic on Mercy Flight 6. Okay. With a 12-year-old male struck by a vehicle, unknown when he was struck by a vehicle, found in the roadway. He has a kind of a 50 degrees to the left of Little Susky where assisting ventilation is now. Current vitals are as follows. I didn't hear. I'm sorry. Hold on, hold on. I didn't hear what you said. He was struck by a vehicle. Is he awake? Is he alert? No. His UCS is about 9. 9. Okay. Sorry. I couldn't hear you. You were clicking. Okay. To the left. All right. His vitals are as follows. 65 and a normal sinus rhythm. His last blood pressure was 155. His stomach is cycling now. He's dead. 57%. We loaded him. We loaded him. He's got an eye on the road. I'm hearing every other word. Okay. His UCS is 9. What's his stats? All right. How far are you guys? Hello? Hello? I lost him. We have to do a level one. Sarah, we got to do a level one.</t>
  </si>
  <si>
    <t>12-year-old male struck by a vehicle, unknown when he was struck by a vehicle, found in the roadway. He has a kind of a 50 degrees to the left of Little Susky where assisting ventilation is now. Is he awake? Is he alert? No. His UCS is about 9. 65 and a normal sinus rhythm. His last blood pressure was 155. His stomach is cycling now. He's dead at 57%.</t>
  </si>
  <si>
    <t>L1, 12y/o, Vitals(BP [??]/[??], HR [??], RR [??]), GCS:9, MOI(Ped Vs Car), struck by vehicle, mercy flight, 6 min away, ETA:6 min</t>
  </si>
  <si>
    <t>The transcript mentions a 12-year-old male who was struck by a vehicle and found in the roadway.</t>
  </si>
  <si>
    <t>['65 and a normal sinus rhythm']</t>
  </si>
  <si>
    <t>['last blood pressure was 155']</t>
  </si>
  <si>
    <t>['Is he awake? Is he alert? No.']</t>
  </si>
  <si>
    <t>['struck by a vehicle', 'found in the roadway']</t>
  </si>
  <si>
    <t>ED, Dr. Petrowski. This is Eric Murphy, paramedic on Mercy Flight 6. Okay. With a [REDACTED] struck by a vehicle, unknown when he was struck by a vehicle, found in the roadway. He has a kind of a 50 degrees to the left of Little Susky where assisting ventilation is now. Current vitals are as follows. I didn't hear. I'm sorry. Hold on, hold on. I didn't hear what you said. He was struck by a vehicle. Is he awake? Is he alert? No. His UCS is about 9. 9. Okay. Sorry. I couldn't hear you. You were clicking. Okay. To the left. All right. His vitals are as follows. 65 and a normal sinus rhythm. His last blood pressure was 155. His stomach is cycling now. He's dead. 57%. We loaded him. We loaded him. He's got an eye on the road. I'm hearing every other word. Okay. His UCS is 9. What's his stats? All right. How far are you guys? Hello? Hello? I lost him. We have to do a level one. Sarah, we got to do a level one.</t>
  </si>
  <si>
    <t>ED, Dr. Petrowski. This is Eric Murphy, paramedic on Mercy Flight 6. Okay. With a 12-year-old male struck by a vehicle, unknown when he was struck by a vehicle, found in the roadway. He has a kind of a 50 degrees to the left of Little Susky where assisting ventilation is now. Current vitals are as follows. I didn't hear. I'm sorry. Hold on, hold on. I didn't hear what you said. He was struck by a vehicle. Is he awake? Is he alert? No. His UCS is about 9. 9. Okay. Sorry. I couldn't hear you. You were clicking. Okay. To the left. All right. His vitals are as follows. [REDACTED]. His last blood pressure was 155. His stomach is cycling now. He's dead. 57%. We loaded him. We loaded him. He's got an eye on the road. I'm hearing every other word. Okay. His UCS is 9. What's his stats? All right. How far are you guys? Hello? Hello? I lost him. We have to do a level one. Sarah, we got to do a level one.</t>
  </si>
  <si>
    <t>ED, Dr. Petrowski. This is Eric Murphy, paramedic on Mercy Flight 6. Okay. With a 12-year-old male struck by a vehicle, unknown when he was struck by a vehicle, found in the roadway. He has a kind of a 50 degrees to the left of Little Susky where assisting ventilation is now. Current vitals are as follows. I didn't hear. I'm sorry. Hold on, hold on. I didn't hear what you said. He was struck by a vehicle. Is he awake? Is he alert? No. His UCS is about 9. 9. Okay. Sorry. I couldn't hear you. You were clicking. Okay. To the left. All right. His vitals are as follows. 65 and a normal sinus rhythm. His [REDACTED]. His stomach is cycling now. He's dead. 57%. We loaded him. We loaded him. He's got an eye on the road. I'm hearing every other word. Okay. His UCS is 9. What's his stats? All right. How far are you guys? Hello? Hello? I lost him. We have to do a level one. Sarah, we got to do a level one.</t>
  </si>
  <si>
    <t>ED, Dr. Petrowski. This is Eric Murphy, paramedic on Mercy Flight 6. Okay. With a 12-year-old male struck by a vehicle, unknown when he was struck by a vehicle, found in the roadway. He has a kind of a 50 degrees to the left of Little Susky where assisting ventilation is now. Current vitals are as follows. I didn't hear. I'm sorry. Hold on, hold on. I didn't hear what you said. He was struck by a vehicle. [REDACTED] His UCS is about 9. 9. Okay. Sorry. I couldn't hear you. You were clicking. Okay. To the left. All right. His vitals are as follows. 65 and a normal sinus rhythm. His last blood pressure was 155. His stomach is cycling now. He's dead. 57%. We loaded him. We loaded him. He's got an eye on the road. I'm hearing every other word. Okay. His UCS is 9. What's his stats? All right. How far are you guys? Hello? Hello? I lost him. We have to do a level one. Sarah, we got to do a level one.</t>
  </si>
  <si>
    <t>ED, Dr. Petrowski. This is Eric Murphy, paramedic on Mercy Flight 6. Okay. With a 12-year-old male [REDACTED], unknown when he was [REDACTED], [REDACTED]. He has a kind of a 50 degrees to the left of Little Susky where assisting ventilation is now. Current vitals are as follows. I didn't hear. I'm sorry. Hold on, hold on. I didn't hear what you said. He was [REDACTED]. Is he awake? Is he alert? No. His UCS is about 9. 9. Okay. Sorry. I couldn't hear you. You were clicking. Okay. To the left. All right. His vitals are as follows. 65 and a normal sinus rhythm. His last blood pressure was 155. His stomach is cycling now. He's dead. 57%. We loaded him. We loaded him. He's got an eye on the road. I'm hearing every other word. Okay. His UCS is 9. What's his stats? All right. How far are you guys? Hello? Hello? I lost him. We have to do a level one. Sarah, we got to do a level one.</t>
  </si>
  <si>
    <t>Hi, this is Michael Hever, AMR Paramedic 549. I'm bringing in to you an 8-year-old boy who fell about 10 to 15 feet out of a tree, has a left elbow dislocation, no LOC, AO times 4, GCS is 15, and not complaining of any other pain other than the elbow. His last set of vitals is 111 over 73, 94 in the heart rate, and 100% on room air. He's got a cervical collar placed, and we should be there in about 10 to 15 minutes. All right. Thank you so much. Okay. Thank you. Mm-hmm.</t>
  </si>
  <si>
    <t>8-year-old boy who fell about 10 to 15 feet out of a tree, has a left elbow dislocation, no LOC, AO times 4, GCS is 15. is last set of vitals is 111 over 73, 94 in the heart rate, and 100% on room air.</t>
  </si>
  <si>
    <t>L2, 8y/o, Vitals(BP 111/73, HR 94, RR 14), GCS:15, MOI(Fall&gt;10 or 3x Child height), Fall 15 ft from tree. Elbow deformity. No LOC, ETA:15 min</t>
  </si>
  <si>
    <t>Fall from tree</t>
  </si>
  <si>
    <t>The transcript states the boy "fell about 10 to 15 feet out of a tree."</t>
  </si>
  <si>
    <t>['8-year-old boy']</t>
  </si>
  <si>
    <t>['94 in the heart rate']</t>
  </si>
  <si>
    <t>['111 over 73']</t>
  </si>
  <si>
    <t>['AO times 4']</t>
  </si>
  <si>
    <t>['fell about 10 to 15 feet out of a tree']</t>
  </si>
  <si>
    <t>Hi, this is Michael Hever, AMR Paramedic 549. I'm bringing in to you an [REDACTED] who fell about 10 to 15 feet out of a tree, has a left elbow dislocation, no LOC, AO times 4, GCS is 15, and not complaining of any other pain other than the elbow. His last set of vitals is 111 over 73, 94 in the heart rate, and 100% on room air. He's got a cervical collar placed, and we should be there in about 10 to 15 minutes. All right. Thank you so much. Okay. Thank you. Mm-hmm.</t>
  </si>
  <si>
    <t>Hi, this is Michael Hever, AMR Paramedic 549. I'm bringing in to you an 8-year-old boy who fell about 10 to 15 feet out of a tree, has a left elbow dislocation, no LOC, AO times 4, GCS is 15, and not complaining of any other pain other than the elbow. His last set of vitals is 111 over 73, [REDACTED], and 100% on room air. He's got a cervical collar placed, and we should be there in about 10 to 15 minutes. All right. Thank you so much. Okay. Thank you. Mm-hmm.</t>
  </si>
  <si>
    <t>Hi, this is Michael Hever, AMR Paramedic 549. I'm bringing in to you an 8-year-old boy who fell about 10 to 15 feet out of a tree, has a left elbow dislocation, no LOC, AO times 4, GCS is 15, and not complaining of any other pain other than the elbow. His last set of vitals is [REDACTED], 94 in the heart rate, and 100% on room air. He's got a cervical collar placed, and we should be there in about 10 to 15 minutes. All right. Thank you so much. Okay. Thank you. Mm-hmm.</t>
  </si>
  <si>
    <t>Hi, this is Michael Hever, AMR Paramedic 549. I'm bringing in to you an 8-year-old boy who fell about 10 to 15 feet out of a tree, has a left elbow dislocation, no LOC, [REDACTED], GCS is 15, and not complaining of any other pain other than the elbow. His last set of vitals is 111 over 73, 94 in the heart rate, and 100% on room air. He's got a cervical collar placed, and we should be there in about 10 to 15 minutes. All right. Thank you so much. Okay. Thank you. Mm-hmm.</t>
  </si>
  <si>
    <t>Hi, this is Michael Hever, AMR Paramedic 549. I'm bringing in to you an 8-year-old boy who [REDACTED], has a left elbow dislocation, no LOC, AO times 4, GCS is 15, and not complaining of any other pain other than the elbow. His last set of vitals is 111 over 73, 94 in the heart rate, and 100% on room air. He's got a cervical collar placed, and we should be there in about 10 to 15 minutes. All right. Thank you so much. Okay. Thank you. Mm-hmm.</t>
  </si>
  <si>
    <t>Hi, Doc. It's Seth, Advanced Namer, 280. I got a 14-year-old male who was struck by a vehicle while riding a bicycle. He has a head injury, positive LOC, some minor controlled bleeding of the nose, and road rash everywhere else. We're about nine minutes out, and vitals are ready. Let's have him. I'm sorry? Vitals, you got him? Yeah, 107 over 71. Okay. Heart rate, 64. All right. SPO, 299 on room air. All right. You got a GCS? Yeah, it's about 14. He's kind of lethargic at this time. So, taking off for orientation, you think, or commands? Yeah, orientation. Okay. And was he hominid? Yeah. No, no helmet. Okay. They can't give us a speed for the vehicle, but I guess he was, as they said, slightly bumped by the car and fell off his bike. But... Okay. We will be on the on-lookup for you guys. We'll have to reach in the trauma. All right. Thank you. Thanks.</t>
  </si>
  <si>
    <t>14-year-old male who was struck by a vehicle while riding a bicycle. He has a head injury, positive LOC, some minor controlled bleeding of the nose, and road rash everywhere else. 107 over 71. Okay. Heart rate, 64. All right. SPO, 299 on room air. You got a GCS? Yeah, it's about 14.</t>
  </si>
  <si>
    <t>L2, 14y/o, Vitals(BP 107/71, HR 64, RR [??]), GCS:14, MOI(Ped Vs Car), on bike, hit by car, loc, no helmet, road rash, nasal injury, ETA:7 min</t>
  </si>
  <si>
    <t>Struck by a vehicle while riding a bicycle</t>
  </si>
  <si>
    <t>The transcript clearly states the patient was "struck by a vehicle while riding a bicycle."</t>
  </si>
  <si>
    <t>['Heart rate, 64']</t>
  </si>
  <si>
    <t>['107 over 71']</t>
  </si>
  <si>
    <t>Hi, Doc. It's Seth, Advanced Namer, 280. I got a [REDACTED] who was struck by a vehicle while riding a bicycle. He has a head injury, positive LOC, some minor controlled bleeding of the nose, and road rash everywhere else. We're about nine minutes out, and vitals are ready. Let's have him. I'm sorry? Vitals, you got him? Yeah, 107 over 71. Okay. Heart rate, 64. All right. SPO, 299 on room air. All right. You got a GCS? Yeah, it's about 14. He's kind of lethargic at this time. So, taking off for orientation, you think, or commands? Yeah, orientation. Okay. And was he hominid? Yeah. No, no helmet. Okay. They can't give us a speed for the vehicle, but I guess he was, as they said, slightly bumped by the car and fell off his bike. But... Okay. We will be on the on-lookup for you guys. We'll have to reach in the trauma. All right. Thank you. Thanks.</t>
  </si>
  <si>
    <t>Hi, Doc. It's Seth, Advanced Namer, 280. I got a 14-year-old male who was struck by a vehicle while riding a bicycle. He has a head injury, positive LOC, some minor controlled bleeding of the nose, and road rash everywhere else. We're about nine minutes out, and vitals are ready. Let's have him. I'm sorry? Vitals, you got him? Yeah, 107 over 71. Okay. [REDACTED]. All right. SPO, 299 on room air. All right. You got a GCS? Yeah, it's about 14. He's kind of lethargic at this time. So, taking off for orientation, you think, or commands? Yeah, orientation. Okay. And was he hominid? Yeah. No, no helmet. Okay. They can't give us a speed for the vehicle, but I guess he was, as they said, slightly bumped by the car and fell off his bike. But... Okay. We will be on the on-lookup for you guys. We'll have to reach in the trauma. All right. Thank you. Thanks.</t>
  </si>
  <si>
    <t>Hi, Doc. It's Seth, Advanced Namer, 280. I got a 14-year-old male who was struck by a vehicle while riding a bicycle. He has a head injury, positive LOC, some minor controlled bleeding of the nose, and road rash everywhere else. We're about nine minutes out, and vitals are ready. Let's have him. I'm sorry? Vitals, you got him? Yeah, [REDACTED]. Okay. Heart rate, 64. All right. SPO, 299 on room air. All right. You got a GCS? Yeah, it's about 14. He's kind of lethargic at this time. So, taking off for orientation, you think, or commands? Yeah, orientation. Okay. And was he hominid? Yeah. No, no helmet. Okay. They can't give us a speed for the vehicle, but I guess he was, as they said, slightly bumped by the car and fell off his bike. But... Okay. We will be on the on-lookup for you guys. We'll have to reach in the trauma. All right. Thank you. Thanks.</t>
  </si>
  <si>
    <t>Jones here, Dr. Shadow. Hey, this is Betsy. I'm just calling from UCM Cicicoco with the four-month-old. Okay. Intubated. Palsas and perfusion are good. He is intubated with a 3-0 at 11. They said the tube looked good. I'm going to have one of the nurses bring in the x-ray just so we can double-check. He does have bilateral breath sounds, though. They were bagging him when we came in, so we just put him on some settings. What did you put him on, Jen? PEEP of 5, rate of 30, tidal volume of 45, 40%. He's setting 100. Blood pressure is 101 over 51, heart rate 135, respiratory rate 30. They've just been spot-dosing him with PRN fentanyl for sedation, like, as needed. He's, like, minimally responsive to pain. Like, he kind of, like, bugs on me. He doesn't, like, really react. But then I really got to, like, pinch down on his fingers. And it seems almost a little reflexatory to me. Pupils are still pinpoint. Fontanel feels a little full to me. He does have the bilateral. They found bilateral bleeds on his head CT. The rest of the scans they said were fine. They have not given any seizure prophylaxis. I was going to see if you wanted anything. Yeah, give 60 per kilo of Keppra. Okay. I'm just finishing up an ISAT, just finishing up running. I did an initial one. His gas looked okay. He was 729. But his CO2 is 50. His potassium is reading 7.8. And his glucose is reading 54. So I am just repeating it just to make sure, like, it wasn't. So the new gas, sorry, 7.20 CO2. Okay. Okay. Okay. Okay. Base excess negative for bicarb 22.4. CCO2 24. O2 percent is 80. Sodium 139. Potassium 4.4. ICAL is 5.8. Glucose 63. Hemoglobin 8.8. And hematocrit 26. Okay. I would. So. Generally, I would just grab him and go. So. Okay. Whatever he's got now, just pack him up and get up, moving with him. Okay. If you can run the cap right in route, I would start him on some D10F maintenance in route. Okay. And then if, because they did all the imaging anyway, if we can get those images so that we don't have to repeat all of them here, that'd be ideal. Yeah, I have a deck. Awesome. Then do you have a pressure for him? Like a blood pressure? Yeah. 101 over 51. Okay. And what do you anticipate ETA? The flight back is like 30. The flight back is 15 minutes, so probably we'll be back in less than 30 minutes. So 25. Okay. Yeah. I can. I'll call charge to like right as we're loading up to just so we have a better ETA, but. Easy. And then I'll have them let you know. He's here next to me, so 25 is good. Okay. We'll just go with that. Cool. Thanks. All right. Sounds good. All right. Bye. Bye. Bye.</t>
  </si>
  <si>
    <t>four-month-old. Intubated. He's setting 100. Blood pressure is 101 over 51, heart rate 135, respiratory rate 30. Pupils are still pinpoint. Fontanel feels a little full to me. He does have the bilateral. They found bilateral bleeds on his head CT. 101 over 51.</t>
  </si>
  <si>
    <t>L1, 4m/o, Vitals(BP 101/51, HR 135, RR [??]), GCS:3, MOI(Other), fall from 4-5 feet, intubated, b/l subdural on CT, ETA:25 min</t>
  </si>
  <si>
    <t>The transcript does not mention how the injuries occurred, only the medical condition and treatment of the patient.</t>
  </si>
  <si>
    <t>['four-month-old']</t>
  </si>
  <si>
    <t>['heart rate 135']</t>
  </si>
  <si>
    <t>['respiratory rate 30']</t>
  </si>
  <si>
    <t>Jones here, Dr. Shadow. Hey, this is Betsy. I'm just calling from UCM Cicicoco with the [REDACTED]. Okay. Intubated. Palsas and perfusion are good. He is intubated with a 3-0 at 11. They said the tube looked good. I'm going to have one of the nurses bring in the x-ray just so we can double-check. He does have bilateral breath sounds, though. They were bagging him when we came in, so we just put him on some settings. What did you put him on, Jen? PEEP of 5, rate of 30, tidal volume of 45, 40%. He's setting 100. Blood pressure is 101 over 51, heart rate 135, respiratory rate 30. They've just been spot-dosing him with PRN fentanyl for sedation, like, as needed. He's, like, minimally responsive to pain. Like, he kind of, like, bugs on me. He doesn't, like, really react. But then I really got to, like, pinch down on his fingers. And it seems almost a little reflexatory to me. Pupils are still pinpoint. Fontanel feels a little full to me. He does have the bilateral. They found bilateral bleeds on his head CT. The rest of the scans they said were fine. They have not given any seizure prophylaxis. I was going to see if you wanted anything. Yeah, give 60 per kilo of Keppra. Okay. I'm just finishing up an ISAT, just finishing up running. I did an initial one. His gas looked okay. He was 729. But his CO2 is 50. His potassium is reading 7.8. And his glucose is reading 54. So I am just repeating it just to make sure, like, it wasn't. So the new gas, sorry, 7.20 CO2. Okay. Okay. Okay. Okay. Base excess negative for bicarb 22.4. CCO2 24. O2 percent is 80. Sodium 139. Potassium 4.4. ICAL is 5.8. Glucose 63. Hemoglobin 8.8. And hematocrit 26. Okay. I would. So. Generally, I would just grab him and go. So. Okay. Whatever he's got now, just pack him up and get up, moving with him. Okay. If you can run the cap right in route, I would start him on some D10F maintenance in route. Okay. And then if, because they did all the imaging anyway, if we can get those images so that we don't have to repeat all of them here, that'd be ideal. Yeah, I have a deck. Awesome. Then do you have a pressure for him? Like a blood pressure? Yeah. 101 over 51. Okay. And what do you anticipate ETA? The flight back is like 30. The flight back is 15 minutes, so probably we'll be back in less than 30 minutes. So 25. Okay. Yeah. I can. I'll call charge to like right as we're loading up to just so we have a better ETA, but. Easy. And then I'll have them let you know. He's here next to me, so 25 is good. Okay. We'll just go with that. Cool. Thanks. All right. Sounds good. All right. Bye. Bye. Bye.</t>
  </si>
  <si>
    <t>Jones here, Dr. Shadow. Hey, this is Betsy. I'm just calling from UCM Cicicoco with the four-month-old. Okay. Intubated. Palsas and perfusion are good. He is intubated with a 3-0 at 11. They said the tube looked good. I'm going to have one of the nurses bring in the x-ray just so we can double-check. He does have bilateral breath sounds, though. They were bagging him when we came in, so we just put him on some settings. What did you put him on, Jen? PEEP of 5, rate of 30, tidal volume of 45, 40%. He's setting 100. Blood pressure is 101 over 51, [REDACTED], respiratory rate 30. They've just been spot-dosing him with PRN fentanyl for sedation, like, as needed. He's, like, minimally responsive to pain. Like, he kind of, like, bugs on me. He doesn't, like, really react. But then I really got to, like, pinch down on his fingers. And it seems almost a little reflexatory to me. Pupils are still pinpoint. Fontanel feels a little full to me. He does have the bilateral. They found bilateral bleeds on his head CT. The rest of the scans they said were fine. They have not given any seizure prophylaxis. I was going to see if you wanted anything. Yeah, give 60 per kilo of Keppra. Okay. I'm just finishing up an ISAT, just finishing up running. I did an initial one. His gas looked okay. He was 729. But his CO2 is 50. His potassium is reading 7.8. And his glucose is reading 54. So I am just repeating it just to make sure, like, it wasn't. So the new gas, sorry, 7.20 CO2. Okay. Okay. Okay. Okay. Base excess negative for bicarb 22.4. CCO2 24. O2 percent is 80. Sodium 139. Potassium 4.4. ICAL is 5.8. Glucose 63. Hemoglobin 8.8. And hematocrit 26. Okay. I would. So. Generally, I would just grab him and go. So. Okay. Whatever he's got now, just pack him up and get up, moving with him. Okay. If you can run the cap right in route, I would start him on some D10F maintenance in route. Okay. And then if, because they did all the imaging anyway, if we can get those images so that we don't have to repeat all of them here, that'd be ideal. Yeah, I have a deck. Awesome. Then do you have a pressure for him? Like a blood pressure? Yeah. 101 over 51. Okay. And what do you anticipate ETA? The flight back is like 30. The flight back is 15 minutes, so probably we'll be back in less than 30 minutes. So 25. Okay. Yeah. I can. I'll call charge to like right as we're loading up to just so we have a better ETA, but. Easy. And then I'll have them let you know. He's here next to me, so 25 is good. Okay. We'll just go with that. Cool. Thanks. All right. Sounds good. All right. Bye. Bye. Bye.</t>
  </si>
  <si>
    <t>Jones here, Dr. Shadow. Hey, this is Betsy. I'm just calling from UCM Cicicoco with the four-month-old. Okay. Intubated. Palsas and perfusion are good. He is intubated with a 3-0 at 11. They said the tube looked good. I'm going to have one of the nurses bring in the x-ray just so we can double-check. He does have bilateral breath sounds, though. They were bagging him when we came in, so we just put him on some settings. What did you put him on, Jen? PEEP of 5, rate of 30, tidal volume of 45, 40%. He's setting 100. Blood pressure is 101 over 51, heart rate 135, [REDACTED]. They've just been spot-dosing him with PRN fentanyl for sedation, like, as needed. He's, like, minimally responsive to pain. Like, he kind of, like, bugs on me. He doesn't, like, really react. But then I really got to, like, pinch down on his fingers. And it seems almost a little reflexatory to me. Pupils are still pinpoint. Fontanel feels a little full to me. He does have the bilateral. They found bilateral bleeds on his head CT. The rest of the scans they said were fine. They have not given any seizure prophylaxis. I was going to see if you wanted anything. Yeah, give 60 per kilo of Keppra. Okay. I'm just finishing up an ISAT, just finishing up running. I did an initial one. His gas looked okay. He was 729. But his CO2 is 50. His potassium is reading 7.8. And his glucose is reading 54. So I am just repeating it just to make sure, like, it wasn't. So the new gas, sorry, 7.20 CO2. Okay. Okay. Okay. Okay. Base excess negative for bicarb 22.4. CCO2 24. O2 percent is 80. Sodium 139. Potassium 4.4. ICAL is 5.8. Glucose 63. Hemoglobin 8.8. And hematocrit 26. Okay. I would. So. Generally, I would just grab him and go. So. Okay. Whatever he's got now, just pack him up and get up, moving with him. Okay. If you can run the cap right in route, I would start him on some D10F maintenance in route. Okay. And then if, because they did all the imaging anyway, if we can get those images so that we don't have to repeat all of them here, that'd be ideal. Yeah, I have a deck. Awesome. Then do you have a pressure for him? Like a blood pressure? Yeah. 101 over 51. Okay. And what do you anticipate ETA? The flight back is like 30. The flight back is 15 minutes, so probably we'll be back in less than 30 minutes. So 25. Okay. Yeah. I can. I'll call charge to like right as we're loading up to just so we have a better ETA, but. Easy. And then I'll have them let you know. He's here next to me, so 25 is good. Okay. We'll just go with that. Cool. Thanks. All right. Sounds good. All right. Bye. Bye. Bye.</t>
  </si>
  <si>
    <t>Children's Department, this is Dr. Ruano. Alice, don't go anywhere yet. Hi, Doc. JJ with Lincoln Ambulance A&amp;T. I have a 16-year-old female involved in what looks to be like a head-on accident at about 45 to 50 miles an hour. She's complaining of abdominal pain in all four quadrants. I'm sorry, in those two lower quadrants, possibly a left broken ankle and some neck and other abdominal pain from the seatbelt. The vitals are, what is it again, Alex? 83 over 55 for the blood pressure. 83 over 55 for the blood pressure. 84 for the heart rate. 98 room there. And GCS is 15? Yep. No loss of consciousness. She's probably working on an IV. Okay. Does she have, like, anything on her abdomen, like any bruising, seatbelt signs? I don't see. I don't see any bruising, but it's soft and tender. But when I press on it, she tries to jump off the gurney on the lower abdomen. Because the upper abdomen feels like it's just on fire. Okay. Okay. And what's your ETA? 15, 20 minutes. Okay. Sounds good. We'll see you when you get here. All right. Thanks. Thank you.</t>
  </si>
  <si>
    <t>16-year-old female involved in what looks to be like a head-on accident at about 45 to 50 miles an hour. complaining of abdominal pain in those two lower quadrants, possibly a left broken ankle and some neck and other abdominal pain from the seatbelt. 83 over 55 for the blood pressure. 84 for the heart rate. 98 room there. And GCS is 15? Yep. No loss of consciousness.</t>
  </si>
  <si>
    <t>L2, 16y/o, Vitals(BP 83/55, HR 84, RR 20), GCS:15, MOI(MVC), head on collision, abd pain, L ankle inj. No LOC, ETA:15 min</t>
  </si>
  <si>
    <t>Head-on accident</t>
  </si>
  <si>
    <t>The transcript mentions a 16-year-old female involved in a head-on accident at 45 to 50 miles an hour.</t>
  </si>
  <si>
    <t>['84 for the heart rate']</t>
  </si>
  <si>
    <t>['83 over 55 for the blood pressure', '83 over 55 for the blood pressure']</t>
  </si>
  <si>
    <t>['No loss of consciousness']</t>
  </si>
  <si>
    <t>['head-on accident at about 45 to 50 miles an hour']</t>
  </si>
  <si>
    <t>Children's Department, this is Dr. Ruano. Alice, don't go anywhere yet. Hi, Doc. JJ with Lincoln Ambulance A&amp;T. I have a [REDACTED] involved in what looks to be like a head-on accident at about 45 to 50 miles an hour. She's complaining of abdominal pain in all four quadrants. I'm sorry, in those two lower quadrants, possibly a left broken ankle and some neck and other abdominal pain from the seatbelt. The vitals are, what is it again, Alex? 83 over 55 for the blood pressure. 83 over 55 for the blood pressure. 84 for the heart rate. 98 room there. And GCS is 15? Yep. No loss of consciousness. She's probably working on an IV. Okay. Does she have, like, anything on her abdomen, like any bruising, seatbelt signs? I don't see. I don't see any bruising, but it's soft and tender. But when I press on it, she tries to jump off the gurney on the lower abdomen. Because the upper abdomen feels like it's just on fire. Okay. Okay. And what's your ETA? 15, 20 minutes. Okay. Sounds good. We'll see you when you get here. All right. Thanks. Thank you.</t>
  </si>
  <si>
    <t>Children's Department, this is Dr. Ruano. Alice, don't go anywhere yet. Hi, Doc. JJ with Lincoln Ambulance A&amp;T. I have a 16-year-old female involved in what looks to be like a head-on accident at about 45 to 50 miles an hour. She's complaining of abdominal pain in all four quadrants. I'm sorry, in those two lower quadrants, possibly a left broken ankle and some neck and other abdominal pain from the seatbelt. The vitals are, what is it again, Alex? 83 over 55 for the blood pressure. 83 over 55 for the blood pressure. [REDACTED]. 98 room there. And GCS is 15? Yep. No loss of consciousness. She's probably working on an IV. Okay. Does she have, like, anything on her abdomen, like any bruising, seatbelt signs? I don't see. I don't see any bruising, but it's soft and tender. But when I press on it, she tries to jump off the gurney on the lower abdomen. Because the upper abdomen feels like it's just on fire. Okay. Okay. And what's your ETA? 15, 20 minutes. Okay. Sounds good. We'll see you when you get here. All right. Thanks. Thank you.</t>
  </si>
  <si>
    <t>Children's Department, this is Dr. Ruano. Alice, don't go anywhere yet. Hi, Doc. JJ with Lincoln Ambulance A&amp;T. I have a 16-year-old female involved in what looks to be like a head-on accident at about 45 to 50 miles an hour. She's complaining of abdominal pain in all four quadrants. I'm sorry, in those two lower quadrants, possibly a left broken ankle and some neck and other abdominal pain from the seatbelt. The vitals are, what is it again, Alex? [REDACTED]. [REDACTED]. 84 for the heart rate. 98 room there. And GCS is 15? Yep. No loss of consciousness. She's probably working on an IV. Okay. Does she have, like, anything on her abdomen, like any bruising, seatbelt signs? I don't see. I don't see any bruising, but it's soft and tender. But when I press on it, she tries to jump off the gurney on the lower abdomen. Because the upper abdomen feels like it's just on fire. Okay. Okay. And what's your ETA? 15, 20 minutes. Okay. Sounds good. We'll see you when you get here. All right. Thanks. Thank you.</t>
  </si>
  <si>
    <t>Children's Department, this is Dr. Ruano. Alice, don't go anywhere yet. Hi, Doc. JJ with Lincoln Ambulance A&amp;T. I have a 16-year-old female involved in what looks to be like a head-on accident at about 45 to 50 miles an hour. She's complaining of abdominal pain in all four quadrants. I'm sorry, in those two lower quadrants, possibly a left broken ankle and some neck and other abdominal pain from the seatbelt. The vitals are, what is it again, Alex? 83 over 55 for the blood pressure. 83 over 55 for the blood pressure. 84 for the heart rate. 98 room there. And GCS is 15? Yep. [REDACTED]. She's probably working on an IV. Okay. Does she have, like, anything on her abdomen, like any bruising, seatbelt signs? I don't see. I don't see any bruising, but it's soft and tender. But when I press on it, she tries to jump off the gurney on the lower abdomen. Because the upper abdomen feels like it's just on fire. Okay. Okay. And what's your ETA? 15, 20 minutes. Okay. Sounds good. We'll see you when you get here. All right. Thanks. Thank you.</t>
  </si>
  <si>
    <t>Children's Department, this is Dr. Ruano. Alice, don't go anywhere yet. Hi, Doc. JJ with Lincoln Ambulance A&amp;T. I have a 16-year-old female involved in what looks to be like a [REDACTED]. She's complaining of abdominal pain in all four quadrants. I'm sorry, in those two lower quadrants, possibly a left broken ankle and some neck and other abdominal pain from the seatbelt. The vitals are, what is it again, Alex? 83 over 55 for the blood pressure. 83 over 55 for the blood pressure. 84 for the heart rate. 98 room there. And GCS is 15? Yep. No loss of consciousness. She's probably working on an IV. Okay. Does she have, like, anything on her abdomen, like any bruising, seatbelt signs? I don't see. I don't see any bruising, but it's soft and tender. But when I press on it, she tries to jump off the gurney on the lower abdomen. Because the upper abdomen feels like it's just on fire. Okay. Okay. And what's your ETA? 15, 20 minutes. Okay. Sounds good. We'll see you when you get here. All right. Thanks. Thank you.</t>
  </si>
  <si>
    <t>Yep. Dr. Boughton, can I help you? Hi, this is a paramedic with AMR. Here with a 13-year-old male. He has one single puncture wound from a knife to the left chest, stabbed by an acquaintance. It doesn't look like it's too deep. Low blood pressure is good. Oxygen level is good. I just want to give you guys a heads up. We'll be there in like four or five minutes, three or four probably. Okay. And what kind of knife was it? It was like a pocket knife. All right. And he got stabbed with it or just accidentally cut? He did. No, it was intentional by an acquaintance. Okay. Sounds good. We'll see you when you get here. Thanks. You bet. Thank you. Bye.</t>
  </si>
  <si>
    <t>13-year-old male. single puncture wound from a knife to the left chest, blood pressure is good. Oxygen level is good.</t>
  </si>
  <si>
    <t>, L1, 13y/o, Vitals(BP [??]/[??], HR [??], RR [??]), GCS:15, MOI(Penetrating Injury), stabbed in chest, ETA:2 min</t>
  </si>
  <si>
    <t>Stab wound to the left chest</t>
  </si>
  <si>
    <t>The transcript describes a 13-year-old male with a single puncture wound from a knife to the left chest, indicating a stabbing incident.</t>
  </si>
  <si>
    <t>['Low blood pressure is good']</t>
  </si>
  <si>
    <t>Yep. Dr. Boughton, can I help you? Hi, this is a paramedic with AMR. Here with a [REDACTED]. He has one single puncture wound from a knife to the left chest, stabbed by an acquaintance. It doesn't look like it's too deep. Low blood pressure is good. Oxygen level is good. I just want to give you guys a heads up. We'll be there in like four or five minutes, three or four probably. Okay. And what kind of knife was it? It was like a pocket knife. All right. And he got stabbed with it or just accidentally cut? He did. No, it was intentional by an acquaintance. Okay. Sounds good. We'll see you when you get here. Thanks. You bet. Thank you. Bye.</t>
  </si>
  <si>
    <t>Yep. Dr. Boughton, can I help you? Hi, this is a paramedic with AMR. Here with a 13-year-old male. He has one single puncture wound from a knife to the left chest, stabbed by an acquaintance. It doesn't look like it's too deep. [REDACTED]. Oxygen level is good. I just want to give you guys a heads up. We'll be there in like four or five minutes, three or four probably. Okay. And what kind of knife was it? It was like a pocket knife. All right. And he got stabbed with it or just accidentally cut? He did. No, it was intentional by an acquaintance. Okay. Sounds good. We'll see you when you get here. Thanks. You bet. Thank you. Bye.</t>
  </si>
  <si>
    <t>Yep. Dr. Boughton, can I help you? Hi, this is a paramedic with AMR. Here with a 13-year-old male. He has [REDACTED], [REDACTED]. It doesn't look like it's too deep. Low blood pressure is good. Oxygen level is good. I just want to give you guys a heads up. We'll be there in like four or five minutes, three or four probably. Okay. And what kind of knife was it? It was like a [REDACTED]. All right. And he got stabbed with it or just accidentally cut? He did. No, it was [REDACTED]. Okay. Sounds good. We'll see you when you get here. Thanks. You bet. Thank you. Bye.</t>
  </si>
  <si>
    <t>Children's Emergency Department, this is Dr. Ruano. Doctor, this is Bob McLean. I'm a paramedic with AMR. Hi, how are you? We're in your, well, not well. We're in your facility with a, we believe, 17-year-old male who was run over by a garbage truck. Okay. The patient has obvious pelvis and lower extremity deformities, altered mental status. He does have a heat C collar in place. He's tacky on the monitor, rated 180s. Okay. I am attempting a blood pressure and do what I can in route. We're probably four to five. Four to five minutes out. Can I get a GCS? Yeah. Let's say seven. Seven, GCS of seven. Okay. And I do need a blood pressure just to page it out as a trauma. Okay. We're attempting it. I'm attempting it. Yes. I'm just going to have to try it again. But hit the button. Just we've got some involuntary movement going on. Okay. So I'm having a difficult time getting a blood pressure. Can I pass it? Is that going? Like that you can give her the blood pressure when you get it while I put the page out? Thank you. Sure. Oh. Hi, this is Crystal. It's Brian. Hey. I can try a manual. Nope. Just. Olivia, I need you guys in there getting set up for a 17 year old trauma. And we need the airway box because the GCS is seven. Yeah. He's got. Obvious belly. It's not. It looks like it ran over him. Well, all this and upper extremities. So is he currently currently being bagged right now? No, he's not currently breathing on his own. Currently breathing on his own. Belly's very low. Yep. Rate of 24. Rate of 24. No obvious chest injuries. The injuries are right at his. Navel area and down. Below her for the injury. She's attempting right now. Heart rate's 59. Blood pressure's still there. Heart rate's 59 or 69? No, it was 180. It fell off his finger. That's all. Okay. All right. No, it just fell off. No. 180. Yeah. Who the hell is that? Sorry. That's my wife. She's a nurse. She's a nurse. She's a nurse. She's a nurse. She's a nurse. She's a nurse. She's a nurse. She's a nurse. She's a nurse. She's a nurse. Good morning. Heart rate's still there. Hi. Everybody. Okay. Okay. Okay. Okay. 17-year-olds with a GCS of seven. I need everybody back there. So, sorry. Yep. We need the airway box. So, oh, my God. Okay. We're going with a blood pressure. The rate of pressure is 90 over 60, let's say. Okay. Pulses are what? I mean, uppers are okay. Okay. Okay. Okay. Okay. Okay. Okay. The pulses? Yeah. His pulse is 180. Okay. No, no. I meant, like, physically feeling pulses. Like, does he have pulses in his lower? Yes. Okay. Yes. Yes. Yes. Well, no, not in his lower extremities. I'm having a difficult time going to. We're here. Okay. Okay. All right. I'll meet you at the door. All right. Bye. Bye. Bye. Bye. Bye. Bye. Bye. Bye. Bye. Bye. Bye. Bye. Bye. Bye. Bye. Bye. Bye. Bye. Bye.</t>
  </si>
  <si>
    <t>17-year-old male run over by a garbage truck. obvious pelvis and lower extremity deformities, altered mental status. Rated 180s</t>
  </si>
  <si>
    <t>L1, 17y/o, Vitals(BP [??]/[??], HR 180, RR 24), GCS:6, MOI(Ped Vs Car), run over by garbage truck, obvious LE deformities, and lower abd, ETA:3 min</t>
  </si>
  <si>
    <t>Run over by a garbage truck</t>
  </si>
  <si>
    <t>The transcript explicitly states the patient was run over by a garbage truck.</t>
  </si>
  <si>
    <t>['17-year-old male', '17 year old trauma', '17-year-olds']</t>
  </si>
  <si>
    <t>['tacky on the monitor, rated 180s', "Heart rate's 59", "Heart rate's 59 or 69? No, it was 180", "Heart rate's still there", 'His pulse is 180']</t>
  </si>
  <si>
    <t>Children's Emergency Department, this is Dr. Ruano. Doctor, this is Bob McLean. I'm a paramedic with AMR. Hi, how are you? We're in your, well, not well. We're in your facility with a, we believe, [REDACTED] who was run over by a garbage truck. Okay. The patient has obvious pelvis and lower extremity deformities, altered mental status. He does have a heat C collar in place. He's tacky on the monitor, rated 180s. Okay. I am attempting a blood pressure and do what I can in route. We're probably four to five. Four to five minutes out. Can I get a GCS? Yeah. Let's say seven. Seven, GCS of seven. Okay. And I do need a blood pressure just to page it out as a trauma. Okay. We're attempting it. I'm attempting it. Yes. I'm just going to have to try it again. But hit the button. Just we've got some involuntary movement going on. Okay. So I'm having a difficult time getting a blood pressure. Can I pass it? Is that going? Like that you can give her the blood pressure when you get it while I put the page out? Thank you. Sure. Oh. Hi, this is Crystal. It's Brian. Hey. I can try a manual. Nope. Just. Olivia, I need you guys in there getting set up for a [REDACTED]. And we need the airway box because the GCS is seven. Yeah. He's got. Obvious belly. It's not. It looks like it ran over him. Well, all this and upper extremities. So is he currently currently being bagged right now? No, he's not currently breathing on his own. Currently breathing on his own. Belly's very low. Yep. Rate of 24. Rate of 24. No obvious chest injuries. The injuries are right at his. Navel area and down. Below her for the injury. She's attempting right now. Heart rate's 59. Blood pressure's still there. Heart rate's 59 or 69? No, it was 180. It fell off his finger. That's all. Okay. All right. No, it just fell off. No. 180. Yeah. Who the hell is that? Sorry. That's my wife. She's a nurse. She's a nurse. She's a nurse. She's a nurse. She's a nurse. She's a nurse. She's a nurse. She's a nurse. She's a nurse. She's a nurse. Good morning. Heart rate's still there. Hi. Everybody. Okay. Okay. Okay. Okay. [REDACTED] with a GCS of seven. I need everybody back there. So, sorry. Yep. We need the airway box. So, oh, my God. Okay. We're going with a blood pressure. The rate of pressure is 90 over 60, let's say. Okay. Pulses are what? I mean, uppers are okay. Okay. Okay. Okay. Okay. Okay. Okay. The pulses? Yeah. His pulse is 180. Okay. No, no. I meant, like, physically feeling pulses. Like, does he have pulses in his lower? Yes. Okay. Yes. Yes. Yes. Well, no, not in his lower extremities. I'm having a difficult time going to. We're here. Okay. Okay. All right. I'll meet you at the door. All right. Bye. Bye. Bye. Bye. Bye. Bye. Bye. Bye. Bye. Bye. Bye. Bye. Bye. Bye. Bye. Bye. Bye. Bye. Bye.</t>
  </si>
  <si>
    <t>Children's Emergency Department, this is Dr. Ruano. Doctor, this is Bob McLean. I'm a paramedic with AMR. Hi, how are you? We're in your, well, not well. We're in your facility with a, we believe, 17-year-old male who was run over by a garbage truck. Okay. The patient has obvious pelvis and lower extremity deformities, [REDACTED]. He does have a heat C collar in place. He's tacky on the monitor, rated 180s. Okay. I am attempting a blood pressure and do what I can in route. We're probably four to five. Four to five minutes out. Can I get a GCS? Yeah. Let's say seven. Seven, GCS of seven. Okay. And I do need a blood pressure just to page it out as a trauma. Okay. We're attempting it. I'm attempting it. Yes. I'm just going to have to try it again. But hit the button. Just we've got some involuntary movement going on. Okay. So I'm having a difficult time getting a blood pressure. Can I pass it? Is that going? Like that you can give her the blood pressure when you get it while I put the page out? Thank you. Sure. Oh. Hi, this is Crystal. It's Brian. Hey. I can try a manual. Nope. Just. Olivia, I need you guys in there getting set up for a 17 year old trauma. And we need the airway box because the GCS is seven. Yeah. He's got. Obvious belly. It's not. It looks like it ran over him. Well, all this and upper extremities. So is he currently currently being bagged right now? No, he's not currently breathing on his own. Currently breathing on his own. Belly's very low. Yep. Rate of 24. Rate of 24. No obvious chest injuries. The injuries are right at his. Navel area and down. Below her for the injury. She's attempting right now. Heart rate's 59. Blood pressure's still there. Heart rate's 59 or 69? No, it was 180. It fell off his finger. That's all. Okay. All right. No, it just fell off. No. 180. Yeah. Who the hell is that? Sorry. That's my wife. She's a nurse. She's a nurse. She's a nurse. She's a nurse. She's a nurse. She's a nurse. She's a nurse. She's a nurse. She's a nurse. She's a nurse. Good morning. Heart rate's still there. Hi. Everybody. Okay. Okay. Okay. Okay. 17-year-olds with a GCS of seven. I need everybody back there. So, sorry. Yep. We need the airway box. So, oh, my God. Okay. We're going with a blood pressure. The rate of pressure is 90 over 60, let's say. Okay. Pulses are what? I mean, uppers are okay. Okay. Okay. Okay. Okay. Okay. Okay. The pulses? Yeah. His pulse is 180. Okay. No, no. I meant, like, physically feeling pulses. Like, does he have pulses in his lower? Yes. Okay. Yes. Yes. Yes. Well, no, not in his lower extremities. I'm having a difficult time going to. We're here. Okay. Okay. All right. I'll meet you at the door. All right. Bye. Bye. Bye. Bye. Bye. Bye. Bye. Bye. Bye. Bye. Bye. Bye. Bye. Bye. Bye. Bye. Bye. Bye. Bye.</t>
  </si>
  <si>
    <t>I'm a right femur. Hello, my name is Cameron Lang with AMR. I was letting you guys know I'm bringing in a 16-year-old involved in an MBA with multiple cars. He was in the backseat passenger on Belford. He's got an obvious right femur fracture, no loss of consciousness, nothing like that. Vitals are stable. Minor abrasion is kind of all over the body. It's really about it. Just wanted to let you guys know I'm bringing him in, though. Do you have vitals for me? Yeah, absolutely. We've got 158 over 90 for the BP. Pulse is 76 right now. 98 on our mirror. Any meds given? No, I'm basic, so I can't really do a whole lot other than get him there. Okay. Is he in a collar? Yeah, I got a collar on him and all that. We got the legs straightened out the best we could. Okay. What's your ET? I'm looking at probably about 10 minutes, roughly. Okay. Is anybody with him? No, he's the only one in the car. Yeah. The other one's going to be going to East DMC. Was he the driver? No, he was a backseat passenger, he stated. Okay. Okay. We'll see you when you get here, then. Okay, thanks. All right, thanks. Bye.</t>
  </si>
  <si>
    <t>16-year-old involved in an MBA right femur fracture. 158 over 90 for the BP. Pulse is 76 right now. 98 on our mirror.</t>
  </si>
  <si>
    <t>L2, 16y/o, Vitals(BP 150/90, HR 76, RR 20), GCS:15, MOI(MVC), probable femur fx, ETA:10 min</t>
  </si>
  <si>
    <t>MBA with multiple cars</t>
  </si>
  <si>
    <t>The transcript mentions a "16-year-old involved in an MBA with multiple cars" which indicates a motor vehicle accident.</t>
  </si>
  <si>
    <t>['Pulse is 76']</t>
  </si>
  <si>
    <t>['158 over 90 for the BP']</t>
  </si>
  <si>
    <t>['no loss of consciousness']</t>
  </si>
  <si>
    <t>I'm a right femur. Hello, my name is Cameron Lang with AMR. I was letting you guys know I'm bringing in a [REDACTED] involved in an MBA with multiple cars. He was in the backseat passenger on Belford. He's got an obvious right femur fracture, no loss of consciousness, nothing like that. Vitals are stable. Minor abrasion is kind of all over the body. It's really about it. Just wanted to let you guys know I'm bringing him in, though. Do you have vitals for me? Yeah, absolutely. We've got 158 over 90 for the BP. Pulse is 76 right now. 98 on our mirror. Any meds given? No, I'm basic, so I can't really do a whole lot other than get him there. Okay. Is he in a collar? Yeah, I got a collar on him and all that. We got the legs straightened out the best we could. Okay. What's your ET? I'm looking at probably about 10 minutes, roughly. Okay. Is anybody with him? No, he's the only one in the car. Yeah. The other one's going to be going to East DMC. Was he the driver? No, he was a backseat passenger, he stated. Okay. Okay. We'll see you when you get here, then. Okay, thanks. All right, thanks. Bye.</t>
  </si>
  <si>
    <t>I'm a right femur. Hello, my name is Cameron Lang with AMR. I was letting you guys know I'm bringing in a 16-year-old involved in an MBA with multiple cars. He was in the backseat passenger on Belford. He's got an obvious right femur fracture, no loss of consciousness, nothing like that. Vitals are stable. Minor abrasion is kind of all over the body. It's really about it. Just wanted to let you guys know I'm bringing him in, though. Do you have vitals for me? Yeah, absolutely. We've got 158 over 90 for the BP. [REDACTED] right now. 98 on our mirror. Any meds given? No, I'm basic, so I can't really do a whole lot other than get him there. Okay. Is he in a collar? Yeah, I got a collar on him and all that. We got the legs straightened out the best we could. Okay. What's your ET? I'm looking at probably about 10 minutes, roughly. Okay. Is anybody with him? No, he's the only one in the car. Yeah. The other one's going to be going to East DMC. Was he the driver? No, he was a backseat passenger, he stated. Okay. Okay. We'll see you when you get here, then. Okay, thanks. All right, thanks. Bye.</t>
  </si>
  <si>
    <t>I'm a right femur. Hello, my name is Cameron Lang with AMR. I was letting you guys know I'm bringing in a 16-year-old involved in an MBA with multiple cars. He was in the backseat passenger on Belford. He's got an obvious right femur fracture, no loss of consciousness, nothing like that. Vitals are stable. Minor abrasion is kind of all over the body. It's really about it. Just wanted to let you guys know I'm bringing him in, though. Do you have vitals for me? Yeah, absolutely. We've got [REDACTED]. Pulse is 76 right now. 98 on our mirror. Any meds given? No, I'm basic, so I can't really do a whole lot other than get him there. Okay. Is he in a collar? Yeah, I got a collar on him and all that. We got the legs straightened out the best we could. Okay. What's your ET? I'm looking at probably about 10 minutes, roughly. Okay. Is anybody with him? No, he's the only one in the car. Yeah. The other one's going to be going to East DMC. Was he the driver? No, he was a backseat passenger, he stated. Okay. Okay. We'll see you when you get here, then. Okay, thanks. All right, thanks. Bye.</t>
  </si>
  <si>
    <t>I'm a right femur. Hello, my name is Cameron Lang with AMR. I was letting you guys know I'm bringing in a 16-year-old involved in an MBA with multiple cars. He was in the backseat passenger on Belford. He's got an obvious right femur fracture, [REDACTED], nothing like that. Vitals are stable. Minor abrasion is kind of all over the body. It's really about it. Just wanted to let you guys know I'm bringing him in, though. Do you have vitals for me? Yeah, absolutely. We've got 158 over 90 for the BP. Pulse is 76 right now. 98 on our mirror. Any meds given? No, I'm basic, so I can't really do a whole lot other than get him there. Okay. Is he in a collar? Yeah, I got a collar on him and all that. We got the legs straightened out the best we could. Okay. What's your ET? I'm looking at probably about 10 minutes, roughly. Okay. Is anybody with him? No, he's the only one in the car. Yeah. The other one's going to be going to East DMC. Was he the driver? No, he was a backseat passenger, he stated. Okay. Okay. We'll see you when you get here, then. Okay, thanks. All right, thanks. Bye.</t>
  </si>
  <si>
    <t>Children's here, Dr. Kenyon. Hey, it's Levi with Allstar. I'm bringing a Zach Cooper, and I was told to give about 10 minutes heads up. This is Headbleed from Brooks. Yes. Cool. All right, very good. How are we doing, okay? Oh, yeah, everything's good. Vitals have been stable. Keep going with it. Cool. Awesome. Very good. I'll notify the trauma team. We're going to go into the trauma room when you get here. All right, sounds good. Thanks. Thanks. Bye-bye.</t>
  </si>
  <si>
    <t>headbleed Vitals have been stable.</t>
  </si>
  <si>
    <t>L2, 15y/o, Vitals(BP 137/77, HR 97, RR 16), GCS:14, MOI(ATV or Motorcycle), unhelmeted ATV crash at 20 mph. skull fx with intracranial bleed, no midline shift. Awake alert, ETA:50 min</t>
  </si>
  <si>
    <t>The transcript does not provide specific details about the mechanism of injury.</t>
  </si>
  <si>
    <t>Children's stat line is Dr. Bradfield-McGee. Hi, Deb. Dr. Sorgeberg, EMS. We're coming in with an 11-year-old female. Patient was found in the basement, was with her brother. She was unresponsive. She had been hanging on a piece of cord. Family thinks she was playing and fell. Rescue breaths were given. She did vomit blood. She is currently breathing on her own, but she's still not 100% alert. We're coming in probably about 20 minutes out, you guys. So we don't know exactly kind of what happened? I'm not sure. The little brother was down playing with her, and he came upstairs and grabbed his dad. I'm not sure. The downtime doesn't make it very much. Dad did give two rescue breaths, and she vomited blood. Family says she does have some GI issues. Okay. Good job, buddy. Good job. Okay. Do you have a set of vitals right now? Did you say a male or a female? A female. She's 11 years old. Okay. Yeah. Okay. We're just packaging her up, but we're going to let her go. Okay. If you'd like to call back, I can see about the ins and outs of the fucking route. But she's breathing on her own. We are in rescue breaths right now, but she's breathing on her own, and she has some response. Okay. Okay. Okay. Sure. Yeah. I mean, if there's anything else that changes, let us know. But you said about 20 minutes? Correct. Yep. Okay. All right. Thank you. All right. Thank you, Dad.</t>
  </si>
  <si>
    <t>11-year-old female. currently breathing on her own, but she's still not 100% alert.</t>
  </si>
  <si>
    <t>L1, 12y/o, Vitals(BP [??]/[??], HR [??], RR [??]), GCS:9, MOI(Other), ?asphyxiation, minimal responsive, AMS, ETA:Here Now</t>
  </si>
  <si>
    <t>Hanging on a piece of cord</t>
  </si>
  <si>
    <t>The transcript describes the patient as being found unresponsive after hanging on a piece of cord, which is the primary mechanism of injury.</t>
  </si>
  <si>
    <t>['11-year-old female', "She's 11 years old"]</t>
  </si>
  <si>
    <t>['unresponsive', "she's still not 100% alert", 'she has some response']</t>
  </si>
  <si>
    <t>Children's stat line is Dr. Bradfield-McGee. Hi, Deb. Dr. Sorgeberg, EMS. We're coming in with an [REDACTED]. Patient was found in the basement, was with her brother. She was unresponsive. She had been hanging on a piece of cord. Family thinks she was playing and fell. Rescue breaths were given. She did vomit blood. She is currently breathing on her own, but she's still not 100% alert. We're coming in probably about 20 minutes out, you guys. So we don't know exactly kind of what happened? I'm not sure. The little brother was down playing with her, and he came upstairs and grabbed his dad. I'm not sure. The downtime doesn't make it very much. Dad did give two rescue breaths, and she vomited blood. Family says she does have some GI issues. Okay. Good job, buddy. Good job. Okay. Do you have a set of vitals right now? Did you say a male or a female? A female. [REDACTED]. Okay. Yeah. Okay. We're just packaging her up, but we're going to let her go. Okay. If you'd like to call back, I can see about the ins and outs of the fucking route. But she's breathing on her own. We are in rescue breaths right now, but she's breathing on her own, and she has some response. Okay. Okay. Okay. Sure. Yeah. I mean, if there's anything else that changes, let us know. But you said about 20 minutes? Correct. Yep. Okay. All right. Thank you. All right. Thank you, Dad.</t>
  </si>
  <si>
    <t>Children's stat line is Dr. Bradfield-McGee. Hi, Deb. Dr. Sorgeberg, EMS. We're coming in with an 11-year-old female. Patient was found in the basement, was with her brother. She was [REDACTED]. She had been hanging on a piece of cord. Family thinks she was playing and fell. Rescue breaths were given. She did vomit blood. She is currently breathing on her own, but [REDACTED]. We're coming in probably about 20 minutes out, you guys. So we don't know exactly kind of what happened? I'm not sure. The little brother was down playing with her, and he came upstairs and grabbed his dad. I'm not sure. The downtime doesn't make it very much. Dad did give two rescue breaths, and she vomited blood. Family says she does have some GI issues. Okay. Good job, buddy. Good job. Okay. Do you have a set of vitals right now? Did you say a male or a female? A female. She's 11 years old. Okay. Yeah. Okay. We're just packaging her up, but we're going to let her go. Okay. If you'd like to call back, I can see about the ins and outs of the fucking route. But she's breathing on her own. We are in rescue breaths right now, but she's breathing on her own, and [REDACTED]. Okay. Okay. Okay. Sure. Yeah. I mean, if there's anything else that changes, let us know. But you said about 20 minutes? Correct. Yep. Okay. All right. Thank you. All right. Thank you, Dad.</t>
  </si>
  <si>
    <t>Children's Medical Direction, this is Dr. Doan. Hey, this is AMR Dispatch. I'm calling in at pre-alert for a crew coming into the air. Okay. So they have a 17-year-old male, has a stab wound to the left anterior thigh, trying to get applied as of 1657. Current vital signs, blood pressure 140 over 82, heart rate of 115, SVO 299, GCS of 15. They have approximately seven minute EPA. Okay. Sorry, can you just give me those labels again? Sure. BPA 140 over 82, heart rate 115, SVO 299 on room air, and GCS of 15. And do you know why the tourniquet's on? I would assume bleeding control. It was a stab wound. It was a stab wound to the thigh. Okay. Okay. All right. We'll see them when they get here. All right. Thank you. Thanks. Oh, sorry. Do you know how far out that crew is? They were about nine minutes when they called me. It's been about two minutes, 1267. Okay. They're definitely coming here, too, not ECMC. They are. Okay. Sounds good. Okay. Thanks. Bye. Bye. Bye. Bye.</t>
  </si>
  <si>
    <t>17-year-old male, has a stab wound to the left anterior thigh blood pressure 140 over 82, heart rate of 115, SPO 299, GCS of 15.</t>
  </si>
  <si>
    <t>Pt A, L2, 17y/o, Vitals(BP 140/82, HR 115, RR 99), GCS:15, MOI(Penetrating Injury), Stab to left thigh, ETA:Here Now</t>
  </si>
  <si>
    <t>Stab wound to the left anterior thigh</t>
  </si>
  <si>
    <t>The transcript explicitly mentions a stab wound to the left anterior thigh.</t>
  </si>
  <si>
    <t>['heart rate of 115', 'heart rate 115']</t>
  </si>
  <si>
    <t>['blood pressure 140 over 82', 'BPA 140 over 82']</t>
  </si>
  <si>
    <t>['stab wound to the left anterior thigh', 'stab wound', 'stab wound to the thigh']</t>
  </si>
  <si>
    <t>Children's Medical Direction, this is Dr. Doan. Hey, this is AMR Dispatch. I'm calling in at pre-alert for a crew coming into the air. Okay. So they have a [REDACTED], has a stab wound to the left anterior thigh, trying to get applied as of 1657. Current vital signs, blood pressure 140 over 82, heart rate of 115, SVO 299, GCS of 15. They have approximately seven minute EPA. Okay. Sorry, can you just give me those labels again? Sure. BPA 140 over 82, heart rate 115, SVO 299 on room air, and GCS of 15. And do you know why the tourniquet's on? I would assume bleeding control. It was a stab wound. It was a stab wound to the thigh. Okay. Okay. All right. We'll see them when they get here. All right. Thank you. Thanks. Oh, sorry. Do you know how far out that crew is? They were about nine minutes when they called me. It's been about two minutes, 1267. Okay. They're definitely coming here, too, not ECMC. They are. Okay. Sounds good. Okay. Thanks. Bye. Bye. Bye. Bye.</t>
  </si>
  <si>
    <t>Children's Medical Direction, this is Dr. Doan. Hey, this is AMR Dispatch. I'm calling in at pre-alert for a crew coming into the air. Okay. So they have a 17-year-old male, has a stab wound to the left anterior thigh, trying to get applied as of 1657. Current vital signs, blood pressure 140 over 82, [REDACTED], SVO 299, GCS of 15. They have approximately seven minute EPA. Okay. Sorry, can you just give me those labels again? Sure. BPA 140 over 82, [REDACTED], SVO 299 on room air, and GCS of 15. And do you know why the tourniquet's on? I would assume bleeding control. It was a stab wound. It was a stab wound to the thigh. Okay. Okay. All right. We'll see them when they get here. All right. Thank you. Thanks. Oh, sorry. Do you know how far out that crew is? They were about nine minutes when they called me. It's been about two minutes, 1267. Okay. They're definitely coming here, too, not ECMC. They are. Okay. Sounds good. Okay. Thanks. Bye. Bye. Bye. Bye.</t>
  </si>
  <si>
    <t>Children's Medical Direction, this is Dr. Doan. Hey, this is AMR Dispatch. I'm calling in at pre-alert for a crew coming into the air. Okay. So they have a 17-year-old male, has a stab wound to the left anterior thigh, trying to get applied as of 1657. Current vital signs, [REDACTED], heart rate of 115, SVO 299, GCS of 15. They have approximately seven minute EPA. Okay. Sorry, can you just give me those labels again? Sure. [REDACTED], heart rate 115, SVO 299 on room air, and GCS of 15. And do you know why the tourniquet's on? I would assume bleeding control. It was a stab wound. It was a stab wound to the thigh. Okay. Okay. All right. We'll see them when they get here. All right. Thank you. Thanks. Oh, sorry. Do you know how far out that crew is? They were about nine minutes when they called me. It's been about two minutes, 1267. Okay. They're definitely coming here, too, not ECMC. They are. Okay. Sounds good. Okay. Thanks. Bye. Bye. Bye. Bye.</t>
  </si>
  <si>
    <t>Hello, Dr. Reeves. Hi, this is Shannon Melnick, a paramedic with Twin City Ambulance. I'm just calling about a patient that we're bringing to you. Okay. So I have a 15-year-old male. He was riding his bike along the side of the street when he was struck by a vehicle going approximately 30 to 35 miles per hour. He did fall off his bike. He hit his head. He did lose consciousness. He currently has a GCS of 14. He has some abrasions on the side of his face, some elbow pain, and some leg pain. His vitals are stable, 128 over 76. Heart rate 98, 97% room air. But we're bringing him over to you. What's the stomach again? 128 over 76. 76. Respiratory rate was what? Our respiratory is 18 currently. 18. And then it says bicycle versus car. And he's... How old was he? 15. 15. No vomiting, no loss of consciousness. No, he's pretty with it. He's just a little bit of confusion on some of the questions. Like he told me to at St. Patrick's Day. He told me it was Saturday. That sort of thing. But then he kind of remembers and answers correctly after a little bit. But from the point he did lose consciousness, we have a C-Con as a precaution. Pupils are equal and reactive by allowed. And then any difficulty breathing, any other things going on? No. Chest pain or anything like that? No, mainly just a little bit of confusion. He's talking and all of a sudden... Okay. All right. How far out are you? We're about 12 minutes. 12 minutes. All right. Any medicine given or anything? No. I'm going to try to get IV access on the way, but I don't see any indication from the lab side of the knee. Okay. We'll let the team know. Okay. Sounds good. Thank you. Yeah. All right. Bye. All right. Bye.</t>
  </si>
  <si>
    <t>15-year-old male.  struck by a vehicle going approximately 30 to 35 miles per hour.  He did lose consciousness. He currently has a GCS of 14. He has some abrasions on the side of his face, some elbow pain, and some leg pain. His vitals are stable, 128 over 76. Heart rate 98, 97% room air.</t>
  </si>
  <si>
    <t>2, 15y/o, Vitals(BP 128/76, HR 98, RR 18), GCS:14, MOI(Ped Vs Car), Car going 30-35mph struck pt on bike. C-collar. Abrasions on head, ETA:12 min</t>
  </si>
  <si>
    <t>Bicycle versus car</t>
  </si>
  <si>
    <t>The transcript describes a 15-year-old male who was struck by a vehicle while riding his bike.</t>
  </si>
  <si>
    <t>['15-year-old male', 'How old was he? 15. 15.']</t>
  </si>
  <si>
    <t>['Respiratory rate was what? Our respiratory is 18 currently. 18.']</t>
  </si>
  <si>
    <t>Hello, Dr. Reeves. Hi, this is Shannon Melnick, a paramedic with Twin City Ambulance. I'm just calling about a patient that we're bringing to you. Okay. So I have a [REDACTED]. He was riding his bike along the side of the street when he was struck by a vehicle going approximately 30 to 35 miles per hour. He did fall off his bike. He hit his head. He did lose consciousness. He currently has a GCS of 14. He has some abrasions on the side of his face, some elbow pain, and some leg pain. His vitals are stable, 128 over 76. Heart rate 98, 97% room air. But we're bringing him over to you. What's the stomach again? 128 over 76. 76. Respiratory rate was what? Our respiratory is 18 currently. 18. And then it says bicycle versus car. And he's... [REDACTED] No vomiting, no loss of consciousness. No, he's pretty with it. He's just a little bit of confusion on some of the questions. Like he told me to at St. Patrick's Day. He told me it was Saturday. That sort of thing. But then he kind of remembers and answers correctly after a little bit. But from the point he did lose consciousness, we have a C-Con as a precaution. Pupils are equal and reactive by allowed. And then any difficulty breathing, any other things going on? No. Chest pain or anything like that? No, mainly just a little bit of confusion. He's talking and all of a sudden... Okay. All right. How far out are you? We're about 12 minutes. 12 minutes. All right. Any medicine given or anything? No. I'm going to try to get IV access on the way, but I don't see any indication from the lab side of the knee. Okay. We'll let the team know. Okay. Sounds good. Thank you. Yeah. All right. Bye. All right. Bye.</t>
  </si>
  <si>
    <t>Hello, Dr. Reeves. Hi, this is Shannon Melnick, a paramedic with Twin City Ambulance. I'm just calling about a patient that we're bringing to you. Okay. So I have a 15-year-old male. He was riding his bike along the side of the street when he was struck by a vehicle going approximately 30 to 35 miles per hour. He did fall off his bike. He hit his head. He did lose consciousness. He currently has a GCS of 14. He has some abrasions on the side of his face, some elbow pain, and some leg pain. His vitals are stable, 128 over 76. [REDACTED], 97% room air. But we're bringing him over to you. What's the stomach again? 128 over 76. 76. Respiratory rate was what? Our respiratory is 18 currently. 18. And then it says bicycle versus car. And he's... How old was he? 15. 15. No vomiting, no loss of consciousness. No, he's pretty with it. He's just a little bit of confusion on some of the questions. Like he told me to at St. Patrick's Day. He told me it was Saturday. That sort of thing. But then he kind of remembers and answers correctly after a little bit. But from the point he did lose consciousness, we have a C-Con as a precaution. Pupils are equal and reactive by allowed. And then any difficulty breathing, any other things going on? No. Chest pain or anything like that? No, mainly just a little bit of confusion. He's talking and all of a sudden... Okay. All right. How far out are you? We're about 12 minutes. 12 minutes. All right. Any medicine given or anything? No. I'm going to try to get IV access on the way, but I don't see any indication from the lab side of the knee. Okay. We'll let the team know. Okay. Sounds good. Thank you. Yeah. All right. Bye. All right. Bye.</t>
  </si>
  <si>
    <t>Hello, Dr. Reeves. Hi, this is Shannon Melnick, a paramedic with Twin City Ambulance. I'm just calling about a patient that we're bringing to you. Okay. So I have a 15-year-old male. He was riding his bike along the side of the street when he was struck by a vehicle going approximately 30 to 35 miles per hour. He did fall off his bike. He hit his head. He did lose consciousness. He currently has a GCS of 14. He has some abrasions on the side of his face, some elbow pain, and some leg pain. His vitals are stable, 128 over 76. Heart rate 98, 97% room air. But we're bringing him over to you. What's the stomach again? 128 over 76. 76. [REDACTED] And then it says bicycle versus car. And he's... How old was he? 15. 15. No vomiting, no loss of consciousness. No, he's pretty with it. He's just a little bit of confusion on some of the questions. Like he told me to at St. Patrick's Day. He told me it was Saturday. That sort of thing. But then he kind of remembers and answers correctly after a little bit. But from the point he did lose consciousness, we have a C-Con as a precaution. Pupils are equal and reactive by allowed. And then any difficulty breathing, any other things going on? No. Chest pain or anything like that? No, mainly just a little bit of confusion. He's talking and all of a sudden... Okay. All right. How far out are you? We're about 12 minutes. 12 minutes. All right. Any medicine given or anything? No. I'm going to try to get IV access on the way, but I don't see any indication from the lab side of the knee. Okay. We'll let the team know. Okay. Sounds good. Thank you. Yeah. All right. Bye. All right. Bye.</t>
  </si>
  <si>
    <t>Hi, Dr. Pathers. Hi, Doc. It's Kevin with AMR. I just wanted to give you the heads up. We're coming in. We got a 15-year-old female. She was in a fight at school. Okay. She's got probably a three-by-four-inch laceration in the back of her ribs, and it's deep. I just wanted to give you the heads up. We're coming in with that. Whitals are good. She's a little tacky, but other than that, she's good. Okay. All right? Yep. Thank you. Bye.</t>
  </si>
  <si>
    <t>15-year-old female. She was in a fight at school. 3-by-4-inch laceration to the back of her ribs. And it's deep. Whitals are good. She's a little tacky,</t>
  </si>
  <si>
    <t>L2, Age:Unknown, Vitals(BP [??]/[??], HR [??], RR [??]), GCS:15, MOI(Penetrating Injury), stabbed/slashed in left flank at school in a fight. hemodynamically. teenager, ETA:Here Now</t>
  </si>
  <si>
    <t>Fight at school</t>
  </si>
  <si>
    <t>The transcript mentions the patient was in a fight at school, leading to a laceration.</t>
  </si>
  <si>
    <t>['a little tacky']</t>
  </si>
  <si>
    <t>['in a fight at school']</t>
  </si>
  <si>
    <t>Hi, Dr. Pathers. Hi, Doc. It's Kevin with AMR. I just wanted to give you the heads up. We're coming in. We got a [REDACTED]. She was in a fight at school. Okay. She's got probably a three-by-four-inch laceration in the back of her ribs, and it's deep. I just wanted to give you the heads up. We're coming in with that. Whitals are good. She's a little tacky, but other than that, she's good. Okay. All right? Yep. Thank you. Bye.</t>
  </si>
  <si>
    <t>Hi, Dr. Pathers. Hi, Doc. It's Kevin with AMR. I just wanted to give you the heads up. We're coming in. We got a 15-year-old female. She was in a fight at school. Okay. She's got probably a three-by-four-inch laceration in the back of her ribs, and it's deep. I just wanted to give you the heads up. We're coming in with that. Whitals are good. She's [REDACTED], but other than that, she's good. Okay. All right? Yep. Thank you. Bye.</t>
  </si>
  <si>
    <t>Hi, Dr. Pathers. Hi, Doc. It's Kevin with AMR. I just wanted to give you the heads up. We're coming in. We got a 15-year-old female. She was [REDACTED]. Okay. She's got probably a three-by-four-inch laceration in the back of her ribs, and it's deep. I just wanted to give you the heads up. We're coming in with that. Whitals are good. She's a little tacky, but other than that, she's good. Okay. All right? Yep. Thank you. Bye.</t>
  </si>
  <si>
    <t>Hello, this is Sean Bush, Advanced CMT with AMR. I'm calling because we're bringing you a 15-year-old female that was in a motor vehicle accident on the thruway, was in the back passenger, did not appear to be belted. She has a large gash across her forehead. It appears that you can see her skull underneath, and she also has some skull deformity on the front. Right now, she's GCS 14. She's with us. She's drowsable, feeling very white-headed, having some head and neck pain. Her vitals at this time are stable. We got a last pressure was 116 on 71. We're cycling a fresh one right now. Heart rate 100. She's 100% on room air. She's got a 20 in her left AC for you guys. On that, we're maybe about 2, 3. She's almost a week. She does have a C-collar applied. Unknown if there's loss of consciousness on impact. On that, how about that? What did you call the deformity? It looks like it's indented on the front. There's a gash. You can see the bone underneath, and then to the side of that, it's indented as well. How old is she? 15. Okay. We'll see what you do. Sounds good. Thank you. Thanks. Bye. Bye.</t>
  </si>
  <si>
    <t>15-year-old female that was in a motor vehicle accident on the thruway, did not appear to be belted. She has a large gash across her forehead. skull deformity on the front. Right now, she's GCS-14. last pressure was 116 on 71. Heart rate 100. She's 100% on room air.</t>
  </si>
  <si>
    <t>, L2, 15y/o, Vitals(BP 116/71, HR 100, RR [??]), GCS:14, MOI(MVC), unbelted back passenger, unknown loc, large head lac, skull deformity, ETA:2 min</t>
  </si>
  <si>
    <t>Motor vehicle accident on the thruway</t>
  </si>
  <si>
    <t>The transcript mentions a 15-year-old female involved in a motor vehicle accident on the thruway.</t>
  </si>
  <si>
    <t>['15-year-old female', '15']</t>
  </si>
  <si>
    <t>['Heart rate 100']</t>
  </si>
  <si>
    <t>['last pressure was 116 on 71']</t>
  </si>
  <si>
    <t>Hello, this is Sean Bush, Advanced CMT with AMR. I'm calling because we're bringing you a [REDACTED] that was in a motor vehicle accident on the thruway, was in the back passenger, did not appear to be belted. She has a large gash across her forehead. It appears that you can see her skull underneath, and she also has some skull deformity on the front. Right now, she's GCS 14. She's with us. She's drowsable, feeling very white-headed, having some head and neck pain. Her vitals at this time are stable. We got a last pressure was 116 on 71. We're cycling a fresh one right now. Heart rate 100. She's 100% on room air. She's got a 20 in her left AC for you guys. On that, we're maybe about 2, 3. She's almost a week. She does have a C-collar applied. Unknown if there's loss of consciousness on impact. On that, how about that? What did you call the deformity? It looks like it's indented on the front. There's a gash. You can see the bone underneath, and then to the side of that, it's indented as well. How old is she? [REDACTED]. Okay. We'll see what you do. Sounds good. Thank you. Thanks. Bye. Bye.</t>
  </si>
  <si>
    <t>Hello, this is Sean Bush, Advanced CMT with AMR. I'm calling because we're bringing you a 15-year-old female that was in a motor vehicle accident on the thruway, was in the back passenger, did not appear to be belted. She has a large gash across her forehead. It appears that you can see her skull underneath, and she also has some skull deformity on the front. Right now, she's GCS 14. She's with us. She's drowsable, feeling very white-headed, having some head and neck pain. Her vitals at this time are stable. We got a last pressure was 116 on 71. We're cycling a fresh one right now. [REDACTED]. She's 100% on room air. She's got a 20 in her left AC for you guys. On that, we're maybe about 2, 3. She's almost a week. She does have a C-collar applied. Unknown if there's loss of consciousness on impact. On that, how about that? What did you call the deformity? It looks like it's indented on the front. There's a gash. You can see the bone underneath, and then to the side of that, it's indented as well. How old is she? 15. Okay. We'll see what you do. Sounds good. Thank you. Thanks. Bye. Bye.</t>
  </si>
  <si>
    <t>Hello, this is Sean Bush, Advanced CMT with AMR. I'm calling because we're bringing you a 15-year-old female that was in a motor vehicle accident on the thruway, was in the back passenger, did not appear to be belted. She has a large gash across her forehead. It appears that you can see her skull underneath, and she also has some skull deformity on the front. Right now, she's GCS 14. She's with us. She's drowsable, feeling very white-headed, having some head and neck pain. Her vitals at this time are stable. We got a [REDACTED]. We're cycling a fresh one right now. Heart rate 100. She's 100% on room air. She's got a 20 in her left AC for you guys. On that, we're maybe about 2, 3. She's almost a week. She does have a C-collar applied. Unknown if there's loss of consciousness on impact. On that, how about that? What did you call the deformity? It looks like it's indented on the front. There's a gash. You can see the bone underneath, and then to the side of that, it's indented as well. How old is she? 15. Okay. We'll see what you do. Sounds good. Thank you. Thanks. Bye. Bye.</t>
  </si>
  <si>
    <t>Dr. Bowden, can I help you? Good evening. This is Eligible Ambulance. And we are in... What's that? Go ahead. This is Eligible Ambulance. And we are inbound with a 16-year-old female patient who fell while skiing this evening and has a fractured left hip. Possible pelvis involvement. There's also head trauma, significant head trauma where she doesn't remember entero and retrograde amnesia. She's a little delirious. She's in quite a lot of pain. I gave her 200 mics of fentanyl. Last set of vitals. Heart rate 124 on regular. Blood pressure 129 over 88. Respirations about 24. Lungs clear. SpO2 99. I got her in four liters. I did give her out. Have I established a neighbor or leader? ETH in about five to ten minutes. Any questions or orders at this time? There's quite a lot of things. Her GCS, I'd say, is 13. She's pretty out mentally. Okay. She's very confused. Okay. 13, 14. Okay. See you in a couple. Thanks. All right. Bye.</t>
  </si>
  <si>
    <t>16-year-old female patient who fell while skiing this evening and has a fractured left hip, possible pelvis involvement. There's also significant head trauma, heart rate 124 on regular, blood pressure 129 over 88, respiration is about 24. Lung is clear, SpO2 99. I got her in four liters. GCS, I'd say, is 13.</t>
  </si>
  <si>
    <t>Pt A, L2, 16y/o, Vitals(BP 129/88, HR 124, RR 24), GCS:13, MOI(Other), skiing accident CHI, Pelvic fx?, ETA:5 min, Update, Pt A, L1, 12y/o, Vitals(BP [??]/[??], HR [??], RR [??]), GCS:13, MOI(Blunt trauma), getting blood - decreased BPs, ETA:Here Now</t>
  </si>
  <si>
    <t>Fall while skiing</t>
  </si>
  <si>
    <t>The transcript mentions a 16-year-old female patient who fell while skiing, resulting in a fractured hip and head trauma.</t>
  </si>
  <si>
    <t>['Heart rate 124 on regular']</t>
  </si>
  <si>
    <t>['Blood pressure 129 over 88']</t>
  </si>
  <si>
    <t>['Respirations about 24']</t>
  </si>
  <si>
    <t>['fell while skiing', 'head trauma', 'significant head trauma']</t>
  </si>
  <si>
    <t>Dr. Bowden, can I help you? Good evening. This is Eligible Ambulance. And we are in... What's that? Go ahead. This is Eligible Ambulance. And we are inbound with a [REDACTED] patient who fell while skiing this evening and has a fractured left hip. Possible pelvis involvement. There's also head trauma, significant head trauma where she doesn't remember entero and retrograde amnesia. She's a little delirious. She's in quite a lot of pain. I gave her 200 mics of fentanyl. Last set of vitals. Heart rate 124 on regular. Blood pressure 129 over 88. Respirations about 24. Lungs clear. SpO2 99. I got her in four liters. I did give her out. Have I established a neighbor or leader? ETH in about five to ten minutes. Any questions or orders at this time? There's quite a lot of things. Her GCS, I'd say, is 13. She's pretty out mentally. Okay. She's very confused. Okay. 13, 14. Okay. See you in a couple. Thanks. All right. Bye.</t>
  </si>
  <si>
    <t>Dr. Bowden, can I help you? Good evening. This is Eligible Ambulance. And we are in... What's that? Go ahead. This is Eligible Ambulance. And we are inbound with a 16-year-old female patient who fell while skiing this evening and has a fractured left hip. Possible pelvis involvement. There's also head trauma, significant head trauma where she doesn't remember entero and retrograde amnesia. She's a little delirious. She's in quite a lot of pain. I gave her 200 mics of fentanyl. Last set of vitals. [REDACTED]. Blood pressure 129 over 88. Respirations about 24. Lungs clear. SpO2 99. I got her in four liters. I did give her out. Have I established a neighbor or leader? ETH in about five to ten minutes. Any questions or orders at this time? There's quite a lot of things. Her GCS, I'd say, is 13. She's pretty out mentally. Okay. She's very confused. Okay. 13, 14. Okay. See you in a couple. Thanks. All right. Bye.</t>
  </si>
  <si>
    <t>Dr. Bowden, can I help you? Good evening. This is Eligible Ambulance. And we are in... What's that? Go ahead. This is Eligible Ambulance. And we are inbound with a 16-year-old female patient who fell while skiing this evening and has a fractured left hip. Possible pelvis involvement. There's also head trauma, significant head trauma where she doesn't remember entero and retrograde amnesia. She's a little delirious. She's in quite a lot of pain. I gave her 200 mics of fentanyl. Last set of vitals. Heart rate 124 on regular. [REDACTED]. Respirations about 24. Lungs clear. SpO2 99. I got her in four liters. I did give her out. Have I established a neighbor or leader? ETH in about five to ten minutes. Any questions or orders at this time? There's quite a lot of things. Her GCS, I'd say, is 13. She's pretty out mentally. Okay. She's very confused. Okay. 13, 14. Okay. See you in a couple. Thanks. All right. Bye.</t>
  </si>
  <si>
    <t>Dr. Bowden, can I help you? Good evening. This is Eligible Ambulance. And we are in... What's that? Go ahead. This is Eligible Ambulance. And we are inbound with a 16-year-old female patient who fell while skiing this evening and has a fractured left hip. Possible pelvis involvement. There's also head trauma, significant head trauma where she doesn't remember entero and retrograde amnesia. She's a little delirious. She's in quite a lot of pain. I gave her 200 mics of fentanyl. Last set of vitals. Heart rate 124 on regular. Blood pressure 129 over 88. [REDACTED]. Lungs clear. SpO2 99. I got her in four liters. I did give her out. Have I established a neighbor or leader? ETH in about five to ten minutes. Any questions or orders at this time? There's quite a lot of things. Her GCS, I'd say, is 13. She's pretty out mentally. Okay. She's very confused. Okay. 13, 14. Okay. See you in a couple. Thanks. All right. Bye.</t>
  </si>
  <si>
    <t>Dr. Belton, can I help you? Hi, Doctor. This is Ellicottville Ambulance, and we are inbound with a 14-year-old female patient who is out skiing at Holiday Valley this evening and went over a jump, crashed, and injured her pelvis. She was executed by ski patrol and examined by a military surgeon there at the site there, and he's very concerned about her pelvis. She's the last set of vitals, heart rate 115 and regular, blood pressure 102 over 62, respiration about 16, regular, lungs clear, 98% on room air. She's resting comfortably in a position of comfort. I do have IVs established. She's not running any fluids at this time. Her ETA is about 10 minutes. Conscious alert oriented. No other traumas that we could find. No neural deficits. Any questions or orders at this time. So why do we think she has a pelvis fracture? She couldn't stand up, and she complained on lateral compression on her pelvis, as well as the surgeon who, as far as, ski patrol said he palpated her pubic bone, and she screamed. She's in a lot of pain. So her position of comfort is a semi-fetal position on her back, but her leg is drawn up. She grabbed it in, and it's the only position she's in. She cannot extend her legs without being in a lot of pain. Okay. Okay. Dr. Yowie was very concerned about her pelvis. So we're bringing her in. All right. We'll see you when you get here. How far out are you? Okay. Say that again. What's your ETA? ETA is about 10 minutes. Okay. Sounds good. We'll see you. Okay. Thank you. All right. Okay. Thank you. Bye-bye. Bye-bye. Bye-bye. Bye-bye. Bye-bye. Bye-bye. Bye-bye. Bye-bye. Bye-bye. Bye-bye. Bye-bye. Bye-bye. Bye-bye. Bye-bye. Bye-bye. Bye-bye. Bye-bye. Bye-bye.</t>
  </si>
  <si>
    <t>14-year-old female injured her pelvis. She's the last set of vitals, heart rate 115 and regular, blood pressure 102 over 62, respirations about 16, regular, lungs clear, 98% on room air. Conscious alert oriented.</t>
  </si>
  <si>
    <t>L2, 14y/o, Vitals(BP [??]/[??], HR 115, RR [??]), GCS:15, MOI(Fall&gt;10 or 3x Child height), ski accident concern for pelvic fx, ETA:10 min</t>
  </si>
  <si>
    <t>Skiing accident with jump crash</t>
  </si>
  <si>
    <t>The patient was skiing and went over a jump, resulting in a crash and pelvic injury.</t>
  </si>
  <si>
    <t>['heart rate 115 and regular']</t>
  </si>
  <si>
    <t>['blood pressure 102 over 62']</t>
  </si>
  <si>
    <t>Dr. Belton, can I help you? Hi, Doctor. This is Ellicottville Ambulance, and we are inbound with a [REDACTED] patient who is out skiing at Holiday Valley this evening and went over a jump, crashed, and injured her pelvis. She was executed by ski patrol and examined by a military surgeon there at the site there, and he's very concerned about her pelvis. She's the last set of vitals, heart rate 115 and regular, blood pressure 102 over 62, respiration about 16, regular, lungs clear, 98% on room air. She's resting comfortably in a position of comfort. I do have IVs established. She's not running any fluids at this time. Her ETA is about 10 minutes. Conscious alert oriented. No other traumas that we could find. No neural deficits. Any questions or orders at this time. So why do we think she has a pelvis fracture? She couldn't stand up, and she complained on lateral compression on her pelvis, as well as the surgeon who, as far as, ski patrol said he palpated her pubic bone, and she screamed. She's in a lot of pain. So her position of comfort is a semi-fetal position on her back, but her leg is drawn up. She grabbed it in, and it's the only position she's in. She cannot extend her legs without being in a lot of pain. Okay. Okay. Dr. Yowie was very concerned about her pelvis. So we're bringing her in. All right. We'll see you when you get here. How far out are you? Okay. Say that again. What's your ETA? ETA is about 10 minutes. Okay. Sounds good. We'll see you. Okay. Thank you. All right. Okay. Thank you. Bye-bye. Bye-bye. Bye-bye. Bye-bye. Bye-bye. Bye-bye. Bye-bye. Bye-bye. Bye-bye. Bye-bye. Bye-bye. Bye-bye. Bye-bye. Bye-bye. Bye-bye. Bye-bye. Bye-bye. Bye-bye.</t>
  </si>
  <si>
    <t>Dr. Belton, can I help you? Hi, Doctor. This is Ellicottville Ambulance, and we are inbound with a 14-year-old female patient who is out skiing at Holiday Valley this evening and went over a jump, crashed, and injured her pelvis. She was executed by ski patrol and examined by a military surgeon there at the site there, and he's very concerned about her pelvis. She's the last set of vitals, [REDACTED], blood pressure 102 over 62, respiration about 16, regular, lungs clear, 98% on room air. She's resting comfortably in a position of comfort. I do have IVs established. She's not running any fluids at this time. Her ETA is about 10 minutes. Conscious alert oriented. No other traumas that we could find. No neural deficits. Any questions or orders at this time. So why do we think she has a pelvis fracture? She couldn't stand up, and she complained on lateral compression on her pelvis, as well as the surgeon who, as far as, ski patrol said he palpated her pubic bone, and she screamed. She's in a lot of pain. So her position of comfort is a semi-fetal position on her back, but her leg is drawn up. She grabbed it in, and it's the only position she's in. She cannot extend her legs without being in a lot of pain. Okay. Okay. Dr. Yowie was very concerned about her pelvis. So we're bringing her in. All right. We'll see you when you get here. How far out are you? Okay. Say that again. What's your ETA? ETA is about 10 minutes. Okay. Sounds good. We'll see you. Okay. Thank you. All right. Okay. Thank you. Bye-bye. Bye-bye. Bye-bye. Bye-bye. Bye-bye. Bye-bye. Bye-bye. Bye-bye. Bye-bye. Bye-bye. Bye-bye. Bye-bye. Bye-bye. Bye-bye. Bye-bye. Bye-bye. Bye-bye. Bye-bye.</t>
  </si>
  <si>
    <t>Dr. Belton, can I help you? Hi, Doctor. This is Ellicottville Ambulance, and we are inbound with a 14-year-old female patient who is out skiing at Holiday Valley this evening and went over a jump, crashed, and injured her pelvis. She was executed by ski patrol and examined by a military surgeon there at the site there, and he's very concerned about her pelvis. She's the last set of vitals, heart rate 115 and regular, [REDACTED], respiration about 16, regular, lungs clear, 98% on room air. She's resting comfortably in a position of comfort. I do have IVs established. She's not running any fluids at this time. Her ETA is about 10 minutes. Conscious alert oriented. No other traumas that we could find. No neural deficits. Any questions or orders at this time. So why do we think she has a pelvis fracture? She couldn't stand up, and she complained on lateral compression on her pelvis, as well as the surgeon who, as far as, ski patrol said he palpated her pubic bone, and she screamed. She's in a lot of pain. So her position of comfort is a semi-fetal position on her back, but her leg is drawn up. She grabbed it in, and it's the only position she's in. She cannot extend her legs without being in a lot of pain. Okay. Okay. Dr. Yowie was very concerned about her pelvis. So we're bringing her in. All right. We'll see you when you get here. How far out are you? Okay. Say that again. What's your ETA? ETA is about 10 minutes. Okay. Sounds good. We'll see you. Okay. Thank you. All right. Okay. Thank you. Bye-bye. Bye-bye. Bye-bye. Bye-bye. Bye-bye. Bye-bye. Bye-bye. Bye-bye. Bye-bye. Bye-bye. Bye-bye. Bye-bye. Bye-bye. Bye-bye. Bye-bye. Bye-bye. Bye-bye. Bye-bye.</t>
  </si>
  <si>
    <t>Dr. Belton, can I help you? Hi, Doctor. This is Ellicottville Ambulance, and we are inbound with a 14-year-old female patient who is out skiing at Holiday Valley this evening and went over a jump, crashed, and injured her pelvis. She was executed by ski patrol and examined by a military surgeon there at the site there, and he's very concerned about her pelvis. She's the last set of vitals, heart rate 115 and regular, blood pressure 102 over 62, respiration about 16, regular, lungs clear, 98% on room air. She's resting comfortably in a position of comfort. I do have IVs established. She's not running any fluids at this time. Her ETA is about 10 minutes. [REDACTED]. No other traumas that we could find. No neural deficits. Any questions or orders at this time. So why do we think she has a pelvis fracture? She couldn't stand up, and she complained on lateral compression on her pelvis, as well as the surgeon who, as far as, ski patrol said he palpated her pubic bone, and she screamed. She's in a lot of pain. So her position of comfort is a semi-fetal position on her back, but her leg is drawn up. She grabbed it in, and it's the only position she's in. She cannot extend her legs without being in a lot of pain. Okay. Okay. Dr. Yowie was very concerned about her pelvis. So we're bringing her in. All right. We'll see you when you get here. How far out are you? Okay. Say that again. What's your ETA? ETA is about 10 minutes. Okay. Sounds good. We'll see you. Okay. Thank you. All right. Okay. Thank you. Bye-bye. Bye-bye. Bye-bye. Bye-bye. Bye-bye. Bye-bye. Bye-bye. Bye-bye. Bye-bye. Bye-bye. Bye-bye. Bye-bye. Bye-bye. Bye-bye. Bye-bye. Bye-bye. Bye-bye. Bye-bye.</t>
  </si>
  <si>
    <t>Hello, this is Dr. Reeve. Hi, Doctor. This is Eritani Parames, a seven-year-old male who was riding a dirt bike and got struck by another dirt bike. Possible loss of consciousness. He's repetitive. He has a laceration above his right eye. His eye is swollen. He's also complaining pain in the orbit area, complaining pain in the lower abdominal right area, and he's got what looks like an avulsion near his penis on the right side. He is boarded and collared at this time. His vitals are all stable. We'll be there in about seven, eight minutes. Can I get his GCS of 15? Oh, yeah. Right now, he's confused, so I'll give him about a 13. Okay. And then... Vitals are 137 over 97. Pulse rate is... Pulse rate is between 70 and 115. He's tightening at 100%. We're calming his breathing down because he is hyperventilating. So I put it around 22. Okay. All right? All right. Thank you. You're welcome. Bye. Bye.</t>
  </si>
  <si>
    <t>L2, 7 y/o, Vitals(137/97, 70-115, 22), GCS: 13, MOI (dirt bike collision), ETA: 7-8 minutes</t>
  </si>
  <si>
    <t>seven-year-old male who was riding a dirt bike and got struck by another dirt bike, possible loss of consciousness. Right now he's confused, so I'll give him about a 13. And then vitals are 137 over 97. Pulse rate is 12. Between 70 and 115, he's tightening 100%.</t>
  </si>
  <si>
    <t>L2, 7y/o, Vitals(BP 137/97, HR 79, RR 22), GCS:13, MOI(ATV or Motorcycle), dirtbike vs dirtbike, no loc no vomiting, r eye injury, abd pn, ETA:5 min</t>
  </si>
  <si>
    <t>Struck by another dirt bike while riding</t>
  </si>
  <si>
    <t>The transcript mentions the patient was riding a dirt bike and got struck by another dirt bike.</t>
  </si>
  <si>
    <t>['Pulse rate is between 70 and 115']</t>
  </si>
  <si>
    <t>['Vitals are 137 over 97']</t>
  </si>
  <si>
    <t>['I put it around 22']</t>
  </si>
  <si>
    <t>Hello, this is Dr. Reeve. Hi, Doctor. This is Eritani Parames, a [REDACTED] who was riding a dirt bike and got struck by another dirt bike. Possible loss of consciousness. He's repetitive. He has a laceration above his right eye. His eye is swollen. He's also complaining pain in the orbit area, complaining pain in the lower abdominal right area, and he's got what looks like an avulsion near his penis on the right side. He is boarded and collared at this time. His vitals are all stable. We'll be there in about seven, eight minutes. Can I get his GCS of 15? Oh, yeah. Right now, he's confused, so I'll give him about a 13. Okay. And then... Vitals are 137 over 97. Pulse rate is... Pulse rate is between 70 and 115. He's tightening at 100%. We're calming his breathing down because he is hyperventilating. So I put it around 22. Okay. All right? All right. Thank you. You're welcome. Bye. Bye.</t>
  </si>
  <si>
    <t>Hello, this is Dr. Reeve. Hi, Doctor. This is Eritani Parames, a seven-year-old male who was riding a dirt bike and got struck by another dirt bike. Possible loss of consciousness. He's repetitive. He has a laceration above his right eye. His eye is swollen. He's also complaining pain in the orbit area, complaining pain in the lower abdominal right area, and he's got what looks like an avulsion near his penis on the right side. He is boarded and collared at this time. His vitals are all stable. We'll be there in about seven, eight minutes. Can I get his GCS of 15? Oh, yeah. Right now, he's confused, so I'll give him about a 13. Okay. And then... Vitals are 137 over 97. Pulse rate is... [REDACTED]. He's tightening at 100%. We're calming his breathing down because he is hyperventilating. So I put it around 22. Okay. All right? All right. Thank you. You're welcome. Bye. Bye.</t>
  </si>
  <si>
    <t>Hello, this is Dr. Reeve. Hi, Doctor. This is Eritani Parames, a seven-year-old male who was riding a dirt bike and got struck by another dirt bike. Possible loss of consciousness. He's repetitive. He has a laceration above his right eye. His eye is swollen. He's also complaining pain in the orbit area, complaining pain in the lower abdominal right area, and he's got what looks like an avulsion near his penis on the right side. He is boarded and collared at this time. His vitals are all stable. We'll be there in about seven, eight minutes. Can I get his GCS of 15? Oh, yeah. Right now, he's confused, so I'll give him about a 13. Okay. And then... [REDACTED]. Pulse rate is... Pulse rate is between 70 and 115. He's tightening at 100%. We're calming his breathing down because he is hyperventilating. So I put it around 22. Okay. All right? All right. Thank you. You're welcome. Bye. Bye.</t>
  </si>
  <si>
    <t>Hello, this is Dr. Reeve. Hi, Doctor. This is Eritani Parames, a seven-year-old male who was riding a dirt bike and got struck by another dirt bike. Possible loss of consciousness. He's repetitive. He has a laceration above his right eye. His eye is swollen. He's also complaining pain in the orbit area, complaining pain in the lower abdominal right area, and he's got what looks like an avulsion near his penis on the right side. He is boarded and collared at this time. His vitals are all stable. We'll be there in about seven, eight minutes. Can I get his GCS of 15? Oh, yeah. Right now, he's confused, so I'll give him about a 13. Okay. And then... Vitals are 137 over 97. Pulse rate is... Pulse rate is between 70 and 115. He's tightening at 100%. We're calming his breathing down because he is hyperventilating. So [REDACTED]. Okay. All right? All right. Thank you. You're welcome. Bye. Bye.</t>
  </si>
  <si>
    <t>O'Shea, it is Dr. Hall. Hi, this is Terry, paramedic with AMR. Just wanted to let you know about a patient I'm bringing in. Sure. So I have a 17-year-old male, VSW to the right knee. It looks like two entrance wounds. Bleeding is controlled. I have a pressure of 121 over 68. Heart rate is 76. He is 100% roaming. He has positive PMS in his extremities, and we should be there in about six minutes. All right. Any other injuries? Nope, nope, just to that knee. Okay, sounds good. Thank you. All right, thank you. Bye. Bye-bye.</t>
  </si>
  <si>
    <t>17-year-old male, VSW to the right knee. It looks like two entrance wounds. Bleeding is controlled. I have a pressure of 121 over 68. Heart rate is 76. He is 100% roaming. He has positive PMS in his extremities,</t>
  </si>
  <si>
    <t>L2, 17y/o, Vitals(BP 121/68, HR 76, RR [??]), GCS:15, MOI(GSW), GSW R knee, entrance/exit wound, NV intact, ETA:6 min</t>
  </si>
  <si>
    <t>VSW to the right knee</t>
  </si>
  <si>
    <t>The transcript mentions a "VSW to the right knee," indicating a violent stab wound as the mechanism of injury.</t>
  </si>
  <si>
    <t>['Heart rate is 76']</t>
  </si>
  <si>
    <t>['pressure of 121 over 68']</t>
  </si>
  <si>
    <t>['VSW to the right knee', 'two entrance wounds']</t>
  </si>
  <si>
    <t>O'Shea, it is Dr. Hall. Hi, this is Terry, paramedic with AMR. Just wanted to let you know about a patient I'm bringing in. Sure. So I have a [REDACTED], VSW to the right knee. It looks like two entrance wounds. Bleeding is controlled. I have a pressure of 121 over 68. Heart rate is 76. He is 100% roaming. He has positive PMS in his extremities, and we should be there in about six minutes. All right. Any other injuries? Nope, nope, just to that knee. Okay, sounds good. Thank you. All right, thank you. Bye. Bye-bye.</t>
  </si>
  <si>
    <t>O'Shea, it is Dr. Hall. Hi, this is Terry, paramedic with AMR. Just wanted to let you know about a patient I'm bringing in. Sure. So I have a 17-year-old male, VSW to the right knee. It looks like two entrance wounds. Bleeding is controlled. I have a pressure of 121 over 68. [REDACTED]. He is 100% roaming. He has positive PMS in his extremities, and we should be there in about six minutes. All right. Any other injuries? Nope, nope, just to that knee. Okay, sounds good. Thank you. All right, thank you. Bye. Bye-bye.</t>
  </si>
  <si>
    <t>O'Shea, it is Dr. Hall. Hi, this is Terry, paramedic with AMR. Just wanted to let you know about a patient I'm bringing in. Sure. So I have a 17-year-old male, VSW to the right knee. It looks like two entrance wounds. Bleeding is controlled. I have a [REDACTED]. Heart rate is 76. He is 100% roaming. He has positive PMS in his extremities, and we should be there in about six minutes. All right. Any other injuries? Nope, nope, just to that knee. Okay, sounds good. Thank you. All right, thank you. Bye. Bye-bye.</t>
  </si>
  <si>
    <t>O'Shea, it is Dr. Hall. Hi, this is Terry, paramedic with AMR. Just wanted to let you know about a patient I'm bringing in. Sure. So I have a 17-year-old male, [REDACTED]. It looks like [REDACTED]. Bleeding is controlled. I have a pressure of 121 over 68. Heart rate is 76. He is 100% roaming. He has positive PMS in his extremities, and we should be there in about six minutes. All right. Any other injuries? Nope, nope, just to that knee. Okay, sounds good. Thank you. All right, thank you. Bye. Bye-bye.</t>
  </si>
  <si>
    <t>Dr. Wiest. Hi, Dr. Wiest. This is Eric Barkey, paramedic on Mercy Flight 9. We are inbound with a 14-year-old male patient involved in a downhill skiing injury at Holiday Valley. Hit a tree at unknown speed, wearing his helmet, has a fractured jaw, no missing teeth, airways clear, positive LOC directly after the hit. He currently has a GCS of 15. His vitals are as follows. Heart rate is 78, an abnormal sinus rhythm. Blood pressure is 123 on 72. Respiratory rate is 20. Debt 98% on Romare. He's got a total of 100 in fentanyl given prior to our arrival by ground EMS, and has 4 milligrams of Zolpamine, and also given prior to our arrival. He has no other injuries, no other complaints other than the jaw pain from his fractured jaw. We will be to your facility in about... 14 minutes. Do you have any questions for me? The only question, was he, did he, like, walk at all or anything? This or you guys, he was just pulled right off the slope? He was pulled right off the slope. Okay. He was unable to walk. Okay. Sounds good. Thanks. All right. We'll see when you guys get here. Okay. See you in a bit. Thanks. All right. Bye-bye.</t>
  </si>
  <si>
    <t>L2, 14 y/o, Vitals(123/72, 78, 20), GCS: 15, MOI (downhill skiing injury, hit a tree), ETA: 14 minutes</t>
  </si>
  <si>
    <t>14-year-old male patient involved in a downhill skiing injury at Holiday Valley. Hit a tree at unknown speed, wearing his helmet, has a fractured jaw, no missing teeth, airway is clear, positive LOC directly after the hit. He currently has a GCS of 15. Heart rate is 78, normal sinus rhythm, blood pressure is 123 on 72, respiratory rate 20, 98% on Romare.</t>
  </si>
  <si>
    <t>, L2, 14y/o, Vitals(BP 123/72, HR 78, RR 20), GCS:15, MOI(Other), skiier vs tree, helmeted. LOC, jaw injury. mercyflighted, ETA:14 min</t>
  </si>
  <si>
    <t>Downhill skiing injury, hit a tree</t>
  </si>
  <si>
    <t>The transcript mentions a downhill skiing injury where the patient hit a tree.</t>
  </si>
  <si>
    <t>['Heart rate is 78']</t>
  </si>
  <si>
    <t>['Blood pressure is 123 on 72']</t>
  </si>
  <si>
    <t>['positive LOC directly after the hit']</t>
  </si>
  <si>
    <t>['involved in a downhill skiing injury at Holiday Valley', 'Hit a tree at unknown speed', 'wearing his helmet']</t>
  </si>
  <si>
    <t>Dr. Wiest. Hi, Dr. Wiest. This is Eric Barkey, paramedic on Mercy Flight 9. We are inbound with a [REDACTED] patient involved in a downhill skiing injury at Holiday Valley. Hit a tree at unknown speed, wearing his helmet, has a fractured jaw, no missing teeth, airways clear, positive LOC directly after the hit. He currently has a GCS of 15. His vitals are as follows. Heart rate is 78, an abnormal sinus rhythm. Blood pressure is 123 on 72. Respiratory rate is 20. Debt 98% on Romare. He's got a total of 100 in fentanyl given prior to our arrival by ground EMS, and has 4 milligrams of Zolpamine, and also given prior to our arrival. He has no other injuries, no other complaints other than the jaw pain from his fractured jaw. We will be to your facility in about... 14 minutes. Do you have any questions for me? The only question, was he, did he, like, walk at all or anything? This or you guys, he was just pulled right off the slope? He was pulled right off the slope. Okay. He was unable to walk. Okay. Sounds good. Thanks. All right. We'll see when you guys get here. Okay. See you in a bit. Thanks. All right. Bye-bye.</t>
  </si>
  <si>
    <t>Dr. Wiest. Hi, Dr. Wiest. This is Eric Barkey, paramedic on Mercy Flight 9. We are inbound with a 14-year-old male patient involved in a downhill skiing injury at Holiday Valley. Hit a tree at unknown speed, wearing his helmet, has a fractured jaw, no missing teeth, airways clear, positive LOC directly after the hit. He currently has a GCS of 15. His vitals are as follows. [REDACTED], an abnormal sinus rhythm. Blood pressure is 123 on 72. Respiratory rate is 20. Debt 98% on Romare. He's got a total of 100 in fentanyl given prior to our arrival by ground EMS, and has 4 milligrams of Zolpamine, and also given prior to our arrival. He has no other injuries, no other complaints other than the jaw pain from his fractured jaw. We will be to your facility in about... 14 minutes. Do you have any questions for me? The only question, was he, did he, like, walk at all or anything? This or you guys, he was just pulled right off the slope? He was pulled right off the slope. Okay. He was unable to walk. Okay. Sounds good. Thanks. All right. We'll see when you guys get here. Okay. See you in a bit. Thanks. All right. Bye-bye.</t>
  </si>
  <si>
    <t>Dr. Wiest. Hi, Dr. Wiest. This is Eric Barkey, paramedic on Mercy Flight 9. We are inbound with a 14-year-old male patient involved in a downhill skiing injury at Holiday Valley. Hit a tree at unknown speed, wearing his helmet, has a fractured jaw, no missing teeth, airways clear, positive LOC directly after the hit. He currently has a GCS of 15. His vitals are as follows. Heart rate is 78, an abnormal sinus rhythm. [REDACTED]. Respiratory rate is 20. Debt 98% on Romare. He's got a total of 100 in fentanyl given prior to our arrival by ground EMS, and has 4 milligrams of Zolpamine, and also given prior to our arrival. He has no other injuries, no other complaints other than the jaw pain from his fractured jaw. We will be to your facility in about... 14 minutes. Do you have any questions for me? The only question, was he, did he, like, walk at all or anything? This or you guys, he was just pulled right off the slope? He was pulled right off the slope. Okay. He was unable to walk. Okay. Sounds good. Thanks. All right. We'll see when you guys get here. Okay. See you in a bit. Thanks. All right. Bye-bye.</t>
  </si>
  <si>
    <t>Dr. Wiest. Hi, Dr. Wiest. This is Eric Barkey, paramedic on Mercy Flight 9. We are inbound with a 14-year-old male patient involved in a downhill skiing injury at Holiday Valley. Hit a tree at unknown speed, wearing his helmet, has a fractured jaw, no missing teeth, airways clear, positive LOC directly after the hit. He currently has a GCS of 15. His vitals are as follows. Heart rate is 78, an abnormal sinus rhythm. Blood pressure is 123 on 72. [REDACTED]. Debt 98% on Romare. He's got a total of 100 in fentanyl given prior to our arrival by ground EMS, and has 4 milligrams of Zolpamine, and also given prior to our arrival. He has no other injuries, no other complaints other than the jaw pain from his fractured jaw. We will be to your facility in about... 14 minutes. Do you have any questions for me? The only question, was he, did he, like, walk at all or anything? This or you guys, he was just pulled right off the slope? He was pulled right off the slope. Okay. He was unable to walk. Okay. Sounds good. Thanks. All right. We'll see when you guys get here. Okay. See you in a bit. Thanks. All right. Bye-bye.</t>
  </si>
  <si>
    <t>Dr. Wiest. Hi, Dr. Wiest. This is Eric Barkey, paramedic on Mercy Flight 9. We are inbound with a 14-year-old male patient involved in a downhill skiing injury at Holiday Valley. Hit a tree at unknown speed, wearing his helmet, has a fractured jaw, no missing teeth, airways clear, [REDACTED]. He currently has a GCS of 15. His vitals are as follows. Heart rate is 78, an abnormal sinus rhythm. Blood pressure is 123 on 72. Respiratory rate is 20. Debt 98% on Romare. He's got a total of 100 in fentanyl given prior to our arrival by ground EMS, and has 4 milligrams of Zolpamine, and also given prior to our arrival. He has no other injuries, no other complaints other than the jaw pain from his fractured jaw. We will be to your facility in about... 14 minutes. Do you have any questions for me? The only question, was he, did he, like, walk at all or anything? This or you guys, he was just pulled right off the slope? He was pulled right off the slope. Okay. He was unable to walk. Okay. Sounds good. Thanks. All right. We'll see when you guys get here. Okay. See you in a bit. Thanks. All right. Bye-bye.</t>
  </si>
  <si>
    <t>Dr. Wiest. Hi, Dr. Wiest. This is Eric Barkey, paramedic on Mercy Flight 9. We are inbound with a 14-year-old male patient [REDACTED]. [REDACTED], [REDACTED], has a fractured jaw, no missing teeth, airways clear, positive LOC directly after the hit. He currently has a GCS of 15. His vitals are as follows. Heart rate is 78, an abnormal sinus rhythm. Blood pressure is 123 on 72. Respiratory rate is 20. Debt 98% on Romare. He's got a total of 100 in fentanyl given prior to our arrival by ground EMS, and has 4 milligrams of Zolpamine, and also given prior to our arrival. He has no other injuries, no other complaints other than the jaw pain from his fractured jaw. We will be to your facility in about... 14 minutes. Do you have any questions for me? The only question, was he, did he, like, walk at all or anything? This or you guys, he was just pulled right off the slope? He was pulled right off the slope. Okay. He was unable to walk. Okay. Sounds good. Thanks. All right. We'll see when you guys get here. Okay. See you in a bit. Thanks. All right. Bye-bye.</t>
  </si>
  <si>
    <t>Children's Air, Dr. Kenyon. Hi, this is Abby from AMR Dispatch. I've got an ambulance that's on the way to you guys. I was just wondering if I could give you an update. Please. Okay. They're about 10 minutes out, a paramedic unit 264. They're coming in with a 14-year-old male who has two gunshot wounds. One is to the right femur, and the other one is to the left lower flank. He's a sinus on the monitor. The pulse is 76. He does have positive radial pulses. He didn't give me blood pressure at the time, but he's 100% on room air. Okay. He's about 10 minutes. Okay, thanks. Thank you. Bye. Bye.</t>
  </si>
  <si>
    <t>They're coming in with a 14-year-old male who has two gunshot wounds. One is to the right femur, and the other one is to the left lower flank. He's a sinus on the monitor. The pulse is 76. He does have positive radial pulses. He didn't give me blood pressure at the time, but he's 100% on room air.</t>
  </si>
  <si>
    <t>L1, 14y/o, Vitals(BP [??]/[??], HR [??], RR [??]), GCS:15, MOI(GSW), 14 yo 2 GSW, one to femur one to LLQ, ETA:10 min</t>
  </si>
  <si>
    <t>GSW to right femur and left lower flank</t>
  </si>
  <si>
    <t>The transcript mentions a 14-year-old male with two gunshot wounds, specifying the locations.</t>
  </si>
  <si>
    <t>['The pulse is 76']</t>
  </si>
  <si>
    <t>['two gunshot wounds', 'gunshot wounds', 'One is to the right femur, and the other one is to the left lower flank']</t>
  </si>
  <si>
    <t>Children's Air, Dr. Kenyon. Hi, this is Abby from AMR Dispatch. I've got an ambulance that's on the way to you guys. I was just wondering if I could give you an update. Please. Okay. They're about 10 minutes out, a paramedic unit 264. They're coming in with a [REDACTED] who has two gunshot wounds. One is to the right femur, and the other one is to the left lower flank. He's a sinus on the monitor. The pulse is 76. He does have positive radial pulses. He didn't give me blood pressure at the time, but he's 100% on room air. Okay. He's about 10 minutes. Okay, thanks. Thank you. Bye. Bye.</t>
  </si>
  <si>
    <t>Children's Air, Dr. Kenyon. Hi, this is Abby from AMR Dispatch. I've got an ambulance that's on the way to you guys. I was just wondering if I could give you an update. Please. Okay. They're about 10 minutes out, a paramedic unit 264. They're coming in with a 14-year-old male who has two gunshot wounds. One is to the right femur, and the other one is to the left lower flank. He's a sinus on the monitor. [REDACTED]. He does have positive radial pulses. He didn't give me blood pressure at the time, but he's 100% on room air. Okay. He's about 10 minutes. Okay, thanks. Thank you. Bye. Bye.</t>
  </si>
  <si>
    <t>Children's Air, Dr. Kenyon. Hi, this is Abby from AMR Dispatch. I've got an ambulance that's on the way to you guys. I was just wondering if I could give you an update. Please. Okay. They're about 10 minutes out, a paramedic unit 264. They're coming in with a 14-year-old male who has [REDACTED]. [REDACTED]. He's a sinus on the monitor. The pulse is 76. He does have positive radial pulses. He didn't give me blood pressure at the time, but he's 100% on room air. Okay. He's about 10 minutes. Okay, thanks. Thank you. Bye. Bye.</t>
  </si>
  <si>
    <t>Hi, this is X-Panel Children's. Hi, this is Promatic Nerd on Medina Fire. I am bringing you the transfer from Medina ER, the seven-year-old that was run over by the van. Yep. We showed the call you got 10 minutes away. Perfect. Do you have a set of vitals for me? Yes. Heart rate of 88. Okay. Blood pressure of 94 over 60. Okay. She sat at 100% on room air. Okay. The only thing she's really complained about is hip pain. Okay. Right hip pain. All right. We'll be here shortly. It's a call. We'll see you when we get here. Bye. Bye.</t>
  </si>
  <si>
    <t>L2, 7 y/o, Vitals(94/60, 88, N/A), GCS: N/A, MOI (run over by van), ETA: 10 minutes</t>
  </si>
  <si>
    <t>seven-year-old that was run over by the van. Heart rate of 88. Okay. Blood pressure of 94 over 60. Okay. She sat at 100% on room air.</t>
  </si>
  <si>
    <t>L2, 11y/o, Vitals(BP [??]/[??], HR 85, RR [??]), GCS:15, MOI(MVC), Blunt trauma:Abdomen, pt was sitting in door way of open van while dad was driving, flew out and ran over thigh by dad. has right ant ileum fx on pelvic CT, ETA:60 min</t>
  </si>
  <si>
    <t>Run over by a van</t>
  </si>
  <si>
    <t>The transcript mentions a seven-year-old that was run over by a van.</t>
  </si>
  <si>
    <t>['the seven-year-old']</t>
  </si>
  <si>
    <t>['Heart rate of 88']</t>
  </si>
  <si>
    <t>['Blood pressure of 94 over 60']</t>
  </si>
  <si>
    <t>['run over by the van']</t>
  </si>
  <si>
    <t>Hi, this is X-Panel Children's. Hi, this is Promatic Nerd on Medina Fire. I am bringing you the transfer from Medina ER, [REDACTED] that was run over by the van. Yep. We showed the call you got 10 minutes away. Perfect. Do you have a set of vitals for me? Yes. Heart rate of 88. Okay. Blood pressure of 94 over 60. Okay. She sat at 100% on room air. Okay. The only thing she's really complained about is hip pain. Okay. Right hip pain. All right. We'll be here shortly. It's a call. We'll see you when we get here. Bye. Bye.</t>
  </si>
  <si>
    <t>Hi, this is X-Panel Children's. Hi, this is Promatic Nerd on Medina Fire. I am bringing you the transfer from Medina ER, the seven-year-old that was run over by the van. Yep. We showed the call you got 10 minutes away. Perfect. Do you have a set of vitals for me? Yes. [REDACTED]. Okay. Blood pressure of 94 over 60. Okay. She sat at 100% on room air. Okay. The only thing she's really complained about is hip pain. Okay. Right hip pain. All right. We'll be here shortly. It's a call. We'll see you when we get here. Bye. Bye.</t>
  </si>
  <si>
    <t>Hi, this is X-Panel Children's. Hi, this is Promatic Nerd on Medina Fire. I am bringing you the transfer from Medina ER, the seven-year-old that was run over by the van. Yep. We showed the call you got 10 minutes away. Perfect. Do you have a set of vitals for me? Yes. Heart rate of 88. Okay. [REDACTED]. Okay. She sat at 100% on room air. Okay. The only thing she's really complained about is hip pain. Okay. Right hip pain. All right. We'll be here shortly. It's a call. We'll see you when we get here. Bye. Bye.</t>
  </si>
  <si>
    <t>Hi, this is X-Panel Children's. Hi, this is Promatic Nerd on Medina Fire. I am bringing you the transfer from Medina ER, the seven-year-old that was [REDACTED]. Yep. We showed the call you got 10 minutes away. Perfect. Do you have a set of vitals for me? Yes. Heart rate of 88. Okay. Blood pressure of 94 over 60. Okay. She sat at 100% on room air. Okay. The only thing she's really complained about is hip pain. Okay. Right hip pain. All right. We'll be here shortly. It's a call. We'll see you when we get here. Bye. Bye.</t>
  </si>
  <si>
    <t>Dr. Otto's paramedic on AMR 292. Got a bit of a trauma alert for you. Neck, possible spinal injury. I had a 13-year-old male that was goaltending in a soccer tournament out in East Aurora. Had a collision with another player trying to score. Got elbowed hard in the neck. Went down hard and appeared to have a brief loss of consciousness. When he came to, he complained that he could not move his feet or feel anything from the chest down. Since that time when I first arrived, he was like that. Very minimal movement in his upper extremities. A bit of a decortic and kind of posturing of his hands. That has since relaxed and seems to be gaining some sensation and feeling back in his arms and legs. Still generally weak, more so on the left side of the body than the right. He is alert and oriented at this time. Current vital signs. Pulse rate is 98. O2 stats 96% on room. Blood pressure is 139 over 85. Blood sugar is normal. Father is with us. He actually videotaped the collision. Did look like he had a momentary loss of consciousness. Lung fields are clear. No other injuries felt. I didn't feel any crepitus in his neck. He is fully immobilized with cervical collar and backboard. IVs established. Coming from East Aurora and our ETA to you guys now is going to be about 10 to 12 minutes. Okay. GCS, what would you give him? I'm sorry, what? His GCS? His GCS is 15. 15. Okay. He's been 15 the entire time since I've had him. Like I said, the main thing is the sensation and motor deficits of his extremities. They seem to be improving, but he's still pretty diminished. Okay. All right. And he is complaining of sharp pain in his neck. I didn't feel any crepitus or deformity when we put the collar on him. Okay. Sounds good. All right. We'll see you when you get here. Thank you. All right. Thank you. Bye. Bye. Bye. Bye. Bye.</t>
  </si>
  <si>
    <t>13-year-old male Got elbowed in the neck. Brief loss of consciousness complained that he could not move his feet or feel anything from the chest down.  A bit of a decortic and kind of posturing of his hands. Pulse rate is 98. O2 stats 96% on room. Blood pressure is 139 over 85. Blood sugar is normal.GCS is 15.</t>
  </si>
  <si>
    <t>L1, 15y/o, Vitals(BP 139/55, HR 98, RR [??]), GCS:15, MOI(Blunt trauma), Soccer collision, Loc, LE paralysis now slowly improving, diminished sensation, collar/IV in place, ETA:10 min</t>
  </si>
  <si>
    <t>Collision during soccer game</t>
  </si>
  <si>
    <t>The transcript describes a collision with another player while goaltending in a soccer tournament.</t>
  </si>
  <si>
    <t>['Pulse rate is 98']</t>
  </si>
  <si>
    <t>['Blood pressure is 139 over 85']</t>
  </si>
  <si>
    <t>Dr. Otto's paramedic on AMR 292. Got a bit of a trauma alert for you. Neck, possible spinal injury. I had a [REDACTED] that was goaltending in a soccer tournament out in East Aurora. Had a collision with another player trying to score. Got elbowed hard in the neck. Went down hard and appeared to have a brief loss of consciousness. When he came to, he complained that he could not move his feet or feel anything from the chest down. Since that time when I first arrived, he was like that. Very minimal movement in his upper extremities. A bit of a decortic and kind of posturing of his hands. That has since relaxed and seems to be gaining some sensation and feeling back in his arms and legs. Still generally weak, more so on the left side of the body than the right. He is alert and oriented at this time. Current vital signs. Pulse rate is 98. O2 stats 96% on room. Blood pressure is 139 over 85. Blood sugar is normal. Father is with us. He actually videotaped the collision. Did look like he had a momentary loss of consciousness. Lung fields are clear. No other injuries felt. I didn't feel any crepitus in his neck. He is fully immobilized with cervical collar and backboard. IVs established. Coming from East Aurora and our ETA to you guys now is going to be about 10 to 12 minutes. Okay. GCS, what would you give him? I'm sorry, what? His GCS? His GCS is 15. 15. Okay. He's been 15 the entire time since I've had him. Like I said, the main thing is the sensation and motor deficits of his extremities. They seem to be improving, but he's still pretty diminished. Okay. All right. And he is complaining of sharp pain in his neck. I didn't feel any crepitus or deformity when we put the collar on him. Okay. Sounds good. All right. We'll see you when you get here. Thank you. All right. Thank you. Bye. Bye. Bye. Bye. Bye.</t>
  </si>
  <si>
    <t>Dr. Otto's paramedic on AMR 292. Got a bit of a trauma alert for you. Neck, possible spinal injury. I had a 13-year-old male that was goaltending in a soccer tournament out in East Aurora. Had a collision with another player trying to score. Got elbowed hard in the neck. Went down hard and appeared to have a brief loss of consciousness. When he came to, he complained that he could not move his feet or feel anything from the chest down. Since that time when I first arrived, he was like that. Very minimal movement in his upper extremities. A bit of a decortic and kind of posturing of his hands. That has since relaxed and seems to be gaining some sensation and feeling back in his arms and legs. Still generally weak, more so on the left side of the body than the right. He is alert and oriented at this time. Current vital signs. [REDACTED]. O2 stats 96% on room. Blood pressure is 139 over 85. Blood sugar is normal. Father is with us. He actually videotaped the collision. Did look like he had a momentary loss of consciousness. Lung fields are clear. No other injuries felt. I didn't feel any crepitus in his neck. He is fully immobilized with cervical collar and backboard. IVs established. Coming from East Aurora and our ETA to you guys now is going to be about 10 to 12 minutes. Okay. GCS, what would you give him? I'm sorry, what? His GCS? His GCS is 15. 15. Okay. He's been 15 the entire time since I've had him. Like I said, the main thing is the sensation and motor deficits of his extremities. They seem to be improving, but he's still pretty diminished. Okay. All right. And he is complaining of sharp pain in his neck. I didn't feel any crepitus or deformity when we put the collar on him. Okay. Sounds good. All right. We'll see you when you get here. Thank you. All right. Thank you. Bye. Bye. Bye. Bye. Bye.</t>
  </si>
  <si>
    <t>Dr. Otto's paramedic on AMR 292. Got a bit of a trauma alert for you. Neck, possible spinal injury. I had a 13-year-old male that was goaltending in a soccer tournament out in East Aurora. Had a collision with another player trying to score. Got elbowed hard in the neck. Went down hard and appeared to have a brief loss of consciousness. When he came to, he complained that he could not move his feet or feel anything from the chest down. Since that time when I first arrived, he was like that. Very minimal movement in his upper extremities. A bit of a decortic and kind of posturing of his hands. That has since relaxed and seems to be gaining some sensation and feeling back in his arms and legs. Still generally weak, more so on the left side of the body than the right. He is alert and oriented at this time. Current vital signs. Pulse rate is 98. O2 stats 96% on room. [REDACTED]. Blood sugar is normal. Father is with us. He actually videotaped the collision. Did look like he had a momentary loss of consciousness. Lung fields are clear. No other injuries felt. I didn't feel any crepitus in his neck. He is fully immobilized with cervical collar and backboard. IVs established. Coming from East Aurora and our ETA to you guys now is going to be about 10 to 12 minutes. Okay. GCS, what would you give him? I'm sorry, what? His GCS? His GCS is 15. 15. Okay. He's been 15 the entire time since I've had him. Like I said, the main thing is the sensation and motor deficits of his extremities. They seem to be improving, but he's still pretty diminished. Okay. All right. And he is complaining of sharp pain in his neck. I didn't feel any crepitus or deformity when we put the collar on him. Okay. Sounds good. All right. We'll see you when you get here. Thank you. All right. Thank you. Bye. Bye. Bye. Bye. Bye.</t>
  </si>
  <si>
    <t>Dr. Otto's paramedic on AMR 292. Got a bit of a trauma alert for you. Neck, possible spinal injury. I had a 13-year-old male that was goaltending in a soccer tournament out in East Aurora. Had a collision with another player trying to score. Got elbowed hard in the neck. Went down hard and [REDACTED]. When he came to, he complained that he could not move his feet or feel anything from the chest down. Since that time when I first arrived, he was like that. Very minimal movement in his upper extremities. A bit of a decortic and kind of posturing of his hands. That has since relaxed and seems to be gaining some sensation and feeling back in his arms and legs. Still generally weak, more so on the left side of the body than the right. [REDACTED]. Current vital signs. Pulse rate is 98. O2 stats 96% on room. Blood pressure is 139 over 85. Blood sugar is normal. Father is with us. He actually videotaped the collision. Did look like he had a [REDACTED]. Lung fields are clear. No other injuries felt. I didn't feel any crepitus in his neck. He is fully immobilized with cervical collar and backboard. IVs established. Coming from East Aurora and our ETA to you guys now is going to be about 10 to 12 minutes. Okay. GCS, what would you give him? I'm sorry, what? His GCS? His GCS is 15. 15. Okay. He's been 15 the entire time since I've had him. Like I said, the main thing is the sensation and motor deficits of his extremities. They seem to be improving, but he's still pretty diminished. Okay. All right. And he is complaining of sharp pain in his neck. I didn't feel any crepitus or deformity when we put the collar on him. Okay. Sounds good. All right. We'll see you when you get here. Thank you. All right. Thank you. Bye. Bye. Bye. Bye. Bye.</t>
  </si>
  <si>
    <t>Hi, it's Dr. Borski. What can I do for you? Hey, Dr. Borski. My name is Joe Tracy. I'm a paramedic with Twin City Ambulance. How are you? Good. What's up? I'm bringing you a three-year-old post-traumatic arrest. She's going to be a trans-working suburban. Yeah, we have the doctor on the line right now. Oh, do you? Okay. Yeah, somebody's calling Dr. Boughton. But go ahead. You can tell me. So, we've got a I.O. in her right femur. We have 22 on her right hand. Innovated with a 4-17-0 line. Serum vitals are 8.4. Pressure 121 over 70. 100% on room air. Cap no is a little low. It's around 20. Even with solar baggage. Yeah, we're about 15 minutes away or so. We're at 17 kilos. What's her size? We're sat. We're sat right now? 100%? Okay. Any other injuries that you can obviously see? Nothing obvious, but she was in a car seat, got extricated, or was thrown from the car seat, was pinned in the car, and the fire department had to manually extricate her, but she was already in cardiac arrest at that point. Okay. Do you see, like... I know there was another person in the vehicle as well, I believe it was her father. He's also pretty messed up all the time. Okay. He's at insufficiency. So another paramedic took him, so I didn't see him. Okay. Do you see any, like, scalp swellings on this guy, this girl, or is it where? Do I need... I'm sorry, say it one more time? Scalp swelling, like anything on the head that looks swollen? I think she's got a slight abrasion on her forehead, but honestly, it's... Okay. That's a bad case. So no major injury, pregnancy, or whatever. Okay. I think she has to go to hospital for a few minutes. So Suburban did do a... Okay. Okay. Do you... What meds are you running right now? Do you have an epidermal? Right now, it's just saline. There's no epidrip. Her pressure is good enough without it. Saline, no drip. Okay. Do you... And they didn't... Do you know if they used anything when they intubated? Like... I believe they did not. However, I do have succinylcholine and etomidate that's needed. Okay. Okay. Well, she's not doing it. Or her pupils? Can you look at her pupils? Can you look at her pupils? Sure. I sure can. Yeah. Thanks. They are... I don't know what you think. Which is... I mean, they're brown eyes, but what do you think? Here. Give me one second. I just got to turn the lights off. Thanks. Right. Normal and reactive. Woo! Hello. They're reactive? All right. Yeah. Really? Okay. Yeah. Left and right are reactive, so... Okay. All right. So... What time... When are you going to be here? We are right now 10 minutes away. 10 minutes. Okay. Thanks. All righty. Thanks, Sal. Okay. Bye. Bye.</t>
  </si>
  <si>
    <t>three-year-old post-traumatic arrest. Innovated with a 4, 17 to lift line. Serum vitals are 8.4. Pressure 121 over 70. 100% on room air. Cap no is a little low. It's around 20. Even with solar baggage. We're sat right now. 100%.Or her pupils?  Normal and reactive.</t>
  </si>
  <si>
    <t>L1, 3y/o, Vitals(BP [??]/[??], HR [??], RR [??]), GCS:3, MOI(MVC), MVC Ejected from vehicle, Cardiac arrest on arrival to suburban, intubated, coming EMS, ETA:30 min</t>
  </si>
  <si>
    <t>MVC with ejection from car seat</t>
  </si>
  <si>
    <t>The transcript describes a three-year-old who was extricated or thrown from a car seat and pinned in the car, indicating a motor vehicle collision.</t>
  </si>
  <si>
    <t>['three-year-old']</t>
  </si>
  <si>
    <t>['Pressure 121 over 70']</t>
  </si>
  <si>
    <t>Hi, it's Dr. Borski. What can I do for you? Hey, Dr. Borski. My name is Joe Tracy. I'm a paramedic with Twin City Ambulance. How are you? Good. What's up? I'm bringing you a [REDACTED] post-traumatic arrest. She's going to be a trans-working suburban. Yeah, we have the doctor on the line right now. Oh, do you? Okay. Yeah, somebody's calling Dr. Boughton. But go ahead. You can tell me. So, we've got a I.O. in her right femur. We have 22 on her right hand. Innovated with a 4-17-0 line. Serum vitals are 8.4. Pressure 121 over 70. 100% on room air. Cap no is a little low. It's around 20. Even with solar baggage. Yeah, we're about 15 minutes away or so. We're at 17 kilos. What's her size? We're sat. We're sat right now? 100%? Okay. Any other injuries that you can obviously see? Nothing obvious, but she was in a car seat, got extricated, or was thrown from the car seat, was pinned in the car, and the fire department had to manually extricate her, but she was already in cardiac arrest at that point. Okay. Do you see, like... I know there was another person in the vehicle as well, I believe it was her father. He's also pretty messed up all the time. Okay. He's at insufficiency. So another paramedic took him, so I didn't see him. Okay. Do you see any, like, scalp swellings on this guy, this girl, or is it where? Do I need... I'm sorry, say it one more time? Scalp swelling, like anything on the head that looks swollen? I think she's got a slight abrasion on her forehead, but honestly, it's... Okay. That's a bad case. So no major injury, pregnancy, or whatever. Okay. I think she has to go to hospital for a few minutes. So Suburban did do a... Okay. Okay. Do you... What meds are you running right now? Do you have an epidermal? Right now, it's just saline. There's no epidrip. Her pressure is good enough without it. Saline, no drip. Okay. Do you... And they didn't... Do you know if they used anything when they intubated? Like... I believe they did not. However, I do have succinylcholine and etomidate that's needed. Okay. Okay. Well, she's not doing it. Or her pupils? Can you look at her pupils? Can you look at her pupils? Sure. I sure can. Yeah. Thanks. They are... I don't know what you think. Which is... I mean, they're brown eyes, but what do you think? Here. Give me one second. I just got to turn the lights off. Thanks. Right. Normal and reactive. Woo! Hello. They're reactive? All right. Yeah. Really? Okay. Yeah. Left and right are reactive, so... Okay. All right. So... What time... When are you going to be here? We are right now 10 minutes away. 10 minutes. Okay. Thanks. All righty. Thanks, Sal. Okay. Bye. Bye.</t>
  </si>
  <si>
    <t>Hi, it's Dr. Borski. What can I do for you? Hey, Dr. Borski. My name is Joe Tracy. I'm a paramedic with Twin City Ambulance. How are you? Good. What's up? I'm bringing you a three-year-old post-traumatic arrest. She's going to be a trans-working suburban. Yeah, we have the doctor on the line right now. Oh, do you? Okay. Yeah, somebody's calling Dr. Boughton. But go ahead. You can tell me. So, we've got a I.O. in her right femur. We have 22 on her right hand. Innovated with a 4-17-0 line. Serum vitals are 8.4. [REDACTED]. 100% on room air. Cap no is a little low. It's around 20. Even with solar baggage. Yeah, we're about 15 minutes away or so. We're at 17 kilos. What's her size? We're sat. We're sat right now? 100%? Okay. Any other injuries that you can obviously see? Nothing obvious, but she was in a car seat, got extricated, or was thrown from the car seat, was pinned in the car, and the fire department had to manually extricate her, but she was already in cardiac arrest at that point. Okay. Do you see, like... I know there was another person in the vehicle as well, I believe it was her father. He's also pretty messed up all the time. Okay. He's at insufficiency. So another paramedic took him, so I didn't see him. Okay. Do you see any, like, scalp swellings on this guy, this girl, or is it where? Do I need... I'm sorry, say it one more time? Scalp swelling, like anything on the head that looks swollen? I think she's got a slight abrasion on her forehead, but honestly, it's... Okay. That's a bad case. So no major injury, pregnancy, or whatever. Okay. I think she has to go to hospital for a few minutes. So Suburban did do a... Okay. Okay. Do you... What meds are you running right now? Do you have an epidermal? Right now, it's just saline. There's no epidrip. Her pressure is good enough without it. Saline, no drip. Okay. Do you... And they didn't... Do you know if they used anything when they intubated? Like... I believe they did not. However, I do have succinylcholine and etomidate that's needed. Okay. Okay. Well, she's not doing it. Or her pupils? Can you look at her pupils? Can you look at her pupils? Sure. I sure can. Yeah. Thanks. They are... I don't know what you think. Which is... I mean, they're brown eyes, but what do you think? Here. Give me one second. I just got to turn the lights off. Thanks. Right. Normal and reactive. Woo! Hello. They're reactive? All right. Yeah. Really? Okay. Yeah. Left and right are reactive, so... Okay. All right. So... What time... When are you going to be here? We are right now 10 minutes away. 10 minutes. Okay. Thanks. All righty. Thanks, Sal. Okay. Bye. Bye.</t>
  </si>
  <si>
    <t>So, this is Dr. Weiss. It's Valerie from the DAT team. Hey, Val. How are you? Good. I am on my way back, or I'm just about to leave. Okay. Change channel. The baby looks good, actually. The thing around the eyes, it looks more, I don't know if she's got skull finishes, but it looks more like a cellulitis thing. But they're saying bruising, but the forehead is all red, too. But anyways, baby looks good. Heart rate's 167, 100% in room air. Breathing in the 46. 66 over 44 is blood pressure. 66 over 44? Yes. Okay. But he hasn't gotten any fluids. I just got a line in the mouth. Yeah. We did an IST. Glucose was fine. It was 82 on the IST. Okay. It was 134 G6 before on the way here. I told him to get one. But they fed him to it at 130. Okay. Anyways, acting right, you know, not acting anything weird to me. Doesn't sound to me any bruising or anything anywhere else. Okay. That's nice. 734, 43. The O2 on the BBG was 22, minus 3. Bicarb was 23. PCO2 was 25. 34% fats in room air. Okay. That's on the IST. Sodium was 135. The K was 6.0. Ionide calcium 5.5. The H&amp;H on the IST was 25 and 8.5. It was a little higher on their CBC than they did. Sure. They had pulled them off. She weighs 3.2 kilos. She was in the NICU. On our NICU. She was a 34-weeker. Okay. So we'll have a little bit from there. They only kept her for like a couple weeks to feed her. Okay. Okay. Okay. Okay. Okay. Okay. Okay. Okay. Okay. Okay. Okay. Okay. Okay. Okay. Okay. Okay. Okay. Okay. Okay. Okay. Okay. Okay. Okay. Okay. Okay. Okay. Okay. Okay. Okay. Okay. Okay. Okay. the films with me. Awesome. And I have that. Awesome. Yeah, I definitely give them just a little bit of fluids. Yeah, yeah. I think you can do D5 normal saline with 20K maintenance. I don't know if I have it. Oh, okay. Sorry. The K was 6.0 on the ice jack, too. Do you have just D5 normal saline? Probably, yeah. Yeah, if you have D5 normal saline, you could run D5. I have D5 and I have normal saline. I think I have D5.9 or D5. Yeah. I don't have D5 enough. If you have D5 normal saline, I would run D5 normal saline at like 15 an hour. Okay, okay. Awesome. Sounds good. All right, we'll see you when you get here. Okay, bye.</t>
  </si>
  <si>
    <t>skull baby Heart rate's 167, 100% in room air. Breathing in the 46. 66 over 44 is blood pressure. NICU 34 weeker looks good</t>
  </si>
  <si>
    <t>L2, 6w/o, Vitals(BP 66/44, HR 157, RR 46), GCS:15, MOI(NAT (suspected or known)), subarachnoid hemorrhage, R frontal fx, depressed R parietal comminuted fx, ETA:90 min, gave a 10 minute update as well</t>
  </si>
  <si>
    <t>["Heart rate's 167"]</t>
  </si>
  <si>
    <t>['Breathing in the 46']</t>
  </si>
  <si>
    <t>['acting right, you know, not acting anything weird to me']</t>
  </si>
  <si>
    <t>So, this is Dr. Weiss. It's Valerie from the DAT team. Hey, Val. How are you? Good. I am on my way back, or I'm just about to leave. Okay. Change channel. The baby looks good, actually. The thing around the eyes, it looks more, I don't know if she's got skull finishes, but it looks more like a cellulitis thing. But they're saying bruising, but the forehead is all red, too. But anyways, baby looks good. [REDACTED], 100% in room air. Breathing in the 46. 66 over 44 is blood pressure. 66 over 44? Yes. Okay. But he hasn't gotten any fluids. I just got a line in the mouth. Yeah. We did an IST. Glucose was fine. It was 82 on the IST. Okay. It was 134 G6 before on the way here. I told him to get one. But they fed him to it at 130. Okay. Anyways, acting right, you know, not acting anything weird to me. Doesn't sound to me any bruising or anything anywhere else. Okay. That's nice. 734, 43. The O2 on the BBG was 22, minus 3. Bicarb was 23. PCO2 was 25. 34% fats in room air. Okay. That's on the IST. Sodium was 135. The K was 6.0. Ionide calcium 5.5. The H&amp;H on the IST was 25 and 8.5. It was a little higher on their CBC than they did. Sure. They had pulled them off. She weighs 3.2 kilos. She was in the NICU. On our NICU. She was a 34-weeker. Okay. So we'll have a little bit from there. They only kept her for like a couple weeks to feed her. Okay. Okay. Okay. Okay. Okay. Okay. Okay. Okay. Okay. Okay. Okay. Okay. Okay. Okay. Okay. Okay. Okay. Okay. Okay. Okay. Okay. Okay. Okay. Okay. Okay. Okay. Okay. Okay. Okay. Okay. Okay. Okay. the films with me. Awesome. And I have that. Awesome. Yeah, I definitely give them just a little bit of fluids. Yeah, yeah. I think you can do D5 normal saline with 20K maintenance. I don't know if I have it. Oh, okay. Sorry. The K was 6.0 on the ice jack, too. Do you have just D5 normal saline? Probably, yeah. Yeah, if you have D5 normal saline, you could run D5. I have D5 and I have normal saline. I think I have D5.9 or D5. Yeah. I don't have D5 enough. If you have D5 normal saline, I would run D5 normal saline at like 15 an hour. Okay, okay. Awesome. Sounds good. All right, we'll see you when you get here. Okay, bye.</t>
  </si>
  <si>
    <t>So, this is Dr. Weiss. It's Valerie from the DAT team. Hey, Val. How are you? Good. I am on my way back, or I'm just about to leave. Okay. Change channel. The baby looks good, actually. The thing around the eyes, it looks more, I don't know if she's got skull finishes, but it looks more like a cellulitis thing. But they're saying bruising, but the forehead is all red, too. But anyways, baby looks good. Heart rate's 167, 100% in room air. [REDACTED]. 66 over 44 is blood pressure. 66 over 44? Yes. Okay. But he hasn't gotten any fluids. I just got a line in the mouth. Yeah. We did an IST. Glucose was fine. It was 82 on the IST. Okay. It was 134 G6 before on the way here. I told him to get one. But they fed him to it at 130. Okay. Anyways, acting right, you know, not acting anything weird to me. Doesn't sound to me any bruising or anything anywhere else. Okay. That's nice. 734, 43. The O2 on the BBG was 22, minus 3. Bicarb was 23. PCO2 was 25. 34% fats in room air. Okay. That's on the IST. Sodium was 135. The K was 6.0. Ionide calcium 5.5. The H&amp;H on the IST was 25 and 8.5. It was a little higher on their CBC than they did. Sure. They had pulled them off. She weighs 3.2 kilos. She was in the NICU. On our NICU. She was a 34-weeker. Okay. So we'll have a little bit from there. They only kept her for like a couple weeks to feed her. Okay. Okay. Okay. Okay. Okay. Okay. Okay. Okay. Okay. Okay. Okay. Okay. Okay. Okay. Okay. Okay. Okay. Okay. Okay. Okay. Okay. Okay. Okay. Okay. Okay. Okay. Okay. Okay. Okay. Okay. Okay. Okay. the films with me. Awesome. And I have that. Awesome. Yeah, I definitely give them just a little bit of fluids. Yeah, yeah. I think you can do D5 normal saline with 20K maintenance. I don't know if I have it. Oh, okay. Sorry. The K was 6.0 on the ice jack, too. Do you have just D5 normal saline? Probably, yeah. Yeah, if you have D5 normal saline, you could run D5. I have D5 and I have normal saline. I think I have D5.9 or D5. Yeah. I don't have D5 enough. If you have D5 normal saline, I would run D5 normal saline at like 15 an hour. Okay, okay. Awesome. Sounds good. All right, we'll see you when you get here. Okay, bye.</t>
  </si>
  <si>
    <t>So, this is Dr. Weiss. It's Valerie from the DAT team. Hey, Val. How are you? Good. I am on my way back, or I'm just about to leave. Okay. Change channel. The baby looks good, actually. The thing around the eyes, it looks more, I don't know if she's got skull finishes, but it looks more like a cellulitis thing. But they're saying bruising, but the forehead is all red, too. But anyways, baby looks good. Heart rate's 167, 100% in room air. Breathing in the 46. 66 over 44 is blood pressure. 66 over 44? Yes. Okay. But he hasn't gotten any fluids. I just got a line in the mouth. Yeah. We did an IST. Glucose was fine. It was 82 on the IST. Okay. It was 134 G6 before on the way here. I told him to get one. But they fed him to it at 130. Okay. Anyways, [REDACTED]. Doesn't sound to me any bruising or anything anywhere else. Okay. That's nice. 734, 43. The O2 on the BBG was 22, minus 3. Bicarb was 23. PCO2 was 25. 34% fats in room air. Okay. That's on the IST. Sodium was 135. The K was 6.0. Ionide calcium 5.5. The H&amp;H on the IST was 25 and 8.5. It was a little higher on their CBC than they did. Sure. They had pulled them off. She weighs 3.2 kilos. She was in the NICU. On our NICU. She was a 34-weeker. Okay. So we'll have a little bit from there. They only kept her for like a couple weeks to feed her. Okay. Okay. Okay. Okay. Okay. Okay. Okay. Okay. Okay. Okay. Okay. Okay. Okay. Okay. Okay. Okay. Okay. Okay. Okay. Okay. Okay. Okay. Okay. Okay. Okay. Okay. Okay. Okay. Okay. Okay. Okay. Okay. the films with me. Awesome. And I have that. Awesome. Yeah, I definitely give them just a little bit of fluids. Yeah, yeah. I think you can do D5 normal saline with 20K maintenance. I don't know if I have it. Oh, okay. Sorry. The K was 6.0 on the ice jack, too. Do you have just D5 normal saline? Probably, yeah. Yeah, if you have D5 normal saline, you could run D5. I have D5 and I have normal saline. I think I have D5.9 or D5. Yeah. I don't have D5 enough. If you have D5 normal saline, I would run D5 normal saline at like 15 an hour. Okay, okay. Awesome. Sounds good. All right, we'll see you when you get here. Okay, bye.</t>
  </si>
  <si>
    <t>TTI, this is Dr. Kohler. Hi, Doc. This is Paramedic A. Morgan. I have a one-year-old male who was belted in a car seat, passenger, rear seat passenger of a car, involved in a rollover MDA, like a lot of runs and passenger side damage. Was taken out of the vehicle by a father before we got there. His wake and alert GCS at 15 crying. Looks like he has an eye injury, a little contusion, a little blutter on the eye. But other than that, no other obvious deficits or deformity. Heart rate was 160, 100% room air. Where can I get my blood pressure? It'll be there in like three minutes. Perfect. And I'm sorry, what was the age? One. Just a little over one. 11, 27, 20, 21 was the birth rate. Okay. Perfect. We'll see him soon. Thank you so much. All right. Thank you.</t>
  </si>
  <si>
    <t>one year old rollover MVA GCS 15 eye injury contusion Heart rate was 160, 100%</t>
  </si>
  <si>
    <t>L2, 1y/o, Vitals(BP [??]/[??], HR 160, RR [??]), GCS:15, MOI(MVC), MVA rollover, carseat, ETA:2 min</t>
  </si>
  <si>
    <t>Rollover MDA</t>
  </si>
  <si>
    <t>The paramedic described the incident as a rollover motor vehicle accident (MDA).</t>
  </si>
  <si>
    <t>['Heart rate was 160']</t>
  </si>
  <si>
    <t>TTI, this is Dr. Kohler. Hi, Doc. This is Paramedic A. Morgan. I have a one-year-old male who was belted in a car seat, passenger, rear seat passenger of a car, involved in a rollover MDA, like a lot of runs and passenger side damage. Was taken out of the vehicle by a father before we got there. His wake and alert GCS at 15 crying. Looks like he has an eye injury, a little contusion, a little blutter on the eye. But other than that, no other obvious deficits or deformity. [REDACTED], 100% room air. Where can I get my blood pressure? It'll be there in like three minutes. Perfect. And I'm sorry, what was the age? One. Just a little over one. 11, 27, 20, 21 was the birth rate. Okay. Perfect. We'll see him soon. Thank you so much. All right. Thank you.</t>
  </si>
  <si>
    <t>Children's here, Dr. Kenyon. Hi, Dr. Kenyon, Daniel from Mercy Flight Number 6. I think I have a dead report. Yes. Go ahead. I have a transfer from only a general 10-year-old female, ATDX, with a head injury. She's wake-oriented, large hematoma over her left eye. We're believing she has a loss of consciousness. We call the defense. Looks like a broken collarbone, an x-ray. My mother's are glitched at a heart rate of 116, blood pressure 114 over 75, pulse oxy, I remember it was 100%. Currently getting salivate potassium. Also got a dose of HEPRA. And we have about a seven minute VGA. Any questions? No. We'll see you when you get here. Thanks. Happy to. Thank you. Bye-bye.</t>
  </si>
  <si>
    <t>10 year old female She's wake-oriented, large hematoma over her left eye. Loss of consciousness heart rate of 116, blood pressure 114 over 75, pulse oxy, I remember it was 100%</t>
  </si>
  <si>
    <t>L2, 10y/o, Vitals(BP 116/82, HR 102, RR 18), GCS:14, MOI(MVC), ATV accident unhelmeted, Blunt trauma:Head, L supraorbital fx, basilar skull fx, ETA:90 min</t>
  </si>
  <si>
    <t>The transcript does not specify how the head injury occurred.</t>
  </si>
  <si>
    <t>['heart rate of 116']</t>
  </si>
  <si>
    <t>['blood pressure 114 over 75']</t>
  </si>
  <si>
    <t>Children's here, Dr. Kenyon. Hi, Dr. Kenyon, Daniel from Mercy Flight Number 6. I think I have a dead report. Yes. Go ahead. I have a transfer from only a general [REDACTED], ATDX, with a head injury. She's wake-oriented, large hematoma over her left eye. We're believing she has a loss of consciousness. We call the defense. Looks like a broken collarbone, an x-ray. My mother's are glitched at a heart rate of 116, blood pressure 114 over 75, pulse oxy, I remember it was 100%. Currently getting salivate potassium. Also got a dose of HEPRA. And we have about a seven minute VGA. Any questions? No. We'll see you when you get here. Thanks. Happy to. Thank you. Bye-bye.</t>
  </si>
  <si>
    <t>Children's here, Dr. Kenyon. Hi, Dr. Kenyon, Daniel from Mercy Flight Number 6. I think I have a dead report. Yes. Go ahead. I have a transfer from only a general 10-year-old female, ATDX, with a head injury. She's wake-oriented, large hematoma over her left eye. We're believing she has a loss of consciousness. We call the defense. Looks like a broken collarbone, an x-ray. My mother's are glitched at a [REDACTED], blood pressure 114 over 75, pulse oxy, I remember it was 100%. Currently getting salivate potassium. Also got a dose of HEPRA. And we have about a seven minute VGA. Any questions? No. We'll see you when you get here. Thanks. Happy to. Thank you. Bye-bye.</t>
  </si>
  <si>
    <t>Children's here, Dr. Kenyon. Hi, Dr. Kenyon, Daniel from Mercy Flight Number 6. I think I have a dead report. Yes. Go ahead. I have a transfer from only a general 10-year-old female, ATDX, with a head injury. She's wake-oriented, large hematoma over her left eye. We're believing she has a loss of consciousness. We call the defense. Looks like a broken collarbone, an x-ray. My mother's are glitched at a heart rate of 116, [REDACTED], pulse oxy, I remember it was 100%. Currently getting salivate potassium. Also got a dose of HEPRA. And we have about a seven minute VGA. Any questions? No. We'll see you when you get here. Thanks. Happy to. Thank you. Bye-bye.</t>
  </si>
  <si>
    <t>Oshai Children's Hospital, this is Dr. Thalish. Hi, Doc, paramedic, Nielsen Mercy Flight 6. Hi. Can you hear me okay? I can, yep. Okay, perfect. 19-month-old female who was, hang on a second. We might have a, hang on. Mm-hmm. You there, Doc? Yeah, I'm still here. Okay, okay, 19-year-old female, under strain in an Amish buggy that went off the road and rolled over. Mother landed on her, reported to be unconscious when EMS arrived. Currently she's conscious. She's vomited now three times. Conscious and crying now. Blood pressure is 98 over 56. Heart rate is 110. FPO2 is 99, and we're about 15 minutes to the rooftop, and we do have the mother with us, too. She refused EMS, but she, she got some bumps and bruises, but she signed off with the MSM team. Okay, sorry, what was your ETA? About 15 minutes. 15 minutes, okay. Yep. And what would you give her for a GCS right now? Right now she's a 15. She's a 15, okay. Yeah, she's appropriate. She was unrestrained, NBC, that rolled over? It was an Amish buggy. Oh, with the buggy. She was in the mother's arms. Okay. Yeah, the horse spoke, and they went off the road and rolled the buggy over. Okay. Do we know if... Like, if the buggy fell on her or anything like that, or...? They said the mother fell on her. I don't... I think the buggy remained intact, but it's like they remained inside the patient compartment of the buggy, but the mother did land on top of her. Okay. Inside the buggy, so... All righty. All right, thanks so much. All right. See you soon. Bye. Bye.</t>
  </si>
  <si>
    <t>19 month old female amish buggy rolled over unconscious when EMS arrived currently conscious vomited 3x Blood pressure is 98 over 56. Heart rate is 110. FPO2 is 99 GCS 15</t>
  </si>
  <si>
    <t>Update, Pt A, L1, 19m/o, Vitals(BP 98/56, HR 110, RR [??]), GCS:15, MOI(Other), Amish Ejected from Buggy LOCnow unresponsive, ETA:10 min</t>
  </si>
  <si>
    <t>Amish buggy rollover</t>
  </si>
  <si>
    <t>The transcript describes an Amish buggy that went off the road and rolled over, causing injury.</t>
  </si>
  <si>
    <t>['Heart rate is 110']</t>
  </si>
  <si>
    <t>['Blood pressure is 98 over 56']</t>
  </si>
  <si>
    <t>['reported to be unconscious when EMS arrived', "Currently she's conscious", 'Conscious and crying now']</t>
  </si>
  <si>
    <t>Oshai Children's Hospital, this is Dr. Thalish. Hi, Doc, paramedic, Nielsen Mercy Flight 6. Hi. Can you hear me okay? I can, yep. Okay, perfect. 19-month-old female who was, hang on a second. We might have a, hang on. Mm-hmm. You there, Doc? Yeah, I'm still here. Okay, okay, 19-year-old female, under strain in an Amish buggy that went off the road and rolled over. Mother landed on her, reported to be unconscious when EMS arrived. Currently she's conscious. She's vomited now three times. Conscious and crying now. Blood pressure is 98 over 56. [REDACTED]. FPO2 is 99, and we're about 15 minutes to the rooftop, and we do have the mother with us, too. She refused EMS, but she, she got some bumps and bruises, but she signed off with the MSM team. Okay, sorry, what was your ETA? About 15 minutes. 15 minutes, okay. Yep. And what would you give her for a GCS right now? Right now she's a 15. She's a 15, okay. Yeah, she's appropriate. She was unrestrained, NBC, that rolled over? It was an Amish buggy. Oh, with the buggy. She was in the mother's arms. Okay. Yeah, the horse spoke, and they went off the road and rolled the buggy over. Okay. Do we know if... Like, if the buggy fell on her or anything like that, or...? They said the mother fell on her. I don't... I think the buggy remained intact, but it's like they remained inside the patient compartment of the buggy, but the mother did land on top of her. Okay. Inside the buggy, so... All righty. All right, thanks so much. All right. See you soon. Bye. Bye.</t>
  </si>
  <si>
    <t>Oshai Children's Hospital, this is Dr. Thalish. Hi, Doc, paramedic, Nielsen Mercy Flight 6. Hi. Can you hear me okay? I can, yep. Okay, perfect. 19-month-old female who was, hang on a second. We might have a, hang on. Mm-hmm. You there, Doc? Yeah, I'm still here. Okay, okay, 19-year-old female, under strain in an Amish buggy that went off the road and rolled over. Mother landed on her, reported to be unconscious when EMS arrived. Currently she's conscious. She's vomited now three times. Conscious and crying now. [REDACTED]. Heart rate is 110. FPO2 is 99, and we're about 15 minutes to the rooftop, and we do have the mother with us, too. She refused EMS, but she, she got some bumps and bruises, but she signed off with the MSM team. Okay, sorry, what was your ETA? About 15 minutes. 15 minutes, okay. Yep. And what would you give her for a GCS right now? Right now she's a 15. She's a 15, okay. Yeah, she's appropriate. She was unrestrained, NBC, that rolled over? It was an Amish buggy. Oh, with the buggy. She was in the mother's arms. Okay. Yeah, the horse spoke, and they went off the road and rolled the buggy over. Okay. Do we know if... Like, if the buggy fell on her or anything like that, or...? They said the mother fell on her. I don't... I think the buggy remained intact, but it's like they remained inside the patient compartment of the buggy, but the mother did land on top of her. Okay. Inside the buggy, so... All righty. All right, thanks so much. All right. See you soon. Bye. Bye.</t>
  </si>
  <si>
    <t>Oshai Children's Hospital, this is Dr. Thalish. Hi, Doc, paramedic, Nielsen Mercy Flight 6. Hi. Can you hear me okay? I can, yep. Okay, perfect. 19-month-old female who was, hang on a second. We might have a, hang on. Mm-hmm. You there, Doc? Yeah, I'm still here. Okay, okay, 19-year-old female, under strain in an Amish buggy that went off the road and rolled over. Mother landed on her, [REDACTED]. [REDACTED]. She's vomited now three times. [REDACTED]. Blood pressure is 98 over 56. Heart rate is 110. FPO2 is 99, and we're about 15 minutes to the rooftop, and we do have the mother with us, too. She refused EMS, but she, she got some bumps and bruises, but she signed off with the MSM team. Okay, sorry, what was your ETA? About 15 minutes. 15 minutes, okay. Yep. And what would you give her for a GCS right now? Right now she's a 15. She's a 15, okay. Yeah, she's appropriate. She was unrestrained, NBC, that rolled over? It was an Amish buggy. Oh, with the buggy. She was in the mother's arms. Okay. Yeah, the horse spoke, and they went off the road and rolled the buggy over. Okay. Do we know if... Like, if the buggy fell on her or anything like that, or...? They said the mother fell on her. I don't... I think the buggy remained intact, but it's like they remained inside the patient compartment of the buggy, but the mother did land on top of her. Okay. Inside the buggy, so... All righty. All right, thanks so much. All right. See you soon. Bye. Bye.</t>
  </si>
  <si>
    <t>Dr. Salish, PZD. Hi, it's Kramer, my colleague. How are you doing? Good. What's going on? So, I'm bringing you guys a six-year-old female that was involved in an 18-year-old over. Unknown to the deck of health badge she was going when it rolled. Was wearing her helmet. Parked her father. She was unresponsive for about 20 to 30 seconds, but once she came to, was acting for normal. Mm-hmm. She's playing a mid-back pain, a palm palpation in general. Got multiple abrasions throughout. Mm-hmm. No pain anywhere else I've palpated. Her vitals are stable. I got a heart rate of 92, 96 over 57 for her pressure. Getting 100% on room air. I got a C-tiller on her, and cry for an IV, but couldn't get it. We're about 40 or so minutes out. 40 minutes out? Okay. And she's 15 for you guys? Yes. Okay. Pulse ox normal, respiratory normal? Yep. Okay. All righty. And did it roll on top of her? Did she get flung from it, or do we not know that? From what her father described, it sounds like it rolled on top of her, but wasn't on top of her very long. Okay. As soon as it rolled on top of her, it was more or less off her as it finished rolling. Okay. Gotcha, gotcha. All righty. Sounds good. So, yeah, give us a call back if anything changes, if she starts mentating not normally or anything like that. Okay? All right. Will do. All right. Thanks so much. Bye. Thanks. Bye.</t>
  </si>
  <si>
    <t>6 year old roll over wearing helmet unresponsive 20 - 30 seconds acting normal vitals stable heart rate of 92, 96 over 57 for her pressure. Getting 100% on room air.</t>
  </si>
  <si>
    <t>L2, 6y/o, Vitals(BP 96/57, HR 92, RR [??]), GCS:15, MOI(ATV or Motorcycle), ATV rolled over, wearing helmet, awake/alert, abrasions, brief possible LOC, ETA:40 min</t>
  </si>
  <si>
    <t>The transcript describes an incident where an ATV rolled over, involving a six-year-old female.</t>
  </si>
  <si>
    <t>['96 over 57 for her pressure']</t>
  </si>
  <si>
    <t>Dr. Salish, PZD. Hi, it's Kramer, my colleague. How are you doing? Good. What's going on? So, I'm bringing you guys a [REDACTED] that was involved in an 18-year-old over. Unknown to the deck of health badge she was going when it rolled. Was wearing her helmet. Parked her father. She was unresponsive for about 20 to 30 seconds, but once she came to, was acting for normal. Mm-hmm. She's playing a mid-back pain, a palm palpation in general. Got multiple abrasions throughout. Mm-hmm. No pain anywhere else I've palpated. Her vitals are stable. I got a heart rate of 92, 96 over 57 for her pressure. Getting 100% on room air. I got a C-tiller on her, and cry for an IV, but couldn't get it. We're about 40 or so minutes out. 40 minutes out? Okay. And she's 15 for you guys? Yes. Okay. Pulse ox normal, respiratory normal? Yep. Okay. All righty. And did it roll on top of her? Did she get flung from it, or do we not know that? From what her father described, it sounds like it rolled on top of her, but wasn't on top of her very long. Okay. As soon as it rolled on top of her, it was more or less off her as it finished rolling. Okay. Gotcha, gotcha. All righty. Sounds good. So, yeah, give us a call back if anything changes, if she starts mentating not normally or anything like that. Okay? All right. Will do. All right. Thanks so much. Bye. Thanks. Bye.</t>
  </si>
  <si>
    <t>Dr. Salish, PZD. Hi, it's Kramer, my colleague. How are you doing? Good. What's going on? So, I'm bringing you guys a six-year-old female that was involved in an 18-year-old over. Unknown to the deck of health badge she was going when it rolled. Was wearing her helmet. Parked her father. She was unresponsive for about 20 to 30 seconds, but once she came to, was acting for normal. Mm-hmm. She's playing a mid-back pain, a palm palpation in general. Got multiple abrasions throughout. Mm-hmm. No pain anywhere else I've palpated. Her vitals are stable. I got a [REDACTED], 96 over 57 for her pressure. Getting 100% on room air. I got a C-tiller on her, and cry for an IV, but couldn't get it. We're about 40 or so minutes out. 40 minutes out? Okay. And she's 15 for you guys? Yes. Okay. Pulse ox normal, respiratory normal? Yep. Okay. All righty. And did it roll on top of her? Did she get flung from it, or do we not know that? From what her father described, it sounds like it rolled on top of her, but wasn't on top of her very long. Okay. As soon as it rolled on top of her, it was more or less off her as it finished rolling. Okay. Gotcha, gotcha. All righty. Sounds good. So, yeah, give us a call back if anything changes, if she starts mentating not normally or anything like that. Okay? All right. Will do. All right. Thanks so much. Bye. Thanks. Bye.</t>
  </si>
  <si>
    <t>Dr. Salish, PZD. Hi, it's Kramer, my colleague. How are you doing? Good. What's going on? So, I'm bringing you guys a six-year-old female that was involved in an 18-year-old over. Unknown to the deck of health badge she was going when it rolled. Was wearing her helmet. Parked her father. She was unresponsive for about 20 to 30 seconds, but once she came to, was acting for normal. Mm-hmm. She's playing a mid-back pain, a palm palpation in general. Got multiple abrasions throughout. Mm-hmm. No pain anywhere else I've palpated. Her vitals are stable. I got a heart rate of 92, [REDACTED]. Getting 100% on room air. I got a C-tiller on her, and cry for an IV, but couldn't get it. We're about 40 or so minutes out. 40 minutes out? Okay. And she's 15 for you guys? Yes. Okay. Pulse ox normal, respiratory normal? Yep. Okay. All righty. And did it roll on top of her? Did she get flung from it, or do we not know that? From what her father described, it sounds like it rolled on top of her, but wasn't on top of her very long. Okay. As soon as it rolled on top of her, it was more or less off her as it finished rolling. Okay. Gotcha, gotcha. All righty. Sounds good. So, yeah, give us a call back if anything changes, if she starts mentating not normally or anything like that. Okay? All right. Will do. All right. Thanks so much. Bye. Thanks. Bye.</t>
  </si>
  <si>
    <t>Hello, Dr. Sadesky, I'm going to help you. Hi, Doctor, this is Ryan, a paramedic with AMR. I'm going to be coming in with a 9-year-old female hit by a car approximately 30 miles an hour. She's alert and oriented times 3. Blood pressure is 134 over 92, 132 for the heart rate, 100% on room air. It looks like the car ran over both of her legs. She has some cuts and abrasions on both legs with pain and palpation in both lower legs. We're about 15 out at this point, and I want to give her some fentanyl for the pain. She weighs about 90 pounds. Are you guys good with me giving the fentanyl? Yeah, you can give it. Do you see us as 15? Yeah. Yeah, you can give the fentanyl for the pain. Perfect. Thank you, Doc. And you're 15 minutes away, you said? Yeah, about 15, 20, right? Okay. Sounds good. We'll wait for you here. Thank you. Thanks.</t>
  </si>
  <si>
    <t>9 year old female hit by car 30 mph alert oriented x 3 Blood pressure is 134 over 92, 132 for the heart rate, 100% on room air. Ran over both legs</t>
  </si>
  <si>
    <t>L2, 9y/o, Vitals(BP 134/92, HR 132, RR [??]), GCS:15, MOI(Ped Vs Car), Car rove over legs, no obvious deformity, no LOC, ETA:12 min</t>
  </si>
  <si>
    <t>The transcript states the patient is a 9-year-old female hit by a car at approximately 30 miles an hour.</t>
  </si>
  <si>
    <t>['9-year-old female']</t>
  </si>
  <si>
    <t>['132 for the heart rate']</t>
  </si>
  <si>
    <t>['Blood pressure is 134 over 92']</t>
  </si>
  <si>
    <t>['alert and oriented times 3']</t>
  </si>
  <si>
    <t>Hello, Dr. Sadesky, I'm going to help you. Hi, Doctor, this is Ryan, a paramedic with AMR. I'm going to be coming in with a [REDACTED] hit by a car approximately 30 miles an hour. She's alert and oriented times 3. Blood pressure is 134 over 92, 132 for the heart rate, 100% on room air. It looks like the car ran over both of her legs. She has some cuts and abrasions on both legs with pain and palpation in both lower legs. We're about 15 out at this point, and I want to give her some fentanyl for the pain. She weighs about 90 pounds. Are you guys good with me giving the fentanyl? Yeah, you can give it. Do you see us as 15? Yeah. Yeah, you can give the fentanyl for the pain. Perfect. Thank you, Doc. And you're 15 minutes away, you said? Yeah, about 15, 20, right? Okay. Sounds good. We'll wait for you here. Thank you. Thanks.</t>
  </si>
  <si>
    <t>Hello, Dr. Sadesky, I'm going to help you. Hi, Doctor, this is Ryan, a paramedic with AMR. I'm going to be coming in with a 9-year-old female hit by a car approximately 30 miles an hour. She's alert and oriented times 3. Blood pressure is 134 over 92, [REDACTED], 100% on room air. It looks like the car ran over both of her legs. She has some cuts and abrasions on both legs with pain and palpation in both lower legs. We're about 15 out at this point, and I want to give her some fentanyl for the pain. She weighs about 90 pounds. Are you guys good with me giving the fentanyl? Yeah, you can give it. Do you see us as 15? Yeah. Yeah, you can give the fentanyl for the pain. Perfect. Thank you, Doc. And you're 15 minutes away, you said? Yeah, about 15, 20, right? Okay. Sounds good. We'll wait for you here. Thank you. Thanks.</t>
  </si>
  <si>
    <t>Hello, Dr. Sadesky, I'm going to help you. Hi, Doctor, this is Ryan, a paramedic with AMR. I'm going to be coming in with a 9-year-old female hit by a car approximately 30 miles an hour. She's alert and oriented times 3. [REDACTED], 132 for the heart rate, 100% on room air. It looks like the car ran over both of her legs. She has some cuts and abrasions on both legs with pain and palpation in both lower legs. We're about 15 out at this point, and I want to give her some fentanyl for the pain. She weighs about 90 pounds. Are you guys good with me giving the fentanyl? Yeah, you can give it. Do you see us as 15? Yeah. Yeah, you can give the fentanyl for the pain. Perfect. Thank you, Doc. And you're 15 minutes away, you said? Yeah, about 15, 20, right? Okay. Sounds good. We'll wait for you here. Thank you. Thanks.</t>
  </si>
  <si>
    <t>Hello, Dr. Sadesky, I'm going to help you. Hi, Doctor, this is Ryan, a paramedic with AMR. I'm going to be coming in with a 9-year-old female hit by a car approximately 30 miles an hour. She's [REDACTED]. Blood pressure is 134 over 92, 132 for the heart rate, 100% on room air. It looks like the car ran over both of her legs. She has some cuts and abrasions on both legs with pain and palpation in both lower legs. We're about 15 out at this point, and I want to give her some fentanyl for the pain. She weighs about 90 pounds. Are you guys good with me giving the fentanyl? Yeah, you can give it. Do you see us as 15? Yeah. Yeah, you can give the fentanyl for the pain. Perfect. Thank you, Doc. And you're 15 minutes away, you said? Yeah, about 15, 20, right? Okay. Sounds good. We'll wait for you here. Thank you. Thanks.</t>
  </si>
  <si>
    <t>Oshai Emergency Department, Dr. Sellish. Hi, this is Nate Osborne of Paramedicals for Donia Firehouse. How are you doing? Good. What's going on? I have a 16-year-old male. I'm just calling basically just kind of to make sure I get him to the right facility. Obviously, 16 is kind of just on that borderline of whether I come to you guys or if I go to ECMC. Okay. I got a 16-year-old male. He was involved in an ATV accident tonight. No LOC, no neck or back pain. The only real injuries that we have are ankle injuries to both ankles. On the right, on the inside of his ankle, it's pretty deep abrasion down to tendons and ligaments and all that. Not sure if it's swollen up. I'm not sure if it's 100% broken. I think it's more so just a super deep gash. Does he have a hole set below that area or distal to it? Yes, yes. Okay. And then I just... On the way up here, I looked at his other ankle and he's got... I'm assuming that... I'm thinking that one's more broken. I think that one's more of an open fracture on his left ankle. Mm-hmm. Bleeding. I just got him comfortable. We had to take a break while I was trying to get him bleeding controlled and all that stuff. So I wanted to make sure I got him to you or to ECMC. Well, which facility are you guys closer to? Because you can bring him to either. We're on the 90 coming from Fredonia. So it's... It's... It's six, one-half dozen, the other. It's just whatever's the best for him, honestly. I mean, you know, we'll take him here. They'll take him there. So that's perfectly fine, either one. Okay. But can I just have the rest of his vitals from you? Yep. Blood pressure 136 over 83. Heart rate at 70. Sinus on the monitor. Mm-hmm. I've given him 50 of fentanyl and four of Zolprain right now. Okay. Stabbing 100% on room air. Yep. Okay. And UCS has been 15 the whole time for you guys? Yep. Yep. He remembers the whole accident and everything like that. No LLC, nothing. Okay. The only issues are the vehicles. Okay. Yeah. If you guys are coming this way, what's your ETA, roughly? Adam, where are we at? We're not even at Silver Creek yet, so probably 30-plus minutes at this point. 30 minutes. Okay. Yeah. You guys are welcome to bring him here. That's fine. We'll just bring him. I already gave you the report, so we'll just come right and talk to you. All righty. Sounds good. Thank you. All right. See you in a bit. Do you want me to call and get a little closer, or are you all set? If there's clinical concerns or changes, you can always call back, but otherwise, it's fine. Okay. All righty. We'll see you when we get there. Thanks. Bye. Bye. Bye. Bye.</t>
  </si>
  <si>
    <t>16 year old male ATV accident no LOC ankle injuries deep to tendons and ligamentsopen fracture left ankle Blood pressure 136 over 83. Heart rate at 70 GCS 15</t>
  </si>
  <si>
    <t>, L2, 16y/o, Vitals(BP 136/83, HR 70, RR 20), GCS:15, MOI(ATV or Motorcycle), no LOC, b/l ankle injuries, possible open fracture, ETA:30 min</t>
  </si>
  <si>
    <t>The transcript mentions a 16-year-old male involved in an ATV accident with specific injuries to both ankles.</t>
  </si>
  <si>
    <t>['Heart rate at 70']</t>
  </si>
  <si>
    <t>Oshai Emergency Department, Dr. Sellish. Hi, this is Nate Osborne of Paramedicals for Donia Firehouse. How are you doing? Good. What's going on? I have a 16-year-old male. I'm just calling basically just kind of to make sure I get him to the right facility. Obviously, 16 is kind of just on that borderline of whether I come to you guys or if I go to ECMC. Okay. I got a 16-year-old male. He was involved in an ATV accident tonight. No LOC, no neck or back pain. The only real injuries that we have are ankle injuries to both ankles. On the right, on the inside of his ankle, it's pretty deep abrasion down to tendons and ligaments and all that. Not sure if it's swollen up. I'm not sure if it's 100% broken. I think it's more so just a super deep gash. Does he have a hole set below that area or distal to it? Yes, yes. Okay. And then I just... On the way up here, I looked at his other ankle and he's got... I'm assuming that... I'm thinking that one's more broken. I think that one's more of an open fracture on his left ankle. Mm-hmm. Bleeding. I just got him comfortable. We had to take a break while I was trying to get him bleeding controlled and all that stuff. So I wanted to make sure I got him to you or to ECMC. Well, which facility are you guys closer to? Because you can bring him to either. We're on the 90 coming from Fredonia. So it's... It's... It's six, one-half dozen, the other. It's just whatever's the best for him, honestly. I mean, you know, we'll take him here. They'll take him there. So that's perfectly fine, either one. Okay. But can I just have the rest of his vitals from you? Yep. Blood pressure 136 over 83. [REDACTED]. Sinus on the monitor. Mm-hmm. I've given him 50 of fentanyl and four of Zolprain right now. Okay. Stabbing 100% on room air. Yep. Okay. And UCS has been 15 the whole time for you guys? Yep. Yep. He remembers the whole accident and everything like that. No LLC, nothing. Okay. The only issues are the vehicles. Okay. Yeah. If you guys are coming this way, what's your ETA, roughly? Adam, where are we at? We're not even at Silver Creek yet, so probably 30-plus minutes at this point. 30 minutes. Okay. Yeah. You guys are welcome to bring him here. That's fine. We'll just bring him. I already gave you the report, so we'll just come right and talk to you. All righty. Sounds good. Thank you. All right. See you in a bit. Do you want me to call and get a little closer, or are you all set? If there's clinical concerns or changes, you can always call back, but otherwise, it's fine. Okay. All righty. We'll see you when we get there. Thanks. Bye. Bye. Bye. Bye.</t>
  </si>
  <si>
    <t>Children's area, this is Dr. Weiss. Hey, Doctor, this is Adam on Mercy Flight 8. Can you hear me okay? Yep. I've got an 11-month-old female, fall from unknown heights. Ever since then, she's been kind of an altered mental, disconjugate gaze to the right. At first, she wasn't reacting towards pain or anything, but when I just closed the doors to the helicopter, the slamming actually startled her, but that's the first real reaction I've had from her. We're probably at about an hour now since she fell. That's the best guess. Her vitals are pretty stable. Blood pressure is 131 over 79. Heart rate's 162. Respiratory rate's 40. Pulse ox is 100, but that's on a pediatric non-rebreather. She de-sets pretty quickly if we take her off the oxygen. And we've probably got about a 10- to 12-minute ETA to the rooftop. Okay, so where are you guys coming from? Billboard, New York, so down Allegheny County area. Okay, and were they seen at a hospital, or did you guys get involved right away? No, this is a call for an eye. This is an on-scene. She hasn't been evaluated at all yet. Okay, so her GCS right now, you're kind of saying eye-opening to voice type of thing. That gives me kind of a three. What is she doing motor-wise? Motor-wise, she hasn't really done any. I mean, she's got tone. Does she withdraw to pain? Is she posturing at all? She did not. I started an IV on her, and I stuck her twice, and she didn't flinch for either one of them. Okay. Like I said, she just started reacting a little bit now, and she was stuttered by the noise. Okay. Before that, almost nothing. All right, and was she moaning at all with the IV? Has she done any sorts of vocalizations at all for you? I guess not. I guess not. It doesn't matter. Are you still there, Doc? Yes. Sorry I lost you. I was just trying to figure out what her GCS was, especially with kind of fall from unknown height. I'd give her, I'd probably give her like. I don't know if you can still hear me or not, Doc, but I'd give her like. You'd give her like an eight? Is that what I heard, an eight? Yeah. I'm not sure. Yeah. Okay. All right. I think you're saying eight, but I can't fully hear you. I know you're kind of in the air. Okay. I would, again. All right. I would, if she is, if you can hear me, if she is not in a collar, I'd put her in a collar. I would have a low threshold to kind of supplement her oxygen by bagging her, and we'll be here when you get here. We'll be ready when you get here. Yeah. You can't hear. I don't think I'm saying. All right. So. Okay.</t>
  </si>
  <si>
    <t>11 month female fall unknown height altered mental disconjugate gaze to the right wasn’t reacting towards pain Blood pressure is 131 over 79. Heart rate's 162. Respiratory rate's 40. Pulse ox is 100 on non rebreather GCS 8</t>
  </si>
  <si>
    <t>L1, 11m/o, Vitals(BP 131/79, HR 160, RR 40), GCS:8, MOI(Fall&gt;10 or 3x Child height), Fall unknown height, GCS ?8, right gaze deviation., Mercy Flight, ETA:10 min</t>
  </si>
  <si>
    <t>Fall from unknown heights</t>
  </si>
  <si>
    <t>The transcript mentions an 11-month-old female who fell from an unknown height.</t>
  </si>
  <si>
    <t>['11-month-old female']</t>
  </si>
  <si>
    <t>["Heart rate's 162"]</t>
  </si>
  <si>
    <t>['Blood pressure is 131 over 79']</t>
  </si>
  <si>
    <t>["Respiratory rate's 40"]</t>
  </si>
  <si>
    <t>Children's area, this is Dr. Weiss. Hey, Doctor, this is Adam on Mercy Flight 8. Can you hear me okay? Yep. I've got an [REDACTED], fall from unknown heights. Ever since then, she's been kind of an altered mental, disconjugate gaze to the right. At first, she wasn't reacting towards pain or anything, but when I just closed the doors to the helicopter, the slamming actually startled her, but that's the first real reaction I've had from her. We're probably at about an hour now since she fell. That's the best guess. Her vitals are pretty stable. Blood pressure is 131 over 79. Heart rate's 162. Respiratory rate's 40. Pulse ox is 100, but that's on a pediatric non-rebreather. She de-sets pretty quickly if we take her off the oxygen. And we've probably got about a 10- to 12-minute ETA to the rooftop. Okay, so where are you guys coming from? Billboard, New York, so down Allegheny County area. Okay, and were they seen at a hospital, or did you guys get involved right away? No, this is a call for an eye. This is an on-scene. She hasn't been evaluated at all yet. Okay, so her GCS right now, you're kind of saying eye-opening to voice type of thing. That gives me kind of a three. What is she doing motor-wise? Motor-wise, she hasn't really done any. I mean, she's got tone. Does she withdraw to pain? Is she posturing at all? She did not. I started an IV on her, and I stuck her twice, and she didn't flinch for either one of them. Okay. Like I said, she just started reacting a little bit now, and she was stuttered by the noise. Okay. Before that, almost nothing. All right, and was she moaning at all with the IV? Has she done any sorts of vocalizations at all for you? I guess not. I guess not. It doesn't matter. Are you still there, Doc? Yes. Sorry I lost you. I was just trying to figure out what her GCS was, especially with kind of fall from unknown height. I'd give her, I'd probably give her like. I don't know if you can still hear me or not, Doc, but I'd give her like. You'd give her like an eight? Is that what I heard, an eight? Yeah. I'm not sure. Yeah. Okay. All right. I think you're saying eight, but I can't fully hear you. I know you're kind of in the air. Okay. I would, again. All right. I would, if she is, if you can hear me, if she is not in a collar, I'd put her in a collar. I would have a low threshold to kind of supplement her oxygen by bagging her, and we'll be here when you get here. We'll be ready when you get here. Yeah. You can't hear. I don't think I'm saying. All right. So. Okay.</t>
  </si>
  <si>
    <t>Children's area, this is Dr. Weiss. Hey, Doctor, this is Adam on Mercy Flight 8. Can you hear me okay? Yep. I've got an 11-month-old female, fall from unknown heights. Ever since then, she's been kind of an altered mental, disconjugate gaze to the right. At first, she wasn't reacting towards pain or anything, but when I just closed the doors to the helicopter, the slamming actually startled her, but that's the first real reaction I've had from her. We're probably at about an hour now since she fell. That's the best guess. Her vitals are pretty stable. Blood pressure is 131 over 79. [REDACTED]. Respiratory rate's 40. Pulse ox is 100, but that's on a pediatric non-rebreather. She de-sets pretty quickly if we take her off the oxygen. And we've probably got about a 10- to 12-minute ETA to the rooftop. Okay, so where are you guys coming from? Billboard, New York, so down Allegheny County area. Okay, and were they seen at a hospital, or did you guys get involved right away? No, this is a call for an eye. This is an on-scene. She hasn't been evaluated at all yet. Okay, so her GCS right now, you're kind of saying eye-opening to voice type of thing. That gives me kind of a three. What is she doing motor-wise? Motor-wise, she hasn't really done any. I mean, she's got tone. Does she withdraw to pain? Is she posturing at all? She did not. I started an IV on her, and I stuck her twice, and she didn't flinch for either one of them. Okay. Like I said, she just started reacting a little bit now, and she was stuttered by the noise. Okay. Before that, almost nothing. All right, and was she moaning at all with the IV? Has she done any sorts of vocalizations at all for you? I guess not. I guess not. It doesn't matter. Are you still there, Doc? Yes. Sorry I lost you. I was just trying to figure out what her GCS was, especially with kind of fall from unknown height. I'd give her, I'd probably give her like. I don't know if you can still hear me or not, Doc, but I'd give her like. You'd give her like an eight? Is that what I heard, an eight? Yeah. I'm not sure. Yeah. Okay. All right. I think you're saying eight, but I can't fully hear you. I know you're kind of in the air. Okay. I would, again. All right. I would, if she is, if you can hear me, if she is not in a collar, I'd put her in a collar. I would have a low threshold to kind of supplement her oxygen by bagging her, and we'll be here when you get here. We'll be ready when you get here. Yeah. You can't hear. I don't think I'm saying. All right. So. Okay.</t>
  </si>
  <si>
    <t>Children's area, this is Dr. Weiss. Hey, Doctor, this is Adam on Mercy Flight 8. Can you hear me okay? Yep. I've got an 11-month-old female, fall from unknown heights. Ever since then, she's been kind of an altered mental, disconjugate gaze to the right. At first, she wasn't reacting towards pain or anything, but when I just closed the doors to the helicopter, the slamming actually startled her, but that's the first real reaction I've had from her. We're probably at about an hour now since she fell. That's the best guess. Her vitals are pretty stable. [REDACTED]. Heart rate's 162. Respiratory rate's 40. Pulse ox is 100, but that's on a pediatric non-rebreather. She de-sets pretty quickly if we take her off the oxygen. And we've probably got about a 10- to 12-minute ETA to the rooftop. Okay, so where are you guys coming from? Billboard, New York, so down Allegheny County area. Okay, and were they seen at a hospital, or did you guys get involved right away? No, this is a call for an eye. This is an on-scene. She hasn't been evaluated at all yet. Okay, so her GCS right now, you're kind of saying eye-opening to voice type of thing. That gives me kind of a three. What is she doing motor-wise? Motor-wise, she hasn't really done any. I mean, she's got tone. Does she withdraw to pain? Is she posturing at all? She did not. I started an IV on her, and I stuck her twice, and she didn't flinch for either one of them. Okay. Like I said, she just started reacting a little bit now, and she was stuttered by the noise. Okay. Before that, almost nothing. All right, and was she moaning at all with the IV? Has she done any sorts of vocalizations at all for you? I guess not. I guess not. It doesn't matter. Are you still there, Doc? Yes. Sorry I lost you. I was just trying to figure out what her GCS was, especially with kind of fall from unknown height. I'd give her, I'd probably give her like. I don't know if you can still hear me or not, Doc, but I'd give her like. You'd give her like an eight? Is that what I heard, an eight? Yeah. I'm not sure. Yeah. Okay. All right. I think you're saying eight, but I can't fully hear you. I know you're kind of in the air. Okay. I would, again. All right. I would, if she is, if you can hear me, if she is not in a collar, I'd put her in a collar. I would have a low threshold to kind of supplement her oxygen by bagging her, and we'll be here when you get here. We'll be ready when you get here. Yeah. You can't hear. I don't think I'm saying. All right. So. Okay.</t>
  </si>
  <si>
    <t>Children's area, this is Dr. Weiss. Hey, Doctor, this is Adam on Mercy Flight 8. Can you hear me okay? Yep. I've got an 11-month-old female, fall from unknown heights. Ever since then, she's been kind of an altered mental, disconjugate gaze to the right. At first, she wasn't reacting towards pain or anything, but when I just closed the doors to the helicopter, the slamming actually startled her, but that's the first real reaction I've had from her. We're probably at about an hour now since she fell. That's the best guess. Her vitals are pretty stable. Blood pressure is 131 over 79. Heart rate's 162. [REDACTED]. Pulse ox is 100, but that's on a pediatric non-rebreather. She de-sets pretty quickly if we take her off the oxygen. And we've probably got about a 10- to 12-minute ETA to the rooftop. Okay, so where are you guys coming from? Billboard, New York, so down Allegheny County area. Okay, and were they seen at a hospital, or did you guys get involved right away? No, this is a call for an eye. This is an on-scene. She hasn't been evaluated at all yet. Okay, so her GCS right now, you're kind of saying eye-opening to voice type of thing. That gives me kind of a three. What is she doing motor-wise? Motor-wise, she hasn't really done any. I mean, she's got tone. Does she withdraw to pain? Is she posturing at all? She did not. I started an IV on her, and I stuck her twice, and she didn't flinch for either one of them. Okay. Like I said, she just started reacting a little bit now, and she was stuttered by the noise. Okay. Before that, almost nothing. All right, and was she moaning at all with the IV? Has she done any sorts of vocalizations at all for you? I guess not. I guess not. It doesn't matter. Are you still there, Doc? Yes. Sorry I lost you. I was just trying to figure out what her GCS was, especially with kind of fall from unknown height. I'd give her, I'd probably give her like. I don't know if you can still hear me or not, Doc, but I'd give her like. You'd give her like an eight? Is that what I heard, an eight? Yeah. I'm not sure. Yeah. Okay. All right. I think you're saying eight, but I can't fully hear you. I know you're kind of in the air. Okay. I would, again. All right. I would, if she is, if you can hear me, if she is not in a collar, I'd put her in a collar. I would have a low threshold to kind of supplement her oxygen by bagging her, and we'll be here when you get here. We'll be ready when you get here. Yeah. You can't hear. I don't think I'm saying. All right. So. Okay.</t>
  </si>
  <si>
    <t>Children's Emergency Department, this is Dr. Ruano. Hi, Doctor. This is Christian. I'm a paramedic with Count Tonawanda Paramedics. We're coming to you with a 4-year-old male that fell out of the windows for a story, maybe 5, 6 feet. 5, 6 feet. He fell kind of 5, 6 feet right. No loss of consciousness, but he did hit his head. He's got a pretty good hematoma on his forehead and on his little bit of abrasion on his nose. But he does have a deformity to his closed wrist fracture to the left wrist. He's mildly autistic, but he is verbal to a point. I did give him 0.2 micrograms of fentanyl due to his pain, and he was really kind of freaking out, not wanting this to touch him. So I gave him a 0.2 IM, and right now he's pretty mellow. Vitals are great, 130 over 74. Heart rate's 1. 117 in regular. Respirations about 35 in regular. Stats 99. I was able to put a C-collar on him, too, thanks to the fentanyl, though, because otherwise he wouldn't have let me do it. But, yeah, so in the ground that he hit, it was concrete. It was just kind of pushed on a back window and fell headfirst. Okay, so it was like the main floor, like it wasn't like a second or third floor? Correct. Okay. Correct, like, yeah, yeah. And like I said, it was about 5, 6 feet. We're probably about 8 minutes away. Okay. Okay, sounds good. And no LLT again, right? Correct. No, the father heard it and heard him cry and then went out there right away. Okay. Okay. Okay, sounds good. We'll see him when he gets here. Let us know if you need anything in the interim, okay? Sounds great. Thank you, doctor. Thank you. Bye. Bye. Bye.</t>
  </si>
  <si>
    <t>4 year old male fell 5-6 feet  no loss of consciousness hematoma forehead abrasion on nose deformity to his closed wrist fracture Vitals are great, 130 over 74. Heart rate's 1. 117 in regular. Respirations about 35 in regular. Stats 99.</t>
  </si>
  <si>
    <t>L2, 4y/o, Vitals(BP [??]/[??], HR 117, RR [??]), GCS:15, MOI(Fall&gt;10 or 3x Child height), ETA:Here Now</t>
  </si>
  <si>
    <t>Fall from a window</t>
  </si>
  <si>
    <t>The transcript describes a 4-year-old male who fell out of a window from a height of 5-6 feet.</t>
  </si>
  <si>
    <t>['4-year-old male']</t>
  </si>
  <si>
    <t>["Heart rate's 1. 117 in regular"]</t>
  </si>
  <si>
    <t>['130 over 74']</t>
  </si>
  <si>
    <t>['Respirations about 35 in regular']</t>
  </si>
  <si>
    <t>Children's Emergency Department, this is Dr. Ruano. Hi, Doctor. This is Christian. I'm a paramedic with Count Tonawanda Paramedics. We're coming to you with a [REDACTED] that fell out of the windows for a story, maybe 5, 6 feet. 5, 6 feet. He fell kind of 5, 6 feet right. No loss of consciousness, but he did hit his head. He's got a pretty good hematoma on his forehead and on his little bit of abrasion on his nose. But he does have a deformity to his closed wrist fracture to the left wrist. He's mildly autistic, but he is verbal to a point. I did give him 0.2 micrograms of fentanyl due to his pain, and he was really kind of freaking out, not wanting this to touch him. So I gave him a 0.2 IM, and right now he's pretty mellow. Vitals are great, 130 over 74. Heart rate's 1. 117 in regular. Respirations about 35 in regular. Stats 99. I was able to put a C-collar on him, too, thanks to the fentanyl, though, because otherwise he wouldn't have let me do it. But, yeah, so in the ground that he hit, it was concrete. It was just kind of pushed on a back window and fell headfirst. Okay, so it was like the main floor, like it wasn't like a second or third floor? Correct. Okay. Correct, like, yeah, yeah. And like I said, it was about 5, 6 feet. We're probably about 8 minutes away. Okay. Okay, sounds good. And no LLT again, right? Correct. No, the father heard it and heard him cry and then went out there right away. Okay. Okay. Okay, sounds good. We'll see him when he gets here. Let us know if you need anything in the interim, okay? Sounds great. Thank you, doctor. Thank you. Bye. Bye. Bye.</t>
  </si>
  <si>
    <t>Children's Emergency Department, this is Dr. Ruano. Hi, Doctor. This is Christian. I'm a paramedic with Count Tonawanda Paramedics. We're coming to you with a 4-year-old male that fell out of the windows for a story, maybe 5, 6 feet. 5, 6 feet. He fell kind of 5, 6 feet right. No loss of consciousness, but he did hit his head. He's got a pretty good hematoma on his forehead and on his little bit of abrasion on his nose. But he does have a deformity to his closed wrist fracture to the left wrist. He's mildly autistic, but he is verbal to a point. I did give him 0.2 micrograms of fentanyl due to his pain, and he was really kind of freaking out, not wanting this to touch him. So I gave him a 0.2 IM, and right now he's pretty mellow. Vitals are great, 130 over 74. [REDACTED]. Respirations about 35 in regular. Stats 99. I was able to put a C-collar on him, too, thanks to the fentanyl, though, because otherwise he wouldn't have let me do it. But, yeah, so in the ground that he hit, it was concrete. It was just kind of pushed on a back window and fell headfirst. Okay, so it was like the main floor, like it wasn't like a second or third floor? Correct. Okay. Correct, like, yeah, yeah. And like I said, it was about 5, 6 feet. We're probably about 8 minutes away. Okay. Okay, sounds good. And no LLT again, right? Correct. No, the father heard it and heard him cry and then went out there right away. Okay. Okay. Okay, sounds good. We'll see him when he gets here. Let us know if you need anything in the interim, okay? Sounds great. Thank you, doctor. Thank you. Bye. Bye. Bye.</t>
  </si>
  <si>
    <t>Children's Emergency Department, this is Dr. Ruano. Hi, Doctor. This is Christian. I'm a paramedic with Count Tonawanda Paramedics. We're coming to you with a 4-year-old male that fell out of the windows for a story, maybe 5, 6 feet. 5, 6 feet. He fell kind of 5, 6 feet right. No loss of consciousness, but he did hit his head. He's got a pretty good hematoma on his forehead and on his little bit of abrasion on his nose. But he does have a deformity to his closed wrist fracture to the left wrist. He's mildly autistic, but he is verbal to a point. I did give him 0.2 micrograms of fentanyl due to his pain, and he was really kind of freaking out, not wanting this to touch him. So I gave him a 0.2 IM, and right now he's pretty mellow. Vitals are great, [REDACTED]. Heart rate's 1. 117 in regular. Respirations about 35 in regular. Stats 99. I was able to put a C-collar on him, too, thanks to the fentanyl, though, because otherwise he wouldn't have let me do it. But, yeah, so in the ground that he hit, it was concrete. It was just kind of pushed on a back window and fell headfirst. Okay, so it was like the main floor, like it wasn't like a second or third floor? Correct. Okay. Correct, like, yeah, yeah. And like I said, it was about 5, 6 feet. We're probably about 8 minutes away. Okay. Okay, sounds good. And no LLT again, right? Correct. No, the father heard it and heard him cry and then went out there right away. Okay. Okay. Okay, sounds good. We'll see him when he gets here. Let us know if you need anything in the interim, okay? Sounds great. Thank you, doctor. Thank you. Bye. Bye. Bye.</t>
  </si>
  <si>
    <t>Children's Emergency Department, this is Dr. Ruano. Hi, Doctor. This is Christian. I'm a paramedic with Count Tonawanda Paramedics. We're coming to you with a 4-year-old male that fell out of the windows for a story, maybe 5, 6 feet. 5, 6 feet. He fell kind of 5, 6 feet right. No loss of consciousness, but he did hit his head. He's got a pretty good hematoma on his forehead and on his little bit of abrasion on his nose. But he does have a deformity to his closed wrist fracture to the left wrist. He's mildly autistic, but he is verbal to a point. I did give him 0.2 micrograms of fentanyl due to his pain, and he was really kind of freaking out, not wanting this to touch him. So I gave him a 0.2 IM, and right now he's pretty mellow. Vitals are great, 130 over 74. Heart rate's 1. 117 in regular. [REDACTED]. Stats 99. I was able to put a C-collar on him, too, thanks to the fentanyl, though, because otherwise he wouldn't have let me do it. But, yeah, so in the ground that he hit, it was concrete. It was just kind of pushed on a back window and fell headfirst. Okay, so it was like the main floor, like it wasn't like a second or third floor? Correct. Okay. Correct, like, yeah, yeah. And like I said, it was about 5, 6 feet. We're probably about 8 minutes away. Okay. Okay, sounds good. And no LLT again, right? Correct. No, the father heard it and heard him cry and then went out there right away. Okay. Okay. Okay, sounds good. We'll see him when he gets here. Let us know if you need anything in the interim, okay? Sounds great. Thank you, doctor. Thank you. Bye. Bye. Bye.</t>
  </si>
  <si>
    <t>PPD, it's Dr. Hall. Mar, I just wanted to give you an update about a trauma patient we're going to be bringing in. Okay, I'm ready. Eight-year-old male struck by a train. Patient is conscious right now. She has a 15. She has abdominal evisceration, injuries to the lower legs, possible pelvis injuries. He's conscious right now. Okay. Heart rate of, like, 120. Blood pressure was 127 over 76. 98% O2. Respiratory rate of about 22. Okay. And 15. Eight-year-old male. He's an eight-year-old male. Okay, and how far out are you guys? About 10. Okay, and any obvious deformities to the lower extremities of the pelvis? Hello? Can you hear me? Hello? All right, I think I may have lost them. Okay. Can you hear me? Yes. Any obvious? Yeah, I know I can hear you. Is there any obvious deformities to the lower extremity or the pelvis? Okay. Yeah. Okay, I can't hear you, but we're going to page. We're going to finish this out now, okay? We'll see you guys in a few minutes. Okay. Bye. Okay, thank you so much. Bye. Bye. Bye. Bye. Bye.</t>
  </si>
  <si>
    <t>8 year old male struck by train conscious now abdominal evisceration injuries to lower legs pelvis injuries Heart rate of, like, 120. Blood pressure was 127 over 76. 98% O2. Respiratory rate of about 22</t>
  </si>
  <si>
    <t>L1, 8y/o, Vitals(BP 127/76, HR 120, RR 22), GCS:15, MOI(Other), struck by train, Penetrating Injuries:Abdomen, abdominal evisceration at scene. LE/pelvis injury. awake/alert currently., ETA:10 min</t>
  </si>
  <si>
    <t>Struck by a train</t>
  </si>
  <si>
    <t>The transcript explicitly states the patient is an eight-year-old male struck by a train.</t>
  </si>
  <si>
    <t>['Eight-year-old male', 'eight-year-old male', "He's an eight-year-old male"]</t>
  </si>
  <si>
    <t>['Heart rate of, like, 120']</t>
  </si>
  <si>
    <t>['Blood pressure was 127 over 76']</t>
  </si>
  <si>
    <t>['Respiratory rate of about 22']</t>
  </si>
  <si>
    <t>['Patient is conscious right now', "He's conscious right now"]</t>
  </si>
  <si>
    <t>['struck by a train']</t>
  </si>
  <si>
    <t>PPD, it's Dr. Hall. Mar, I just wanted to give you an update about a trauma patient we're going to be bringing in. Okay, I'm ready. Eight-year-old male struck by a train. Patient is conscious right now. She has a 15. She has abdominal evisceration, injuries to the lower legs, possible pelvis injuries. He's conscious right now. Okay. [REDACTED]. Blood pressure was 127 over 76. 98% O2. Respiratory rate of about 22. Okay. And 15. Eight-year-old male. He's an eight-year-old male. Okay, and how far out are you guys? About 10. Okay, and any obvious deformities to the lower extremities of the pelvis? Hello? Can you hear me? Hello? All right, I think I may have lost them. Okay. Can you hear me? Yes. Any obvious? Yeah, I know I can hear you. Is there any obvious deformities to the lower extremity or the pelvis? Okay. Yeah. Okay, I can't hear you, but we're going to page. We're going to finish this out now, okay? We'll see you guys in a few minutes. Okay. Bye. Okay, thank you so much. Bye. Bye. Bye. Bye. Bye.</t>
  </si>
  <si>
    <t>PPD, it's Dr. Hall. Mar, I just wanted to give you an update about a trauma patient we're going to be bringing in. Okay, I'm ready. Eight-year-old male struck by a train. Patient is conscious right now. She has a 15. She has abdominal evisceration, injuries to the lower legs, possible pelvis injuries. He's conscious right now. Okay. Heart rate of, like, 120. [REDACTED]. 98% O2. Respiratory rate of about 22. Okay. And 15. Eight-year-old male. He's an eight-year-old male. Okay, and how far out are you guys? About 10. Okay, and any obvious deformities to the lower extremities of the pelvis? Hello? Can you hear me? Hello? All right, I think I may have lost them. Okay. Can you hear me? Yes. Any obvious? Yeah, I know I can hear you. Is there any obvious deformities to the lower extremity or the pelvis? Okay. Yeah. Okay, I can't hear you, but we're going to page. We're going to finish this out now, okay? We'll see you guys in a few minutes. Okay. Bye. Okay, thank you so much. Bye. Bye. Bye. Bye. Bye.</t>
  </si>
  <si>
    <t>PPD, it's Dr. Hall. Mar, I just wanted to give you an update about a trauma patient we're going to be bringing in. Okay, I'm ready. Eight-year-old male struck by a train. Patient is conscious right now. She has a 15. She has abdominal evisceration, injuries to the lower legs, possible pelvis injuries. He's conscious right now. Okay. Heart rate of, like, 120. Blood pressure was 127 over 76. 98% O2. [REDACTED]. Okay. And 15. Eight-year-old male. He's an eight-year-old male. Okay, and how far out are you guys? About 10. Okay, and any obvious deformities to the lower extremities of the pelvis? Hello? Can you hear me? Hello? All right, I think I may have lost them. Okay. Can you hear me? Yes. Any obvious? Yeah, I know I can hear you. Is there any obvious deformities to the lower extremity or the pelvis? Okay. Yeah. Okay, I can't hear you, but we're going to page. We're going to finish this out now, okay? We'll see you guys in a few minutes. Okay. Bye. Okay, thank you so much. Bye. Bye. Bye. Bye. Bye.</t>
  </si>
  <si>
    <t>PPD, it's Dr. Hall. Mar, I just wanted to give you an update about a trauma patient we're going to be bringing in. Okay, I'm ready. Eight-year-old male struck by a train. [REDACTED]. She has a 15. She has abdominal evisceration, injuries to the lower legs, possible pelvis injuries. [REDACTED]. Okay. Heart rate of, like, 120. Blood pressure was 127 over 76. 98% O2. Respiratory rate of about 22. Okay. And 15. Eight-year-old male. He's an eight-year-old male. Okay, and how far out are you guys? About 10. Okay, and any obvious deformities to the lower extremities of the pelvis? Hello? Can you hear me? Hello? All right, I think I may have lost them. Okay. Can you hear me? Yes. Any obvious? Yeah, I know I can hear you. Is there any obvious deformities to the lower extremity or the pelvis? Okay. Yeah. Okay, I can't hear you, but we're going to page. We're going to finish this out now, okay? We'll see you guys in a few minutes. Okay. Bye. Okay, thank you so much. Bye. Bye. Bye. Bye. Bye.</t>
  </si>
  <si>
    <t>PPD, it's Dr. Hall. Mar, I just wanted to give you an update about a trauma patient we're going to be bringing in. Okay, I'm ready. Eight-year-old male [REDACTED]. Patient is conscious right now. She has a 15. She has abdominal evisceration, injuries to the lower legs, possible pelvis injuries. He's conscious right now. Okay. Heart rate of, like, 120. Blood pressure was 127 over 76. 98% O2. Respiratory rate of about 22. Okay. And 15. Eight-year-old male. He's an eight-year-old male. Okay, and how far out are you guys? About 10. Okay, and any obvious deformities to the lower extremities of the pelvis? Hello? Can you hear me? Hello? All right, I think I may have lost them. Okay. Can you hear me? Yes. Any obvious? Yeah, I know I can hear you. Is there any obvious deformities to the lower extremity or the pelvis? Okay. Yeah. Okay, I can't hear you, but we're going to page. We're going to finish this out now, okay? We'll see you guys in a few minutes. Okay. Bye. Okay, thank you so much. Bye. Bye. Bye. Bye. Bye.</t>
  </si>
  <si>
    <t>Hello. Hi, this is Adam on Mercy Flight 6. Who's this? Hi, Dr. Chata. Oh, hey, what's going on? Hey. I've got a 16-year-old male who was found laying on the pavement down in Yorkshire. He was on an electric bicycle and it looks like he wiped out with a head injury. He's been unresponsive for the ground crew that found him. So they RSI'd him and we're going to be coming to you. His vitals are, can you turn the monitor, please? Blood pressure is 151 over 94, heart rate 89, respiratory rate's about 13 right now with us bagging him. We're about to put him on the ventilator. Entitles 46, pulse ox is 100. Okay. Okay. How far out are you? We're still in the Angles, so it'll probably be about half an hour by the time we get there. Okay. All right. If anything changes, let us know. Actually, could you do me a favor? Like, if all you guys... What's up? If you, like, 10 minutes out, could you just call us as of well so I can better time it out for our team here? If that's possible. Okay. There you go. Yeah, I'll call you about 10 minutes out. Once we get airborne, it's probably going to be about 15, so... But I'll give you a call when we're 10 minutes out. Okay. And let you know for sure. Bilateral access, too, by the way. 18 and 16. I didn't catch that. I love that thing. Bilateral what? Bilateral IP access. Okay. An 18 on one side and a 16 on the other. Okay. Is he colored? Yes. Okay, good. All right. Great. Thank you. Yep, we'll see you in a little bit. Okay. Bye-bye. Bye-bye. Bye-bye.</t>
  </si>
  <si>
    <t>L1, 16 y/o, Vitals(BP 151/94, HR 89, RR 13), GCS: Unresponsive, MOI (electric bicycle accident with head injury), ETA: 30 minutes</t>
  </si>
  <si>
    <t>16 year old male lying down head injury electric bicycle unresponsive Blood pressure is 151 over 94, heart rate 89, respiratory rate's about 13 right now with us bagging him</t>
  </si>
  <si>
    <t>L1, 16y/o, Vitals(BP 151/89, HR 89, RR [??]), GCS:3, MOI(ATV or Motorcycle), Riding electric scooter, fall, unresponsive for unknown duration, intubated, ETA:25 min</t>
  </si>
  <si>
    <t>Electric bicycle accident</t>
  </si>
  <si>
    <t>The transcript mentions a 16-year-old male found on the pavement after wiping out on an electric bicycle.</t>
  </si>
  <si>
    <t>['heart rate 89']</t>
  </si>
  <si>
    <t>['Blood pressure is 151 over 94']</t>
  </si>
  <si>
    <t>['found laying on the pavement', 'on an electric bicycle', 'wiped out with a head injury']</t>
  </si>
  <si>
    <t>Hello. Hi, this is Adam on Mercy Flight 6. Who's this? Hi, Dr. Chata. Oh, hey, what's going on? Hey. I've got a [REDACTED] who was found laying on the pavement down in Yorkshire. He was on an electric bicycle and it looks like he wiped out with a head injury. He's been unresponsive for the ground crew that found him. So they RSI'd him and we're going to be coming to you. His vitals are, can you turn the monitor, please? Blood pressure is 151 over 94, heart rate 89, respiratory rate's about 13 right now with us bagging him. We're about to put him on the ventilator. Entitles 46, pulse ox is 100. Okay. Okay. How far out are you? We're still in the Angles, so it'll probably be about half an hour by the time we get there. Okay. All right. If anything changes, let us know. Actually, could you do me a favor? Like, if all you guys... What's up? If you, like, 10 minutes out, could you just call us as of well so I can better time it out for our team here? If that's possible. Okay. There you go. Yeah, I'll call you about 10 minutes out. Once we get airborne, it's probably going to be about 15, so... But I'll give you a call when we're 10 minutes out. Okay. And let you know for sure. Bilateral access, too, by the way. 18 and 16. I didn't catch that. I love that thing. Bilateral what? Bilateral IP access. Okay. An 18 on one side and a 16 on the other. Okay. Is he colored? Yes. Okay, good. All right. Great. Thank you. Yep, we'll see you in a little bit. Okay. Bye-bye. Bye-bye. Bye-bye.</t>
  </si>
  <si>
    <t>Hello. Hi, this is Adam on Mercy Flight 6. Who's this? Hi, Dr. Chata. Oh, hey, what's going on? Hey. I've got a 16-year-old male who was found laying on the pavement down in Yorkshire. He was on an electric bicycle and it looks like he wiped out with a head injury. He's been unresponsive for the ground crew that found him. So they RSI'd him and we're going to be coming to you. His vitals are, can you turn the monitor, please? Blood pressure is 151 over 94, [REDACTED], respiratory rate's about 13 right now with us bagging him. We're about to put him on the ventilator. Entitles 46, pulse ox is 100. Okay. Okay. How far out are you? We're still in the Angles, so it'll probably be about half an hour by the time we get there. Okay. All right. If anything changes, let us know. Actually, could you do me a favor? Like, if all you guys... What's up? If you, like, 10 minutes out, could you just call us as of well so I can better time it out for our team here? If that's possible. Okay. There you go. Yeah, I'll call you about 10 minutes out. Once we get airborne, it's probably going to be about 15, so... But I'll give you a call when we're 10 minutes out. Okay. And let you know for sure. Bilateral access, too, by the way. 18 and 16. I didn't catch that. I love that thing. Bilateral what? Bilateral IP access. Okay. An 18 on one side and a 16 on the other. Okay. Is he colored? Yes. Okay, good. All right. Great. Thank you. Yep, we'll see you in a little bit. Okay. Bye-bye. Bye-bye. Bye-bye.</t>
  </si>
  <si>
    <t>Hello. Hi, this is Adam on Mercy Flight 6. Who's this? Hi, Dr. Chata. Oh, hey, what's going on? Hey. I've got a 16-year-old male who was found laying on the pavement down in Yorkshire. He was on an electric bicycle and it looks like he wiped out with a head injury. He's been unresponsive for the ground crew that found him. So they RSI'd him and we're going to be coming to you. His vitals are, can you turn the monitor, please? [REDACTED], heart rate 89, respiratory rate's about 13 right now with us bagging him. We're about to put him on the ventilator. Entitles 46, pulse ox is 100. Okay. Okay. How far out are you? We're still in the Angles, so it'll probably be about half an hour by the time we get there. Okay. All right. If anything changes, let us know. Actually, could you do me a favor? Like, if all you guys... What's up? If you, like, 10 minutes out, could you just call us as of well so I can better time it out for our team here? If that's possible. Okay. There you go. Yeah, I'll call you about 10 minutes out. Once we get airborne, it's probably going to be about 15, so... But I'll give you a call when we're 10 minutes out. Okay. And let you know for sure. Bilateral access, too, by the way. 18 and 16. I didn't catch that. I love that thing. Bilateral what? Bilateral IP access. Okay. An 18 on one side and a 16 on the other. Okay. Is he colored? Yes. Okay, good. All right. Great. Thank you. Yep, we'll see you in a little bit. Okay. Bye-bye. Bye-bye. Bye-bye.</t>
  </si>
  <si>
    <t>Hello. Hi, this is Adam on Mercy Flight 6. Who's this? Hi, Dr. Chata. Oh, hey, what's going on? Hey. I've got a 16-year-old male who was found laying on the pavement down in Yorkshire. He was on an electric bicycle and it looks like he wiped out with a head injury. He's been [REDACTED] for the ground crew that found him. So they RSI'd him and we're going to be coming to you. His vitals are, can you turn the monitor, please? Blood pressure is 151 over 94, heart rate 89, respiratory rate's about 13 right now with us bagging him. We're about to put him on the ventilator. Entitles 46, pulse ox is 100. Okay. Okay. How far out are you? We're still in the Angles, so it'll probably be about half an hour by the time we get there. Okay. All right. If anything changes, let us know. Actually, could you do me a favor? Like, if all you guys... What's up? If you, like, 10 minutes out, could you just call us as of well so I can better time it out for our team here? If that's possible. Okay. There you go. Yeah, I'll call you about 10 minutes out. Once we get airborne, it's probably going to be about 15, so... But I'll give you a call when we're 10 minutes out. Okay. And let you know for sure. Bilateral access, too, by the way. 18 and 16. I didn't catch that. I love that thing. Bilateral what? Bilateral IP access. Okay. An 18 on one side and a 16 on the other. Okay. Is he colored? Yes. Okay, good. All right. Great. Thank you. Yep, we'll see you in a little bit. Okay. Bye-bye. Bye-bye. Bye-bye.</t>
  </si>
  <si>
    <t>Hello. Hi, this is Adam on Mercy Flight 6. Who's this? Hi, Dr. Chata. Oh, hey, what's going on? Hey. I've got a 16-year-old male who was [REDACTED] down in Yorkshire. He was [REDACTED] and it looks like he [REDACTED]. He's been unresponsive for the ground crew that found him. So they RSI'd him and we're going to be coming to you. His vitals are, can you turn the monitor, please? Blood pressure is 151 over 94, heart rate 89, respiratory rate's about 13 right now with us bagging him. We're about to put him on the ventilator. Entitles 46, pulse ox is 100. Okay. Okay. How far out are you? We're still in the Angles, so it'll probably be about half an hour by the time we get there. Okay. All right. If anything changes, let us know. Actually, could you do me a favor? Like, if all you guys... What's up? If you, like, 10 minutes out, could you just call us as of well so I can better time it out for our team here? If that's possible. Okay. There you go. Yeah, I'll call you about 10 minutes out. Once we get airborne, it's probably going to be about 15, so... But I'll give you a call when we're 10 minutes out. Okay. And let you know for sure. Bilateral access, too, by the way. 18 and 16. I didn't catch that. I love that thing. Bilateral what? Bilateral IP access. Okay. An 18 on one side and a 16 on the other. Okay. Is he colored? Yes. Okay, good. All right. Great. Thank you. Yep, we'll see you in a little bit. Okay. Bye-bye. Bye-bye. Bye-bye.</t>
  </si>
  <si>
    <t>OCH Emergency Department, Dr. Sosh. Hi, it's Dr. Sosh. How are you doing? I'm doing all right. What's up? Well, I'm bringing you guys a two-year-old female that was involved in a rather serious MDA, a pickup truck in Swift Street. She was in the back seat, reportedly in the car seat. Knock on wood, the only injury that I found on her is a small hematoma to the right side of her forehead. Otherwise, her physical exam was unremarkable. She was acting inappropriate for a two-year-old. The last set of vitals I had on her was 124 for heart rate, 108 or 64 for pressure. I just kind of want to see the guys that had the upset. We're probably looking at about 50 to 60 mile an hour speeds of the adult she was in. 50 to 60 miles per hour? Airbags went off, I'm guessing? Yeah, airbags went off. Sorry, yes, sir. She was in the front passenger side. Okay. Her mother got mercy flighted to ECMC. Dad was battened out of that scooter with a can of X. Okay. And how far away are you guys from us? We are about 35 to 40 minutes to get her take back. 35 to 40 minutes? Yeah, on the car 50 stables. All righty. Yeah, so she's doing okay otherwise. So give us a call back if anything changes in the interim, but we'll see you guys in 35 minutes. All right. Thanks. Thanks. Bye.</t>
  </si>
  <si>
    <t>2 year old female MVA hematoma forehead airbags 50-60 mph 124 for heart rate, 108 or 64 for pressure.</t>
  </si>
  <si>
    <t>L2, 2y/o, Vitals(BP 109/64, HR 124, RR [??]), GCS:15, MOI(MVC), car vs tree, possible death in car, ETA:Here Now</t>
  </si>
  <si>
    <t>Motor vehicle accident (MVA)</t>
  </si>
  <si>
    <t>The transcript mentions a two-year-old female involved in a serious MVA with a pickup truck.</t>
  </si>
  <si>
    <t>['124 for heart rate']</t>
  </si>
  <si>
    <t>['108 or 64 for pressure']</t>
  </si>
  <si>
    <t>['acting inappropriate for a two-year-old']</t>
  </si>
  <si>
    <t>OCH Emergency Department, Dr. Sosh. Hi, it's Dr. Sosh. How are you doing? I'm doing all right. What's up? Well, I'm bringing you guys a two-year-old female that was involved in a rather serious MDA, a pickup truck in Swift Street. She was in the back seat, reportedly in the car seat. Knock on wood, the only injury that I found on her is a small hematoma to the right side of her forehead. Otherwise, her physical exam was unremarkable. She was acting inappropriate for a two-year-old. The last set of vitals I had on her was [REDACTED], 108 or 64 for pressure. I just kind of want to see the guys that had the upset. We're probably looking at about 50 to 60 mile an hour speeds of the adult she was in. 50 to 60 miles per hour? Airbags went off, I'm guessing? Yeah, airbags went off. Sorry, yes, sir. She was in the front passenger side. Okay. Her mother got mercy flighted to ECMC. Dad was battened out of that scooter with a can of X. Okay. And how far away are you guys from us? We are about 35 to 40 minutes to get her take back. 35 to 40 minutes? Yeah, on the car 50 stables. All righty. Yeah, so she's doing okay otherwise. So give us a call back if anything changes in the interim, but we'll see you guys in 35 minutes. All right. Thanks. Thanks. Bye.</t>
  </si>
  <si>
    <t>OCH Emergency Department, Dr. Sosh. Hi, it's Dr. Sosh. How are you doing? I'm doing all right. What's up? Well, I'm bringing you guys a two-year-old female that was involved in a rather serious MDA, a pickup truck in Swift Street. She was in the back seat, reportedly in the car seat. Knock on wood, the only injury that I found on her is a small hematoma to the right side of her forehead. Otherwise, her physical exam was unremarkable. She was acting inappropriate for a two-year-old. The last set of vitals I had on her was 124 for heart rate, [REDACTED]. I just kind of want to see the guys that had the upset. We're probably looking at about 50 to 60 mile an hour speeds of the adult she was in. 50 to 60 miles per hour? Airbags went off, I'm guessing? Yeah, airbags went off. Sorry, yes, sir. She was in the front passenger side. Okay. Her mother got mercy flighted to ECMC. Dad was battened out of that scooter with a can of X. Okay. And how far away are you guys from us? We are about 35 to 40 minutes to get her take back. 35 to 40 minutes? Yeah, on the car 50 stables. All righty. Yeah, so she's doing okay otherwise. So give us a call back if anything changes in the interim, but we'll see you guys in 35 minutes. All right. Thanks. Thanks. Bye.</t>
  </si>
  <si>
    <t>OCH Emergency Department, Dr. Sosh. Hi, it's Dr. Sosh. How are you doing? I'm doing all right. What's up? Well, I'm bringing you guys a two-year-old female that was involved in a rather serious MDA, a pickup truck in Swift Street. She was in the back seat, reportedly in the car seat. Knock on wood, the only injury that I found on her is a small hematoma to the right side of her forehead. Otherwise, her physical exam was unremarkable. She was [REDACTED]. The last set of vitals I had on her was 124 for heart rate, 108 or 64 for pressure. I just kind of want to see the guys that had the upset. We're probably looking at about 50 to 60 mile an hour speeds of the adult she was in. 50 to 60 miles per hour? Airbags went off, I'm guessing? Yeah, airbags went off. Sorry, yes, sir. She was in the front passenger side. Okay. Her mother got mercy flighted to ECMC. Dad was battened out of that scooter with a can of X. Okay. And how far away are you guys from us? We are about 35 to 40 minutes to get her take back. 35 to 40 minutes? Yeah, on the car 50 stables. All righty. Yeah, so she's doing okay otherwise. So give us a call back if anything changes in the interim, but we'll see you guys in 35 minutes. All right. Thanks. Thanks. Bye.</t>
  </si>
  <si>
    <t> Jones here, Dr. Shada. Hey, Dr. Jake Paramak, AMR. Just give me a preliminary. We're working up with a – we're just extricating out a five-year-old stabbed in the back. Center of the back, roughly on the right side of the back, has fired quite a few of the dressing before we got here. She's conscious. That's why she's trouble breathing. We're loading him now. He'll be eight minutes to live. Yes. My nose is hot now yet. I'm sorry? Do you have vitals or not yet? I don't yet. I'll give you a call back in a minute. Okay. I'm just trying to get you up over there. How far out are you guys? I'll be about five minutes. Okay. Give us a call. Yeah, we'll do. Thanks. Bye-bye.</t>
  </si>
  <si>
    <t>extricating out a five-year-old stabbed conscious trouble breathing</t>
  </si>
  <si>
    <t>Update, Pt A, L2, 5y/o, Vitals(BP 133/84, HR 102, RR [??]), GCS:15, MOI(Penetrating Injury), steak knife to back, ETA:Here Now</t>
  </si>
  <si>
    <t>Stabbed in the back</t>
  </si>
  <si>
    <t>The transcript mentions a five-year-old who was "stabbed in the back."</t>
  </si>
  <si>
    <t>['five-year-old']</t>
  </si>
  <si>
    <t>["She's conscious"]</t>
  </si>
  <si>
    <t>['stabbed in the back', 'Center of the back, roughly on the right side of the back']</t>
  </si>
  <si>
    <t> Jones here, Dr. Shada. Hey, Dr. Jake Paramak, AMR. Just give me a preliminary. We're working up with a – we're just extricating out a [REDACTED] stabbed in the back. Center of the back, roughly on the right side of the back, has fired quite a few of the dressing before we got here. She's conscious. That's why she's trouble breathing. We're loading him now. He'll be eight minutes to live. Yes. My nose is hot now yet. I'm sorry? Do you have vitals or not yet? I don't yet. I'll give you a call back in a minute. Okay. I'm just trying to get you up over there. How far out are you guys? I'll be about five minutes. Okay. Give us a call. Yeah, we'll do. Thanks. Bye-bye.</t>
  </si>
  <si>
    <t> Jones here, Dr. Shada. Hey, Dr. Jake Paramak, AMR. Just give me a preliminary. We're working up with a – we're just extricating out a five-year-old stabbed in the back. Center of the back, roughly on the right side of the back, has fired quite a few of the dressing before we got here. [REDACTED]. That's why she's trouble breathing. We're loading him now. He'll be eight minutes to live. Yes. My nose is hot now yet. I'm sorry? Do you have vitals or not yet? I don't yet. I'll give you a call back in a minute. Okay. I'm just trying to get you up over there. How far out are you guys? I'll be about five minutes. Okay. Give us a call. Yeah, we'll do. Thanks. Bye-bye.</t>
  </si>
  <si>
    <t> Jones here, Dr. Shada. Hey, Dr. Jake Paramak, AMR. Just give me a preliminary. We're working up with a – we're just extricating out a five-year-old [REDACTED]. [REDACTED], has fired quite a few of the dressing before we got here. She's conscious. That's why she's trouble breathing. We're loading him now. He'll be eight minutes to live. Yes. My nose is hot now yet. I'm sorry? Do you have vitals or not yet? I don't yet. I'll give you a call back in a minute. Okay. I'm just trying to get you up over there. How far out are you guys? I'll be about five minutes. Okay. Give us a call. Yeah, we'll do. Thanks. Bye-bye.</t>
  </si>
  <si>
    <t>PPD, it's Dr. Oh, yes. Hi, this is Phil O'Shea at Paramedic Twin City Andoans. How you doing? Good. How are you? Hey, I'm doing okay. I wanted to give you a heads up. I'm inbound with a nine-year-old boy who was hit by a vehicle out in Clarence. The vehicle reportedly doing about 45, 50 miles an hour, clipped him on the front driver's side. Reported of airborne about three to four feet. No reported loss of consciousness. He's got a small abrasion on the back of the head. No massive bleeding. He's got abrasions on both elbows, both knees, and also on the left flank going into the back. Those are the most problematic areas. Stable pelvis, stable hips. No flail chest. He's got good lung movement, good air movement. No distension in the abdomen. It's soft, not tender. He's got good PMS in all extremities. Current vitals right now, 130 for heart rate. 108 over 60. 47 for blood pressure. He's sat in right now at 100% on a non-rebreather. Initially he was a little bit low in type of a non-rebreather and he was sitting around 88. But all lung sounds were clear. I had no signs of like a pneumothorax or anything. Okay. Okie doke. And his GCS? GCS, I'm going to give him about a 15 right now. He seems to be alert and oriented and answering questions appropriately at this point. Okay. And what is your EPA? Okay. Give us probably about going, we're going to say about 15. 15. All right. About 15 minutes out. Soon. Okay. Thank you very much. Thanks. All right. Thank you. Bye.</t>
  </si>
  <si>
    <t>nine year old boy hit by vehicle 45 - 50 mph airborne 3-4 feet no LOC 130 for heart rate. 108 over 60. 47 for blood pressure. He's sat in right now at 100% on a non-rebreather. GCS 15</t>
  </si>
  <si>
    <t>L2, 9y/o, Vitals(BP 108/67, HR 134, RR 18), GCS:15, MOI(Ped Vs Car), 45mph, no LOC. L flank, head, elbow, knee abrasions, ETA:15 min</t>
  </si>
  <si>
    <t>Hit by a vehicle</t>
  </si>
  <si>
    <t>The transcript mentions a nine-year-old boy who was hit by a vehicle traveling at 45-50 mph.</t>
  </si>
  <si>
    <t>['nine-year-old boy']</t>
  </si>
  <si>
    <t>['130 for heart rate']</t>
  </si>
  <si>
    <t>['108 over 60', '47 for blood pressure']</t>
  </si>
  <si>
    <t>['he seems to be alert and oriented and answering questions appropriately']</t>
  </si>
  <si>
    <t>PPD, it's Dr. Oh, yes. Hi, this is Phil O'Shea at Paramedic Twin City Andoans. How you doing? Good. How are you? Hey, I'm doing okay. I wanted to give you a heads up. I'm inbound with a [REDACTED] who was hit by a vehicle out in Clarence. The vehicle reportedly doing about 45, 50 miles an hour, clipped him on the front driver's side. Reported of airborne about three to four feet. No reported loss of consciousness. He's got a small abrasion on the back of the head. No massive bleeding. He's got abrasions on both elbows, both knees, and also on the left flank going into the back. Those are the most problematic areas. Stable pelvis, stable hips. No flail chest. He's got good lung movement, good air movement. No distension in the abdomen. It's soft, not tender. He's got good PMS in all extremities. Current vitals right now, 130 for heart rate. 108 over 60. 47 for blood pressure. He's sat in right now at 100% on a non-rebreather. Initially he was a little bit low in type of a non-rebreather and he was sitting around 88. But all lung sounds were clear. I had no signs of like a pneumothorax or anything. Okay. Okie doke. And his GCS? GCS, I'm going to give him about a 15 right now. He seems to be alert and oriented and answering questions appropriately at this point. Okay. And what is your EPA? Okay. Give us probably about going, we're going to say about 15. 15. All right. About 15 minutes out. Soon. Okay. Thank you very much. Thanks. All right. Thank you. Bye.</t>
  </si>
  <si>
    <t>PPD, it's Dr. Oh, yes. Hi, this is Phil O'Shea at Paramedic Twin City Andoans. How you doing? Good. How are you? Hey, I'm doing okay. I wanted to give you a heads up. I'm inbound with a nine-year-old boy who was hit by a vehicle out in Clarence. The vehicle reportedly doing about 45, 50 miles an hour, clipped him on the front driver's side. Reported of airborne about three to four feet. No reported loss of consciousness. He's got a small abrasion on the back of the head. No massive bleeding. He's got abrasions on both elbows, both knees, and also on the left flank going into the back. Those are the most problematic areas. Stable pelvis, stable hips. No flail chest. He's got good lung movement, good air movement. No distension in the abdomen. It's soft, not tender. He's got good PMS in all extremities. Current vitals right now, [REDACTED]. 108 over 60. 47 for blood pressure. He's sat in right now at 100% on a non-rebreather. Initially he was a little bit low in type of a non-rebreather and he was sitting around 88. But all lung sounds were clear. I had no signs of like a pneumothorax or anything. Okay. Okie doke. And his GCS? GCS, I'm going to give him about a 15 right now. He seems to be alert and oriented and answering questions appropriately at this point. Okay. And what is your EPA? Okay. Give us probably about going, we're going to say about 15. 15. All right. About 15 minutes out. Soon. Okay. Thank you very much. Thanks. All right. Thank you. Bye.</t>
  </si>
  <si>
    <t>PPD, it's Dr. Oh, yes. Hi, this is Phil O'Shea at Paramedic Twin City Andoans. How you doing? Good. How are you? Hey, I'm doing okay. I wanted to give you a heads up. I'm inbound with a nine-year-old boy who was hit by a vehicle out in Clarence. The vehicle reportedly doing about 45, 50 miles an hour, clipped him on the front driver's side. Reported of airborne about three to four feet. No reported loss of consciousness. He's got a small abrasion on the back of the head. No massive bleeding. He's got abrasions on both elbows, both knees, and also on the left flank going into the back. Those are the most problematic areas. Stable pelvis, stable hips. No flail chest. He's got good lung movement, good air movement. No distension in the abdomen. It's soft, not tender. He's got good PMS in all extremities. Current vitals right now, 130 for heart rate. [REDACTED]. [REDACTED]. He's sat in right now at 100% on a non-rebreather. Initially he was a little bit low in type of a non-rebreather and he was sitting around 88. But all lung sounds were clear. I had no signs of like a pneumothorax or anything. Okay. Okie doke. And his GCS? GCS, I'm going to give him about a 15 right now. He seems to be alert and oriented and answering questions appropriately at this point. Okay. And what is your EPA? Okay. Give us probably about going, we're going to say about 15. 15. All right. About 15 minutes out. Soon. Okay. Thank you very much. Thanks. All right. Thank you. Bye.</t>
  </si>
  <si>
    <t>PPD, it's Dr. Oh, yes. Hi, this is Phil O'Shea at Paramedic Twin City Andoans. How you doing? Good. How are you? Hey, I'm doing okay. I wanted to give you a heads up. I'm inbound with a nine-year-old boy who was [REDACTED] out in Clarence. The [REDACTED], [REDACTED]. [REDACTED]. No reported loss of consciousness. He's got a small abrasion on the back of the head. No massive bleeding. He's got abrasions on both elbows, both knees, and also on the left flank going into the back. Those are the most problematic areas. Stable pelvis, stable hips. No flail chest. He's got good lung movement, good air movement. No distension in the abdomen. It's soft, not tender. He's got good PMS in all extremities. Current vitals right now, 130 for heart rate. 108 over 60. 47 for blood pressure. He's sat in right now at 100% on a non-rebreather. Initially he was a little bit low in type of a non-rebreather and he was sitting around 88. But all lung sounds were clear. I had no signs of like a pneumothorax or anything. Okay. Okie doke. And his GCS? GCS, I'm going to give him about a 15 right now. He seems to be alert and oriented and answering questions appropriately at this point. Okay. And what is your EPA? Okay. Give us probably about going, we're going to say about 15. 15. All right. About 15 minutes out. Soon. Okay. Thank you very much. Thanks. All right. Thank you. Bye.</t>
  </si>
  <si>
    <t>O'Shea Emergency Department, this is Dr. Kohler. Dr. Kohler, I am Mercy Flight Dispatcher. I have an inbound report from the crew. Yeah, go ahead. I have a crew in Bounty Resilient. They're coming this way. They have an 11-year-old female. She was involved in an NBC with very moderate damage. She was a restrained passenger in the front seat. She has positive LOC. She has a gash above the left eye, small abrasion on the nose, possible broken nose. She complains of neck pain. She is collared. She was extricated with assistance. She has a blood pressure of 112 over 66, heart rate is 108, 100% at room air. Her GCF is 15, and the vehicle is going approximately 45 miles per hour, and airbags did deploy. Anybody in the, you might not know, and that's totally fine, but do you know if anyone in the car was, killed or was ejected? Killed? No. Ejected? I don't think so. That's okay. I can't confirm that, but I know that myself. That's okay. To the best of your knowledge. Awesome. Okay, we will see her soon. What's her ETA? Ten minutes. Thank you. Appreciate it. No worries. Bye.</t>
  </si>
  <si>
    <t>11 year old female MVC gash left eye possible broken nose neck pain 112 over 66, heart rate is 108, 100% at room air. Her GCS is 15, and the vehicle is going approximately 45 miles per hour, and airbags did deploy</t>
  </si>
  <si>
    <t>L2, 11y/o, Vitals(BP 112/66, HR 108, RR [??]), GCS:15, MOI(MVC), LOC, assisted extrication, neck pain and facial trauma, 45 mph, ETA:10 min</t>
  </si>
  <si>
    <t>MVC with moderate damage</t>
  </si>
  <si>
    <t>The transcript mentions the patient was involved in an MVC (Motor Vehicle Collision) with moderate damage.</t>
  </si>
  <si>
    <t>['heart rate is 108']</t>
  </si>
  <si>
    <t>['blood pressure of 112 over 66']</t>
  </si>
  <si>
    <t>['positive LOC']</t>
  </si>
  <si>
    <t>['involved in an NBC with very moderate damage', 'restrained passenger in the front seat', 'vehicle is going approximately 45 miles per hour', 'airbags did deploy']</t>
  </si>
  <si>
    <t>O'Shea Emergency Department, this is Dr. Kohler. Dr. Kohler, I am Mercy Flight Dispatcher. I have an inbound report from the crew. Yeah, go ahead. I have a crew in Bounty Resilient. They're coming this way. They have an [REDACTED]. She was involved in an NBC with very moderate damage. She was a restrained passenger in the front seat. She has positive LOC. She has a gash above the left eye, small abrasion on the nose, possible broken nose. She complains of neck pain. She is collared. She was extricated with assistance. She has a blood pressure of 112 over 66, heart rate is 108, 100% at room air. Her GCF is 15, and the vehicle is going approximately 45 miles per hour, and airbags did deploy. Anybody in the, you might not know, and that's totally fine, but do you know if anyone in the car was, killed or was ejected? Killed? No. Ejected? I don't think so. That's okay. I can't confirm that, but I know that myself. That's okay. To the best of your knowledge. Awesome. Okay, we will see her soon. What's her ETA? Ten minutes. Thank you. Appreciate it. No worries. Bye.</t>
  </si>
  <si>
    <t>O'Shea Emergency Department, this is Dr. Kohler. Dr. Kohler, I am Mercy Flight Dispatcher. I have an inbound report from the crew. Yeah, go ahead. I have a crew in Bounty Resilient. They're coming this way. They have an 11-year-old female. She was involved in an NBC with very moderate damage. She was a restrained passenger in the front seat. She has positive LOC. She has a gash above the left eye, small abrasion on the nose, possible broken nose. She complains of neck pain. She is collared. She was extricated with assistance. She has a blood pressure of 112 over 66, [REDACTED], 100% at room air. Her GCF is 15, and the vehicle is going approximately 45 miles per hour, and airbags did deploy. Anybody in the, you might not know, and that's totally fine, but do you know if anyone in the car was, killed or was ejected? Killed? No. Ejected? I don't think so. That's okay. I can't confirm that, but I know that myself. That's okay. To the best of your knowledge. Awesome. Okay, we will see her soon. What's her ETA? Ten minutes. Thank you. Appreciate it. No worries. Bye.</t>
  </si>
  <si>
    <t>O'Shea Emergency Department, this is Dr. Kohler. Dr. Kohler, I am Mercy Flight Dispatcher. I have an inbound report from the crew. Yeah, go ahead. I have a crew in Bounty Resilient. They're coming this way. They have an 11-year-old female. She was involved in an NBC with very moderate damage. She was a restrained passenger in the front seat. She has positive LOC. She has a gash above the left eye, small abrasion on the nose, possible broken nose. She complains of neck pain. She is collared. She was extricated with assistance. She has a [REDACTED], heart rate is 108, 100% at room air. Her GCF is 15, and the vehicle is going approximately 45 miles per hour, and airbags did deploy. Anybody in the, you might not know, and that's totally fine, but do you know if anyone in the car was, killed or was ejected? Killed? No. Ejected? I don't think so. That's okay. I can't confirm that, but I know that myself. That's okay. To the best of your knowledge. Awesome. Okay, we will see her soon. What's her ETA? Ten minutes. Thank you. Appreciate it. No worries. Bye.</t>
  </si>
  <si>
    <t>O'Shea Emergency Department, this is Dr. Kohler. Dr. Kohler, I am Mercy Flight Dispatcher. I have an inbound report from the crew. Yeah, go ahead. I have a crew in Bounty Resilient. They're coming this way. They have an 11-year-old female. She was involved in an NBC with very moderate damage. She was a restrained passenger in the front seat. She has [REDACTED]. She has a gash above the left eye, small abrasion on the nose, possible broken nose. She complains of neck pain. She is collared. She was extricated with assistance. She has a blood pressure of 112 over 66, heart rate is 108, 100% at room air. Her GCF is 15, and the vehicle is going approximately 45 miles per hour, and airbags did deploy. Anybody in the, you might not know, and that's totally fine, but do you know if anyone in the car was, killed or was ejected? Killed? No. Ejected? I don't think so. That's okay. I can't confirm that, but I know that myself. That's okay. To the best of your knowledge. Awesome. Okay, we will see her soon. What's her ETA? Ten minutes. Thank you. Appreciate it. No worries. Bye.</t>
  </si>
  <si>
    <t>O'Shea Emergency Department, this is Dr. Kohler. Dr. Kohler, I am Mercy Flight Dispatcher. I have an inbound report from the crew. Yeah, go ahead. I have a crew in Bounty Resilient. They're coming this way. They have an 11-year-old female. She was [REDACTED]. She was a [REDACTED]. She has positive LOC. She has a gash above the left eye, small abrasion on the nose, possible broken nose. She complains of neck pain. She is collared. She was extricated with assistance. She has a blood pressure of 112 over 66, heart rate is 108, 100% at room air. Her GCF is 15, and the [REDACTED], and [REDACTED]. Anybody in the, you might not know, and that's totally fine, but do you know if anyone in the car was, killed or was ejected? Killed? No. Ejected? I don't think so. That's okay. I can't confirm that, but I know that myself. That's okay. To the best of your knowledge. Awesome. Okay, we will see her soon. What's her ETA? Ten minutes. Thank you. Appreciate it. No worries. Bye.</t>
  </si>
  <si>
    <t>So shy, this is Dr. Pathers. Hi, Doc. This is Ian Stone, paramedic with Mercy Flight. I'm coming in by ground with your transfer from Lockport. Okay. The five-year-old male talking to mom, it sounds like he was trying to climb up the tree. Initially, I guess, Timmy might have told you guys five feet. Now that we're talking, we believe it was at least eight feet up the tree, and he fell backwards onto a cement paver that was around the base of the tree. We don't believe there was any loss of consciousness. He's immediately awake and crying, and his family found him. He's definitely having intermittent periods of decreased responsiveness, and he comes back and starts crying. When he does come back, he is oriented, but then he just kind of has a period of decreased consciousness again. Okay. His rate is anywhere from 80 to 120, depending on whether he's minimally responsible or crying. His last pressure was 136 over 86. His O2 stat is 98 on two liters currently. I also have him on a nasal end tidal. His end tidal is anywhere from like 38 to 44. It's still kind of in the, you know, permissible range. I've been unable to get a blood sugar or anything on him that way, even though I don't think that's an issue. Okay. Is that a thought-towering? Did you repeat that part? Did you? Sorry. Sorry. Sorry. Sorry. Sorry. Did you get any, like, IV access, kiddo? No. They were unable to get an IV access, and I haven't been trying. I've been trying to just keep them calm on the way there. This is the 110 walkport. And I guess they were able to do a chest x-ray, but they weren't able to do any imaging as well. So it's not like he got a dry, pesky period or anything like that before he walked in. Okay. All right. And then what would you say the GCS is right now? Right now, when he's awake, anywhere from 13 to 15. When he goes out, I would say maybe 11 or 12. Okay. Okay. All right. And our EPA view is probably eight minutes, if that. Okay. All right. We will see you when you get here. All right. Thanks, Doc. Bye. Bye. Bye. Bye. Bye.</t>
  </si>
  <si>
    <t>5 year old male climb a tree at least 8 ft fell backwards onto cement decreased periods of responsiveness rate is anywhere from 80 to 120, pressure was 136 over 86. His O2 stat is 98 on two liters GCS 11-13</t>
  </si>
  <si>
    <t>L2, 5y/o, Vitals(BP 136/86, HR 80, RR [??]), GCS:12, MOI(Fall&gt;10 or 3x Child height), fall out of tree, waxing responsiveness, Blunt trauma:Head, ETA:8 min</t>
  </si>
  <si>
    <t>The transcript describes a five-year-old male who fell from at least eight feet up a tree onto a cement paver.</t>
  </si>
  <si>
    <t>So shy, this is Dr. Pathers. Hi, Doc. This is Ian Stone, paramedic with Mercy Flight. I'm coming in by ground with your transfer from Lockport. Okay. The [REDACTED] talking to mom, it sounds like he was trying to climb up the tree. Initially, I guess, Timmy might have told you guys five feet. Now that we're talking, we believe it was at least eight feet up the tree, and he fell backwards onto a cement paver that was around the base of the tree. We don't believe there was any loss of consciousness. He's immediately awake and crying, and his family found him. He's definitely having intermittent periods of decreased responsiveness, and he comes back and starts crying. When he does come back, he is oriented, but then he just kind of has a period of decreased consciousness again. Okay. His rate is anywhere from 80 to 120, depending on whether he's minimally responsible or crying. His last pressure was 136 over 86. His O2 stat is 98 on two liters currently. I also have him on a nasal end tidal. His end tidal is anywhere from like 38 to 44. It's still kind of in the, you know, permissible range. I've been unable to get a blood sugar or anything on him that way, even though I don't think that's an issue. Okay. Is that a thought-towering? Did you repeat that part? Did you? Sorry. Sorry. Sorry. Sorry. Sorry. Did you get any, like, IV access, kiddo? No. They were unable to get an IV access, and I haven't been trying. I've been trying to just keep them calm on the way there. This is the 110 walkport. And I guess they were able to do a chest x-ray, but they weren't able to do any imaging as well. So it's not like he got a dry, pesky period or anything like that before he walked in. Okay. All right. And then what would you say the GCS is right now? Right now, when he's awake, anywhere from 13 to 15. When he goes out, I would say maybe 11 or 12. Okay. Okay. All right. And our EPA view is probably eight minutes, if that. Okay. All right. We will see you when you get here. All right. Thanks, Doc. Bye. Bye. Bye. Bye. Bye.</t>
  </si>
  <si>
    <t>This is the emergency department. This is Dr. Ruano. Hey, it's Rachel from Tom and Tom and Wanda Paramedic. How are you? Good, thanks. How are you? Good. I just have a situation here. I have a 23-year-old female mom and her 4-year-old son that was involved in an MVC car accident. They both want to be seen, but he's complaining a little bit of belly pain. He was wearing a seatbelt and got jarred around a little bit. They want to stay together. I just don't want to send him to an adult facility, but I don't want to separate them. Yeah. So I'm in a hard place right here. Yeah. Tell me a little bit more about the MVC. There's a good significant front-end damage. It's probably about a foot and a half intrusion. They're both wearing seatbelts. There's airbag deployment. He was in the back in a booster, you said, or in a car seat? Hang on. I've got to find that out because I'm looking in here right now. No worries. It doesn't look like he was in anything. Oh, not in a car seat? Just a seatbelt? No. Okay. And he's four. Yeah, he's a tiny four, too. Any, like, bruising or anything like that? Not the nice thing right now, but he's just holding on to his belly, and he's crying. Like, he's upset about it. But I touched around. I didn't see anything obvious. And did they rear-end someone? Honestly, they T-boned somebody. T-boned. So it was, like, the front of the car, and he was in the back seat anyways. Any loss of consciousness? None that we know of, no. He got up and he was crying right away. Yeah. I just don't want to separate them. I know. I know. So just with the belly pain, we might end up activating him as a trauma. Do you know how fast the car was going, actually? How fast were you guys going roughly? You were coming down Sheridan. It said, like, 35, 40 miles per hour car. Okay. Yeah. Did you just have the light green, or did you have to stop and then go? Oh, no, I knew. Were you just going through the intersection, and then you were going? Okay. So probably I would say about, like, 30, 35. 30 and 35. Yeah, intersection, yeah. So this is, like, a 30-mile. Yeah. So normally we wouldn't activate it as a trauma. He's someone that we would see how his belly pain is determined. So he's definitely someone that I would recommend getting evaluated here instead of elsewhere. But mom, we wouldn't be able to evaluate her. So she would be, if she ends up coming in and she wants to be cared, she would be, like, an MSC, like a stabilization evaluation, and then a transfer most likely to ECMC versus Buffalo General. I don't think she would be a trauma. I don't think she would be a trauma if no one had any loss of consciousness or anything like that. No, she looks good. She's got shoulder pain, like, from the seatbelt and all that. So I'm not, like, I could talk to her and see if she wants to get evaluated after and sign with her. Right, right. If she can be with him. That's what I'm thinking, but. Yeah, probably better off. Just so you give me a heads up. Yeah, better off bringing them here first, and then, you know, if mom wants to see care afterwards, we could either, like, stabilize her, arrange transfer, or if she wants, she doesn't have to check in, and she could just be seen somewhere after the fact. Okay. I'll work on that, but I'll try. I'm going to try to get him two days, okay? Yeah, yeah, yeah. Can I get his last set of vitals? I have to do that right now. Right now I'm in the middle of the intersection with them, so, yeah. But right now his respiration is about 22, and I have to get for them that. So I'm sorry. Yeah, no, that's okay. When you guys are on your way, just, if you wouldn't mind giving us a call, just like that, we have an ETA on him, and if we want to activate him as a trauma, we can. It sounds like we might not anyways. We might see him first and decide, but. Okay. No, that's not a problem. Yeah, I'll have that all arranged for you guys. Thank you so much. Awesome. Thank you so much. Okay, bye. Bye.</t>
  </si>
  <si>
    <t>4 year old MVC airbag deployment no car seat, belly pain 35 - 40 mph respiration is about 22</t>
  </si>
  <si>
    <t>, L2, 4y/o, Vitals(BP 115/80, HR 120, RR 20), GCS:15, MOI(MVC), seatbelt in back seat tboned another vehicle at 30 mph. belly pain, no LOC, ETA:10 min</t>
  </si>
  <si>
    <t>MVC T-bone accident</t>
  </si>
  <si>
    <t>The transcript describes a motor vehicle collision where the car T-boned another vehicle.</t>
  </si>
  <si>
    <t>['his respiration is about 22']</t>
  </si>
  <si>
    <t>This is the emergency department. This is Dr. Ruano. Hey, it's Rachel from Tom and Tom and Wanda Paramedic. How are you? Good, thanks. How are you? Good. I just have a situation here. I have a 23-year-old female mom and her 4-year-old son that was involved in an MVC car accident. They both want to be seen, but he's complaining a little bit of belly pain. He was wearing a seatbelt and got jarred around a little bit. They want to stay together. I just don't want to send him to an adult facility, but I don't want to separate them. Yeah. So I'm in a hard place right here. Yeah. Tell me a little bit more about the MVC. There's a good significant front-end damage. It's probably about a foot and a half intrusion. They're both wearing seatbelts. There's airbag deployment. He was in the back in a booster, you said, or in a car seat? Hang on. I've got to find that out because I'm looking in here right now. No worries. It doesn't look like he was in anything. Oh, not in a car seat? Just a seatbelt? No. Okay. And he's four. Yeah, he's a tiny four, too. Any, like, bruising or anything like that? Not the nice thing right now, but he's just holding on to his belly, and he's crying. Like, he's upset about it. But I touched around. I didn't see anything obvious. And did they rear-end someone? Honestly, they T-boned somebody. T-boned. So it was, like, the front of the car, and he was in the back seat anyways. Any loss of consciousness? None that we know of, no. He got up and he was crying right away. Yeah. I just don't want to separate them. I know. I know. So just with the belly pain, we might end up activating him as a trauma. Do you know how fast the car was going, actually? How fast were you guys going roughly? You were coming down Sheridan. It said, like, 35, 40 miles per hour car. Okay. Yeah. Did you just have the light green, or did you have to stop and then go? Oh, no, I knew. Were you just going through the intersection, and then you were going? Okay. So probably I would say about, like, 30, 35. 30 and 35. Yeah, intersection, yeah. So this is, like, a 30-mile. Yeah. So normally we wouldn't activate it as a trauma. He's someone that we would see how his belly pain is determined. So he's definitely someone that I would recommend getting evaluated here instead of elsewhere. But mom, we wouldn't be able to evaluate her. So she would be, if she ends up coming in and she wants to be cared, she would be, like, an MSC, like a stabilization evaluation, and then a transfer most likely to ECMC versus Buffalo General. I don't think she would be a trauma. I don't think she would be a trauma if no one had any loss of consciousness or anything like that. No, she looks good. She's got shoulder pain, like, from the seatbelt and all that. So I'm not, like, I could talk to her and see if she wants to get evaluated after and sign with her. Right, right. If she can be with him. That's what I'm thinking, but. Yeah, probably better off. Just so you give me a heads up. Yeah, better off bringing them here first, and then, you know, if mom wants to see care afterwards, we could either, like, stabilize her, arrange transfer, or if she wants, she doesn't have to check in, and she could just be seen somewhere after the fact. Okay. I'll work on that, but I'll try. I'm going to try to get him two days, okay? Yeah, yeah, yeah. Can I get his last set of vitals? I have to do that right now. Right now I'm in the middle of the intersection with them, so, yeah. But right now [REDACTED], and I have to get for them that. So I'm sorry. Yeah, no, that's okay. When you guys are on your way, just, if you wouldn't mind giving us a call, just like that, we have an ETA on him, and if we want to activate him as a trauma, we can. It sounds like we might not anyways. We might see him first and decide, but. Okay. No, that's not a problem. Yeah, I'll have that all arranged for you guys. Thank you so much. Awesome. Thank you so much. Okay, bye. Bye.</t>
  </si>
  <si>
    <t>rollover six month old head injury laceration in and out of consciousness</t>
  </si>
  <si>
    <t>L2, 6m/o, Vitals(BP [??]/[??], HR [??], RR [??]), GCS:11, MOI(MVC), rollover, head injury, in and out of consciousness, ETA:18 min</t>
  </si>
  <si>
    <t>The transcript mentions a "rollover accident" as the cause of injury.</t>
  </si>
  <si>
    <t>['in and out of consciousness']</t>
  </si>
  <si>
    <t>whisper_transcript_word_count</t>
  </si>
  <si>
    <t>green_essential_word_count</t>
  </si>
  <si>
    <t>gpt4o_page</t>
  </si>
  <si>
    <t>gpt4o_level</t>
  </si>
  <si>
    <t>word_count_reduction_percentage</t>
  </si>
  <si>
    <t>human_decision_type</t>
  </si>
  <si>
    <t>gpt_decision_type</t>
  </si>
  <si>
    <t>missing_entity_list</t>
  </si>
  <si>
    <t>['oriented appropriate following commands', 'mental status is intact']</t>
  </si>
  <si>
    <t>["hasn't been responding", 'not responding', 'GCS of 10', 'not saying anything', 'just opening her eyes', "squeezing her mother's hand"]</t>
  </si>
  <si>
    <t>['unconscious', 'lethargic', 'severe lethargic', 'aroused by papal stimuli', 'lethargic and out of it', 'pretty lethargic']</t>
  </si>
  <si>
    <t>['alert and oriented', 'no loss of consciousness', 'she remembers everything']</t>
  </si>
  <si>
    <t>['alert and oriented', 'Unknown LOC']</t>
  </si>
  <si>
    <t>['awake', 'alert and oriented']</t>
  </si>
  <si>
    <t>['conscious alert']</t>
  </si>
  <si>
    <t>['alert and oriented', 'GCS of 15', 'no loss of consciousness']</t>
  </si>
  <si>
    <t>['alert, oriented, age appropriate']</t>
  </si>
  <si>
    <t>['unconscious']</t>
  </si>
  <si>
    <t>['GCS 15']</t>
  </si>
  <si>
    <t>['lethargic']</t>
  </si>
  <si>
    <t>['alert and oriented']</t>
  </si>
  <si>
    <t>['nonverbal', 'A-04']</t>
  </si>
  <si>
    <t>['alert and oriented about one', 'very lethargic']</t>
  </si>
  <si>
    <t>['arousable by some minor irritation', 'appears to want to be sleeping other than when aroused']</t>
  </si>
  <si>
    <t>['awake and alert']</t>
  </si>
  <si>
    <t>['alert and oriented', 'not really answering too many questions']</t>
  </si>
  <si>
    <t>['conscious-oriented', 'GCS of 15']</t>
  </si>
  <si>
    <t>['alert and orient time is 4']</t>
  </si>
  <si>
    <t>['awake and alert', 'awake alert and ambulatory']</t>
  </si>
  <si>
    <t>['slightly lethargic', 'lethargic', 'eyes closed', 'sluggish']</t>
  </si>
  <si>
    <t>['A and O times four']</t>
  </si>
  <si>
    <t>['conscious', 'awake and conscious']</t>
  </si>
  <si>
    <t>['ANO4', 'no loss of consciousness', 'brief loss of consciousness']</t>
  </si>
  <si>
    <t>['alert-oriented']</t>
  </si>
  <si>
    <t>['alert']</t>
  </si>
  <si>
    <t>["she's awake"]</t>
  </si>
  <si>
    <t>['A&amp;L times four']</t>
  </si>
  <si>
    <t>['conscious, alert, and oriented']</t>
  </si>
  <si>
    <t>['acting appropriately', 'crying right now', 'no LSE that mom reported']</t>
  </si>
  <si>
    <t>['altered', 'very exhausted']</t>
  </si>
  <si>
    <t>['8-0 times four']</t>
  </si>
  <si>
    <t>['GCF of 15', 'possible LOC', 'positive LOC']</t>
  </si>
  <si>
    <t>['nonverbal']</t>
  </si>
  <si>
    <t>['GCF of 15']</t>
  </si>
  <si>
    <t>['No loss of consciousness reported', 'oriented']</t>
  </si>
  <si>
    <t>['alert', 'nonverbal']</t>
  </si>
  <si>
    <t>['awake alert', 'blacked out briefly', 'blacked out for a second']</t>
  </si>
  <si>
    <t>['positive LOC', 'awake']</t>
  </si>
  <si>
    <t>['GCS-15', 'GCS-15', 'denied any lost consciousness', 'remembers the entire event']</t>
  </si>
  <si>
    <t>['keeps repeating the same question', "doesn't remember the accident at all"]</t>
  </si>
  <si>
    <t>['conscious']</t>
  </si>
  <si>
    <t>['awake and breathing']</t>
  </si>
  <si>
    <t>['No loss of consciousness', 'Acting and reacting normally for his age']</t>
  </si>
  <si>
    <t>['arousable']</t>
  </si>
  <si>
    <t>['alert and oriented', 'zoned out for a minute', 'staring off into space']</t>
  </si>
  <si>
    <t>['lost consciousness', 'anal times two', 'anal times three', 'can answer all the questions appropriately', 'a little grotty']</t>
  </si>
  <si>
    <t>['alert and oriented', 'alert']</t>
  </si>
  <si>
    <t>['awake', 'alert', 'acting age-appropriately']</t>
  </si>
  <si>
    <t>['a little oriented', 'did lose consciousness', 'not really able to talk to the pain']</t>
  </si>
  <si>
    <t>['No loss of consciousness', 'GCS is 15']</t>
  </si>
  <si>
    <t>['ambulatory', 'A&amp;O', 'No loss of consciousness reported']</t>
  </si>
  <si>
    <t>['A&amp;O times four', 'GCS 15']</t>
  </si>
  <si>
    <t>['did not lose consciousness', 'she was awake the whole time', 'acting age-appropriate']</t>
  </si>
  <si>
    <t>['alert and oriented times 4', 'acting normal to his baseline', 'appropriate coos and cries']</t>
  </si>
  <si>
    <t>['he feels like he lost consciousness']</t>
  </si>
  <si>
    <t>['alert times three', 'GCS 15', 'AMO times three']</t>
  </si>
  <si>
    <t>['A&amp;O times one', 'A&amp;O times three', 'lawyer times three']</t>
  </si>
  <si>
    <t>['GCS is the 14, 15']</t>
  </si>
  <si>
    <t>['repeating himself a lot', 'answered all our questions okay']</t>
  </si>
  <si>
    <t>['no loss of consciousness', 'acting appropriately']</t>
  </si>
  <si>
    <t>['Alert and orientation']</t>
  </si>
  <si>
    <t>['fully alert and oriented', 'did not lose consciousness', 'GCS is 15', 'No loss of consciousness']</t>
  </si>
  <si>
    <t>['unconscious on our arrival', 'regaining consciousness slowly']</t>
  </si>
  <si>
    <t>['hard time staying awake', 'still hard to wake up', 'completely kind of out of it', 'just kind of has a glaze right now']</t>
  </si>
  <si>
    <t>['knocked out', 'conscious alert oriented', 'GCS is 15']</t>
  </si>
  <si>
    <t>['positive loss of consciousness', 'conscious, alert, and oriented', 'GCS 15']</t>
  </si>
  <si>
    <t>['unresponsive', 'GCS of 4 or a 5', 'groaning to painful stimuli', 'nothing intelligible']</t>
  </si>
  <si>
    <t>['GCS of 15']</t>
  </si>
  <si>
    <t>['conscious and alert', 'GCS 15']</t>
  </si>
  <si>
    <t>['positive loss of consciousness', 'awake', 'GCS of 15']</t>
  </si>
  <si>
    <t>['unconscious for a period of time', 'confused', 'GCS of 14', 'following commands']</t>
  </si>
  <si>
    <t>['GCS is 15', 'answering all my questions appropriately']</t>
  </si>
  <si>
    <t>['negative LOC', 'consciously oriented']</t>
  </si>
  <si>
    <t>['conscious', 'GCS is 15']</t>
  </si>
  <si>
    <t>['GCF is 14']</t>
  </si>
  <si>
    <t>['awake and alert', 'GCS is 15', 'awake and alert, answering all my questions appropriately']</t>
  </si>
  <si>
    <t>['GCS is 15', 'acting a little drunk', 'she can still answer questions correctly']</t>
  </si>
  <si>
    <t>['GCS of 15', 'oriented person place time']</t>
  </si>
  <si>
    <t>['no loss of consciousness', 'answering my questions appropriately', 'GCS is 15', 'eyes are spontaneously opening', 'verbally talking to you', 'all her motor movements']</t>
  </si>
  <si>
    <t>['GCS 14', 'a little bit of confusion', 'answering us normally']</t>
  </si>
  <si>
    <t>['breathing and talking to us just fine']</t>
  </si>
  <si>
    <t>['GCS-14', 'confusion']</t>
  </si>
  <si>
    <t>['GCS right now? 15']</t>
  </si>
  <si>
    <t>['Denied losing consciousness', 'awake alert']</t>
  </si>
  <si>
    <t>['unresponsive', 'conscious and alert', 'alert and orientated', 'GCS is 15 right now']</t>
  </si>
  <si>
    <t>['no loss of conscious', 'Conscious hula hoop times three']</t>
  </si>
  <si>
    <t>['conscious and alert']</t>
  </si>
  <si>
    <t>['no LOC', 'AO times 4', 'GCS is 15']</t>
  </si>
  <si>
    <t>['GCS of 14', 'lethargic']</t>
  </si>
  <si>
    <t>['GCS is 15', 'No loss of consciousness']</t>
  </si>
  <si>
    <t>['altered mental status', 'GCS of seven', 'GCS is seven']</t>
  </si>
  <si>
    <t>['GCS 14', 'drowsable']</t>
  </si>
  <si>
    <t>["GCS, I'd say, is 13", "She's pretty out mentally", "She's very confused"]</t>
  </si>
  <si>
    <t>['possible loss of consciousness', 'repetitive', 'GCS of 15', 'confused', 'about a 13']</t>
  </si>
  <si>
    <t>['brief loss of consciousness', 'alert and oriented', 'momentary loss of consciousness', 'GCS is 15', '15 the entire time']</t>
  </si>
  <si>
    <t>['wake-oriented', 'believing she has a loss of consciousness']</t>
  </si>
  <si>
    <t>['unconscious when EMS arrived', 'conscious and crying now', "GCS right now she's a 15", "she's appropriate"]</t>
  </si>
  <si>
    <t>['GCS has been 15 the whole time', 'No LOC', 'He remembers the whole accident']</t>
  </si>
  <si>
    <t>Average 'word_count_reduction_percentage' by 'gpt_decision_type'</t>
  </si>
  <si>
    <t>Average of word_count_reduction_percentage</t>
  </si>
  <si>
    <t>Correct</t>
  </si>
  <si>
    <t>Overtriaged</t>
  </si>
  <si>
    <t>Undertriaged</t>
  </si>
  <si>
    <t>Grand Total</t>
  </si>
  <si>
    <t>Average 'word_count_reduction_percentage' by 'human_decision_type'</t>
  </si>
  <si>
    <t>gpt_green_decision_type</t>
  </si>
  <si>
    <t>gpt_green_decision_level</t>
  </si>
  <si>
    <t>respiratory_rate, gcs</t>
  </si>
  <si>
    <t>gcs</t>
  </si>
  <si>
    <t>blood_pressure, respiratory_rate, gcs</t>
  </si>
  <si>
    <t>heart_rate, respiratory_rate, gcs</t>
  </si>
  <si>
    <t>heart_rate, blood_pressure, respiratory_rate, gcs</t>
  </si>
  <si>
    <t>gpt_old_level_decision_type</t>
  </si>
  <si>
    <t>gpt_old_decision_level</t>
  </si>
  <si>
    <t>gcs, mechanism_of_injury</t>
  </si>
  <si>
    <t>MS_Hybrid5_decision_level</t>
  </si>
  <si>
    <t>Hi, this is Lewis and Chu calling to give a report for a patient we're bringing in. Sure. Okay. I have a 10-year-old female involved in a motor vehicle accident. Okay. Right now, her vitals are 148 over 110. Heart rate is about 100, and the rest are 25. She has a couple of scuffs on her knees, no loss of consciousness, no neck pain, she does have deformity in the lower right leg. Okay. What was the, like, how fast was the car going? Was she in the car or was she hit by a car? She was in the passenger side front with airbag deployment. Okay. Do they have any idea how fast the car was going? No, nobody knows. She was riding with her grandma, and her grandma went unresponsive, and they hit a tree. Oh, okay. Okay, okay. What is her GPS? Probably about 10, maybe 10 minutes. Oh, sorry, her GCS, like her... Oh, 15, 15. Yeah, she's conscious and alert and aware and all that. And her staff are okay? Yeah, yeah, she seems like she's doing okay. She's got good movement and pulses in her extremity that has obvious deformity. Okay. All right. We will see you in about 10 minutes. Anything else I can do for you right now? No, that's it. All right, thank you. All right. See you soon.</t>
  </si>
  <si>
    <t>Hi, this is Steve from the staff team. I have Raylan Sherwood. Did you hear about this baby? It's a four-month-old. Was that Bradford? Yeah. You did? Yeah, I did, yeah. Okay. So this is a four-month-old that was involved in a, seems like a, oh. Sorry about that. This was airborne. Yeah. So this is a four-month-old that was involved in, like, an attack by a dog, unwitnessed. There was a babysitter watching the baby, and she stepped out of the room for a short while. A dog got out and was found on top of the baby. Yeah. So the baby has. What I'm looking at is a lot of superficial lacerations and ecchymosis to the, primarily the frontal and temporal regions. Yeah. Had a head CT and a CT of the neck, which was negative. For them, she presented with a temp of 34, 34-something. She is normal thermic now. She is vitally stable. Her temperature is about 36.7 now. Yeah. Partly, like, 140s, normal tensive. Sat in high 90s on room air. Okay. They didn't have a collar on her. We just kind of made an impromptu collar with a towel. And so she's immobilized there. She's in an isolate, maintaining her temperature. Mm-hmm. Okay. So, from a standpoint. Like, awake and otherwise acting okay? Yeah. Yeah. Yeah. She's vigorous, moving all her extremities. Pupils are brisk to react to light. Okay. Good breath sounds. Perfusion's good. So, we established IV access. Her ISAT was pretty much, everything was benign. Her last glucose was 92. Okay. And they had a order for ceftriaxone. Mm-hmm. Because they were treating her as sepsis, I guess. Yeah. I heard that part. Versus NAC. Do you want me to go ahead with giving ceftriaxone or? I think we would want augmented. Julie, does Rosethan good enough for dog bites or? It's so good. So, it's going to be a bit. Why Rosethan? Yeah. I'm not sure. They just have IV access. Oh, no. Okay. No, no. Okay. All right. Um, please. Did you do that? Am I allowed to give augmented? Yeah. That's okay to do the Rosethan now, and then we'll give augmented. All right. So, 50? Yeah. 50 per kilo. 50 per kilo. Yeah. Okay. All right. And, um. Do you think we're going to need, like, ENT or facial or somebody to come fix these? Are they, like, very extensive or? Uh, there's. They're primarily. Superficial. Okay. She did have some bleeding from the left ear. Yeah. Which they explored, and they didn't really see anything. Okay. But the. The ecchymosis is pretty significant to her. Yeah. Her scalp and her temporal. Bilateral temporal region. Okay. So, I'm. I'm not sure if we should do this as a. A level two. Yeah. That's kind of what I'm wondering, too. But. Um. Why don't. How far away are you guys? We're about an hour and 20 minutes. An hour and 20 minutes. Okay. Yeah. I am. I think unless something changes, we can just kind of make that determination when you guys get here. Um. If that works. Okay. Yeah. All right. Is there anything that you would want me to address? Um. I mean, as long as she's got normal vital, she's breathing on her own, we can give her the antibiotics. Um. And then, yeah. We've immobilized as best we could for her neck. So. Um. Yeah. Nothing else I'd add right now unless things change. Okay. Okay. Sounds good. All right. Thank you. We'll see how we get here. Bye-bye. Thanks. Bye. Bye. Bye. Bye. Bye.</t>
  </si>
  <si>
    <t>Hi, it is Dr. Hall. Hi, Dr. Hall. This is Eligville Andeal. Hey. And we're inbound with a four-year-old male patient who fell approximately 25 to 30 feet off a chairlift to the ground while skiing today. He's conscious, alert, and oriented. The only trauma that we can see is a deformity of his left wrist. We got him on a â€“ we seemed to go put him on a backboard. We just kind of left him there and assessed him. And he's collared and he's breathing normally. Okay. Did he pass out at all? What's that? We're not sure if he passed out or not. Nobody here on scene saw. They saw the fall, but they don't know if he â€“ he wasn't moving real quick. So, anyway. I do have IV established. He's in a lot of pain. Anything I can give my â€“ my current federal team. Okay. How much does he weigh? Do they know? 40 pounds, possibly. He's 40 pounds. All right. Hold on. Let me â€“ let me put that to kilos for a second. Do you have a set of vitals on him right now? The last set of vitals would be heart rate 131 in regular. Blood pressure 118 over 77. Respirations about 18. Okay. Okay. Okay. And his GCS, what do you think that would be? Oh, I'd say 15. Okay. All he is is screaming about his wrist. Okay. And I'm amazed he's â€“ we don't see anything else. So â€“ Is he â€“ was he in a helmet? Yes, he was wearing a helmet. Perfect. Okay. And you said you have fentanyl on board for him? Yep. Yep. Okay. Could you like 15 mics of fentanyl? Okay. One five? Yep. Okay. And then just keep it â€“ 15 â€“ 15 mics of fentanyl? Yes. Okay. And then how far out are you guys? We are â€“ we're a good â€“ where are we? We're 40 minutes out. We'll call when we're 10 minutes out to see if you have an update. Okay. All right. All right. Well, I just want to let you know we're coming. Yeah. I appreciate it. Anything else I can do for you? No, that's great. We're getting 15 mics of fentanyl. Okay. Sounds good. Call back if anything changes, okay? Okay. We'll do it. Bye-bye. Thanks. Bye. See you later. Bye-bye.</t>
  </si>
  <si>
    <t>Children's area, this is Dr. Weiss. Hi, Chicago County Paramedics. I'm in or out with a 15-year-old snowmobile accident. Just want to give you a report. I don't think that they need that control. Okay, snowmobile was going 45 to 55. She hit a tree head-on and was thrown into the tree. No loss of consciousness, no other injuries except isolated right femur, obvious deformity. That's true. She was snowmobiling with a group. She did not lose consciousness. They got her out of the tree right away and then called 911 right away. We have good movement pulses in the right foot, and we're hemodynamically stable. We had one round of fentanyl, and we're still about 30 minutes out. Do you have her current vitals? Yeah, do you have her current vitals? Yes, 118, sinus on the monitor, BP 130 over 65, Botox is 96%, and I have an 18 in the left AC. Okay, GCS 15. She has no history, no meds, no allergies, and she's 15. Okay, and her GCS is 15 as well. I'm sorry, what? Yeah. GCS 15. Okay, all right, we'll see you when she gets here. Yes, GCS 15. Okay, see you in about 30 minutes. Bye. Yep.</t>
  </si>
  <si>
    <t>Hello, this is Dr. Sridharan, Oshai Children's ER. Hi, this is Nate Douglas. I'm a paramedic with Trans-An. I was supposed to give you guys a trauma alert when I got close with a transfer out of Olin General. Yeah. Coming in with Larissa Bird, 11-year-old female. Okay. She was in a sledding accident today. She was brought to Olin General and evaluated. They diagnosed her with a grade 3 splenic laceration. Okay. She's stable at this time. Last set of vitals, heart rate 75, O2 is 97. Last pressure is 105 over 63. Okay. She was treated prior to my arrival with morphine zofran. She had TXA rum in. No, same, same, same. And we initiated our transport. Yeah. And we got about a 15-minute EPA. 15 minutes EPA? Okay. And how is her GCS? GCS is 15. 15. And no other injuries, right? Like other than the splenic laceration? Nope. Is she on a C-collar? She was not. She was heading an XCT at Olin General and she was cleared there. Gotcha. So she got an XCT and then she was cleared. Okay. Yep. So she got morphine and zofran and no fluids, right? She does have LR running at 150. Okay. Okay. And she did get TXA before we left. Oh, she got TXA. Okay. Sounds good. And she's alert and oriented right now? Yes. Okay. Thank you. We'll see you when you get here, yeah? Alrighty. Thank you. Okay. Thanks. Bye-bye.</t>
  </si>
  <si>
    <t>Hello, this is Dr. Sridharan, OSHA Children's ER. Hi, good afternoon. This is at Elk Hill Ambulance, and we are inbound with a 15-year-old female patient who is skiing on a very steep ski run and lost control and hit a tree head-on. She's got marked bruising and pain in her face, primarily her nose, and she's complaining of upper left abdomen, upper left quadrant of her abdomen pain in one of the ribs and along the spleen. She's also complaining of pain in her left wrist as well as her right. How far out are you? We're about 10 minutes out. 10 minutes, okay. Sure. And her left. Her left is 95% vitals. Heart rate is 95 in regular. Blood pressure is 105 over 65. SpO2 is 99 in room air. Respiration is around 12, 12 to 14 in normal. And her GCS is okay? Her GCS, I would say, is around 14. 14? Okay. Yeah, she's a little confused still. Oh, she's a little confused. Yeah, I've given her 500. I'm still giving her a drip now. I can still tell if she's in the way. She's still taking 500. Her blood pressure is still pretty low. So you're giving 500 of NS? Yes. Okay. Of saline. Okay. So far. Okay. I'm just trying to keep the drip open for now. Okay. Okay. Okay. Okay. Okay. Okay. Okay. Okay. Okay. Okay. Okay. Okay. Sorry? We'll see you in five. Five to ten. Sorry, I missed the last part. Okay. We'll see you in five to ten. Yeah. Okay. Five to ten. Okay. That sounds good.</t>
  </si>
  <si>
    <t>Children's here, Dr. Catton. Hey, Doc. It's Kevin with AMR. Yeah. We're coming in with a 14-year-old female struck by a car, probably 35 miles an hour or so. Positive loss of consciousness. She's got hematoma on the back of her head, a lot of lower back pain, lower right leg pain, road rash all over. Vitals now, respirations are about 20, heart rate 100. Blood pressure is 95 over 57. Okay. She's a little more oriented. Do you have access? Do you have an IV? Yep. I got an 18 in. Cool. I gave her some fentanyl for the pain. Cool. Okay. Did you give her any fluids yet? Just a little bit. We just got it running. Cool. Yeah. So just keep that running. Okay. Cool. What's your ETA? Yeah. Let me look up. Okay. 16 minutes. 15. Cool. And then her GCS, is that good? 15? Yeah. We're at 15 right now. Okay. Where are you guys coming from? Waxanaca. Okay. Cool. We'll see you when you get here. All right. Thank you. Thank you. Thank you.</t>
  </si>
  <si>
    <t>So, Shiedi, this is Dr. Jimenez. Hi, this is Stryker's Delay. We're just calling in a trauma. Uh-huh. Are you ready? Yeah, go ahead. Okay, nine-year-old male involved in a four-wheeler accident. Roughly going about 10 miles an hour, four-wheeler rolled over on his leg, and it looks like he has an obvious low femur fracture just above his right knee. He's conscious and alert, never lost consciousness. Sorry, you said left femur fracture? Nope, right, just above the knee. And there's a lot of swelling. We do have some ice on it. It is secured as best we could. BLS rigs bringing him in. He was given three 160-tubule Tylenol, taken prior to my arrival, for pain. He seems to be doing pretty well right now. He's got a collar on. Vitals are 122 and 62, heart rates 103 and regular. Respirations are 18. Pupils are equal and regular. He's very active. He does have quite a bruised hip fusion on his other upper leg, but he said it does not hurt. Pedal pulses are both intact. I x where the pedal pulse is on the other extremity that is injured. Mom is on board, and we are roughly 10 minutes from your facility. Okay, GCS? GCS is 15. And then I'm sorry, I missed his heart rate. Could you do that again? Heart rate is 103. Okay, and what's your ETS? ETA. ETA is 10 minutes. Okay, we'll see you guys shortly. Okay, thank you. All right, thanks. Bye.</t>
  </si>
  <si>
    <t>Can you stick out your tongue for me? Oh, shy. It's Jessica. Hi, Eric on Mercy Medic 1. Coming in by ground with a trauma-free alert. Okay. Can I get a pen? 15-year-old female, ATV rollover. Okay. She got 10 out of 10 back pain. She bit her tongue. She's got some dried blood around her nose and mouth from her tongue. Okay. Pretty much, yeah. We've got ALS established. Vitals are stable. We're about 15 minutes out. Okay. Can I get a set of vitals, please? Yeah. She's got 15. Last blood pressure is 139 over 77. 89 beats a minute. Okay. 99% on room air. Okay. Breathing like 24. Okay. Okay. And like no LSD or anything like that that we know of? It was unwitnessed, and she's not sure if she passed out. Okay. All right. We will see you when you get here. All right. Thanks. Thanks. Thanks. Bye. Bye. Bye. Bye. Bye. Bye.</t>
  </si>
  <si>
    <t>Okay, emergency department, this is Dr. Petty. We're trying to help you. Hi, my name is Allison. I'm a paramedic with the City of Toronto Fire Department. We are on our way to you with an 8-year-old that was struck by a car. Oh, okay. What's going on? She's being super combative right now, so it's hard for us to get vital. She's bleeding from the nose, and she's in and out of consciousness. Okay, what's her current GCS? Four. Four? Okay. What's her respiratory rate? Respiratory rate is probably 14. 14. Okay. Is her airway intact? For now, yes. She's maintaining her own airway. Yeah, okay. What's her pulse ox? I'm sorry? What's her current vitals? What's her heart rate? What's her blood pressure? Her pulse ox? We're working on getting that right now. She's being combative every time we try to go for any type of vital. Okay, do we know if that's the car? How far is it going? 30 miles an hour. 30 miles an hour. She was wearing a helmet that's relatively intact. Okay. How far away are you guys from O'Shea? 16 minutes. 15 minutes? Is the kid like baggable? Or is she just at it for you that you can't like? She's really fighting us now. It's okay sweetheart, put your hand down. But we'll continue to monitor her FDL2 and bag of mucocaries. So what is she getting for for the GCS? I guess if she's fighting you, right? Because spontaneous movements. So it's like spontaneous movement. She's not reacting to pain. She's just kind of like flailing her arms and legs. Okay. Okay. Is she speaking at all? No. No. Okay. So nonverbal. Any, is her eyes open? No, she's not opening her eyes. Eyes not open. Okay. Okay. And she's not doing anything when you sternal rubber? She's just flailing? Nothing. No. No. Maybe a little motion of her hands, but nothing noteworthy. She's just flailing her arms and legs. Okay. Any signs of obvious injury? Other than the bleeding from the nose, she's just got minor abrasions on her legs and hands. We just got a pressure of 120 over 59. Okay. Okay. Did you get a heart rate yet? Sorry. I'm sorry. I'm sorry. I'm sorry. I'm sorry. I'm sorry. I'm sorry. I'm sorry. It's 71. Heart rate is 71. Heart rate is 71. Okay. Does she have a c-calor on? Yes, there is. Okay. C-calor is one. Okay. All right. She can be at one. You said you guys are about 15 minutes out? Yeah. She's at 80 for G. Okay. She's 98% FCO2. We just got that as well. Sounds good. Okay. Yeah. I mean, I was just saying. I mean, it's not that I'm not sure. I was just like, well, I can't do that. I can't do that. I can't do that. I'm not sure if that's the right word that I'm using. Get a line in, bag her so she's like saturated and good. Keep monitoring her vitals. We'll see you guys as soon as you get here. Yes, sir. Thank you. Yeah. All right. Thank you.</t>
  </si>
  <si>
    <t>Hello, this is Sean Bush, Advancing C with AMR. I'm going to be bringing you guys a 7-year-old male that was struck by a motor vehicle about 15 minutes ago. The vehicle was going roughly 40 miles an hour. Negative LOC. The patient is confused at this time, but GCPF 14 otherwise. Why are we knocking down a point for the GCS? He's been dazed and kind of asking a lot of the same questions. So, either spontaneous opening for, you can, he's oriented, is he oriented to, like, person, place, and time? Person and time, but place and event, not so much. Will he follow commands for you? Yes. And was he walking on his bicycle, or? I believe he was walking. So, it seemed like he was walking. He was hitting children. This is like the 80th, 50th week. Sad. Okay. How far out are you guys? We're about probably 10 minutes from a guy. 10 minutes. Okay. What's the heart rate? Yeah, vitals are stable. We're 126 for a heart rate. What's the heart rate? We're 97, oh, 138 on 76. All righty. And we're 99% on room air. Got anything for a respiratory rate by chance? I can tell you about, read that a little quick. Okay. You probably had it. Had it. I think it was like 28. 28? Okay. Yeah. Yeah. On labor, though. Okay. Does he have a line in, or did you have to give meds or anything? Nope and nope for advanced level, so. Okay. And it's a line on teeth. Sounds good. Thank you. We'll see you soon. We're going to go back to the trauma bay when you get here just so you know. Sounds good. Thanks very much. All right. Thanks. Bye.</t>
  </si>
  <si>
    <t>Hello, Shai, it's Dr. Pathers. Hi, Doc, it's MERS Control. How are you this afternoon? Good, how are you? I'm all right. Stat Medevac 17 is on its way to you with a 10-minute ETA with an inter-facility transfer from UPMC Chautauqua. Okay. It's an 11-year-old who was hit and run over by a truck with traumatic arrest on scene. They did get ROSC. They are, like I said, 10 minutes out. Right now, their sinus pack at 128. They have a blood pressure of 76 over 45. On the vent, 18 times a minute, setting at 93%. And, again, 10-minute ETA to your rooftop. Okay, sounds good. Did they say this kiddo was on any meds? Oh, running blood and epi at the present time. Okay, beautiful. Thank you. You're welcome. Bye-bye. Bye.</t>
  </si>
  <si>
    <t>Hello, Dr. Reeve. Hi, this is Kevin from NTF coming in with a transfer from Jones Memorial. 11-year-old female, traumatic injury from an APB accident. Yeah. Okay, just calling in to report. Current heart rate is 77. S-202-99 in room air blast. What pressure is 150 or 71? I'm sorry, I didn't catch that last part. What you got? About 15 minutes out. 15 minutes out. GCS 15. Sore cold when we get to get in? And then what was the blood pressure again? What was the blood pressure? Yeah. 115 over 71. Awesome. And then how is she acting for you guys? How is she acting? She's been pretty sleepy the whole way. I don't know if she's asleep, but she's been pretty sleepy the entire time. I'm sorry. I didn't catch that. I didn't catch that last part. It broke up on me, unfortunately. She's been pretty drowsy the entire way up. She has not actually probably fallen asleep, but she's been just kind of rolling around here trying to, but she hasn't. Okay. All right. Any complaints of pain? Pain? No increase in pain. Last I knew it was about a four over that eye that they snipped up for. The right eye. Okay. All right. 15 minutes out. Okay. I'm sorry. What was that last thing you said? All right. We'll see you in 15. Okay. All right.</t>
  </si>
  <si>
    <t>Children's ER, it's Dr. Killian. Hi, Dr. Killian. Paramedic AMR coming in with a child, one-year-old. Multiple bite marks to the face from a large dog. I have injuries including severe lacerations on the entire right side of the cheek, right lower orbital, working on vitals. I'm sorry. Go ahead. She does seem to have some lacerations in the interior of the mouth as well. As you can hear, airway is patent. She does have peripheral movement in all hands. I cannot get a visual on the right eye. I have a severe laceration to the direct corner of the right eye. I'm trying to control bleeding at the moment, still active bleeding. Do you have a set of vitals you can give me? I'm working on that. I'm sorry. She's moving around too much. Is her GCS okay, like her mental status? She's awake and alert? Yes. Okay. She's active. She's asking for mom. She's able to give me everything. She's alert. I got a heart rate 146. Pulse ox, 99. Pressure, unable to get a pressure. She's moving around too much. Okay. Respiratory rate? She's not getting any proper. Okay. Respiratory rate, I'm going to shoot in like, yeah, it's about 40, 40, 50. Okay. What's your ETA? Five minutes now. Okay. All right. Thanks. Yep. Bye. Bye.</t>
  </si>
  <si>
    <t>Medical direction line, hold on one sec. Okay. We'll let you go back up in the field and call. So, this is your doc, Carter. Hey, doc, it's AJ, Wyoming County Medical 82. We're bringing in that transfer from Wyoming County Community Hospital. Okay. That was the ATV accident. We're about 10, 12 minutes out. There's really no significant changes or anything like that. She's resting comfortably. Weightless or stable. Like I said, we're about 10, 12 minutes out. Do you have a new set of vitals for me? Oh, yeah. Heart rate's 104, sitting at 97 room air, 112 over 56. Just complaining of that right thumb injury. Okay. Thank you. All right. No problem, bud. Cool. Bye. Bye.</t>
  </si>
  <si>
    <t>It's Dr. Amborski. Hey, Dr. Amborski. This is Sergio Diaz. I'm a paramedic with AMR. I have a 16-year-old male shot once in the right leg, no entrance wound, or no exit wound, I should say, just an entrance wound. Probable femur fractures in the right leg, distal pulses are in place. Police placed a tourniquet at 1603. We've left it in place. They reported no hurting, bleeding, and they initially made contact with the patient. Right now, he's okay. Riders are stable. I got 137 over 99. His spark rate is 75. He's 100% under the mirror. The respiratory rate's a little elevated, 26. We're working on an IV, and we'll give him pain meds. Okay. We'll be there in, like, 10 minutes. What part of the leg? You think it's femur? It's mid-shaft, almost exactly mid-shaft. Okay. On the right. All right. What's your ETA? Like 10 minutes. 10. Okay. Thanks so much. Thanks. Bye. Bye.</t>
  </si>
  <si>
    <t>Children's ER, Dr. Kenyon. Dr. Kenyon, Hi, Paramedic Kornowitz, I am R282. Yeah. I got a four-year-old, struck by a car about 15-20 miles an hour. She has two obvious open fractures in her right lower leg. One just below the knee, one right above the ankle, and the top of her foot and part of her ankle is decloved. Okay. Alright. Yeah. Vital signs, 111 over 67, heart rate 110, that and 100% on room air. We've got her dressed and splinted. We've got a collar on her. We should be there in probably 10 minutes or so. 10 minutes. And GCS, 15? 15, yes. Yeah, and no, like, belly pain, really, just the extremity, it sounds like? No belly pain, no abduction pain. Okay. Sounds good. We'll see you when you get here. We're going to be going into the trauma phase. Thank you. Alrighty. Thank you. Bye-bye.</t>
  </si>
  <si>
    <t>I'm Shai E.D. This is Dr. Jimenez. Hey, Doctor. This is Anthony Reyes with AMR. I'm coming to your facility with an 18-year-old female that was involved in one singular motorcycle accident, specifically a dirt bike, no helmet, about 30 miles an hour, blood glucose 126, 160 over 110. GCS is a 1599 room air, 108 for pulse. She has right now, before I got to her, Buffalo Fire stated that she has a big open gash right above her left eye. It's wrapped right now. She's in a T collar. I'm on your way about 10 minutes. Okay. And then she's sat in good normal. Yeah, she's sat in good. She just said that she doesn't remember what happened, but right now she is alert and oriented times three. Okay. Yeah. Yeah. Her mom wants her to go to O'Shea. She's 18 years old, so. Sure. I mean, at 18, she can definitely head to ECFC. Yeah. Yeah, we're literally down the street from ECFC, but she wants her to go to Children's. Okay. All right. No problem, Doc. I'll see you in 10. Thank you. No problem.</t>
  </si>
  <si>
    <t>Children's Emergency Department, this is Dr. Ruano. Hey, Doctor. This is Mercy Flight Paramedic Sanders. I've got a five-year-old male who was trapped underneath a car for probably five to ten minutes. His left arm was definitely trapped under the car. His head, I guess, was at an odd angle at the time. He was unconscious when the fire got here. They'd placed an airlift airway, but by the time I got here, he's crying. He's at least asked for his dad once. But the best that I can tell is just the arm. Everything else seems okay. He's 15 right now, then? I mean, hard to tell because he's crying, and I haven't really been able to tell what he's responding to, honestly. But they said that they heard him literally call for his dad. Okay. He's gotten 20 of fentanyl and nothing else. That doesn't seem to have made a difference yet, so I'll probably end up giving him some more on the way. Sounds good. Can I get his last set of vitals? Yeah. His pressure was, I think, 118 over 73. Heart rate, 119. Who is... Oh, I hear him screaming. Yeah. That was my mother. I'm not sure what the actual number is for the oxygen, but he's on 10 liters. They said he was doing okay on room air. Okay. He left the oxygen for the situation. He's got a C-collar. Is he moving all extremities spontaneously other than the injured one? Yeah. So maybe a GCS of 14 just because he's kind of difficult to control again. That seems reasonable, yeah. How far out are you guys? It's about a 10-minute flight. We're just about unloading him, so... Yeah. Where are you guys coming from? 1215. Lake Northern Niagara County. Niagara County. Okay. And you said it was his left arm that looks pretty crushed. Left arm was definitely trapped. Yeah. It's got a lot of bruising on it. Okay. Okay. Sounds good. We'll see you guys when you get here. By all means, if you need to get more functional... Perfect. Let us know if you need anything. We'll page it out as a trauma now. Okay. Thank you, Jackie. Thank you. Thank you. Bye. We'll see you shortly.</t>
  </si>
  <si>
    <t>This is your doctor. Hi, this is Taze Amar. I'm bringing a four-year-old patient. She's a four, struck by a car. She is alert and this time screaming, which is good. She's on sinus rhythm 146, 99% on room air 113 over 83. She had a small laceration to her upper lip, and that's the only obvious injury. She's moving all extremities. Okay. Any idea how fast the car was going? About 40. 40, okay. About a five-minute EPA. GCS? 15? 15. Okay. Yeah. All right. See you soon. See you later.</t>
  </si>
  <si>
    <t>Dr. Benton, can I help you? Hey, Scott. It's Scott. Oh, hey. So, for this transfer from DeGraff for the skull fracture... I thought you weren't bringing us anyone else tonight. I didn't think I was either. Are you making this a trauma? Yeah. All right. So, I'll be there in like 15 minutes. The skull fracture was pneumocephaly. Oh. All right. Yeah. So, I'll be there in like 15 minutes, just so you know. Awesome. I'll update it. Thanks. Thank you. Bye. Bye.</t>
  </si>
  <si>
    <t>Hello, Shai. It's Dr. Pathers. Hi, my name is Morgan. I'm an advanced EMT with North Carolina Emergency Squad. I'm calling in a pediatric trauma. Okay. So I'm currently en route to you. I'm about 30 minutes out, probably 30, 40 minutes out. I'm in Eden with a 17-year-old male who fell about 10, 15 feet from the very, very tippy-top of a playground set. He lost his balance, slipped, fell backwards, fell, hit his head on the ground of the playground. It's like a wood ground, I guess. Hit the left side of his face. He has not a lot of swelling or anything on his face, but he has a positive LOC. He came to us about an hour and a half after the incident occurred. He said that he was vomiting. His friends brought him to us. He was vomiting. And he started to act. He acted funny, they said. And we got him into the truck. He was acting okay. He was alert and oriented times four. He's now declined to alert and oriented times one. I would say his GCS is about 13 now. He was GCS 15. His pupils were reactive to light. They're now sluggish. And his left pupil is rolling back. His eye is, like, rolling backwards in his head when I try to check it. And it was not reacting very well at all. Okay. His heart rate is 82 right now. His blood pressure is 115 on 74. And his FPO2 is 99. He just keeps saying he's trying to sleep. I'm trying to keep him awake. He's not really responding to me too much anymore. Okay. Okay. Have we given any meds? I haven't. There's nothing really to give. I'm an advanced EMT, so I can't give pain meds or anything. I don't have anything like that. I don't really have anything that I can give him. I could give him some saline, but I... Is there anything you suggest? I would... Yeah. I would give him a fluid bullet. A bullet. I was going to just start with a fluid bullet as long as it was okay with you. Yeah. But I called you as soon as his GCS changed, so... Yeah. And then he's in a C-collar, yes, of course? What was that? And yes, absolutely. Okay. Yes, and since the start. Yep, absolutely. Yeah. Call us if anything changes back. Like, if his GCS continues to decline, or his vitals are shifting any more than where they are right now. Okay. Yeah. The vitals haven't shifted at all. Okay. But yeah, he's in the C-collar and everything. He hasn't vomited since I got in. Like I said, I was about to start a fluid bullet, but I called you right away. Okay. And at this point, there's really nothing more I can do. I would get a paramedic, but I don't think there's anything really they can do either. Okay. So I think he just needs a CT scanner. Yep. Sounds good. Thank you. I'm a CT tech, but obviously I can't do it on here, so... Yep. Thank you. All right. We'll see you in about half an hour. Sure. Okay. Thanks. Bye. Okay. Thank you. Bye.</t>
  </si>
  <si>
    <t>Heidi, this is Dr. Jimenez. Hey, Doc. My name's Matt. I'm in advance of that. I've got a pre-arrival for a cyclist struck. Oh, hey. Tell me about the skiddo. Twelve-year-old male, cyclist, wasn't wearing a helmet, struck by a vehicle on a side street traveling at a significant seven miles an hour. Seven? Yep, seven miles an hour. What a very specific number. Keep going. Very. I concur. Vehicle, sun to the ground, had to strike on concrete. Vehicle was reported to have ran over both of his legs. Oh, my gosh. No obvious crepitus for my evaluation. Just he had some decent swelling to his left ankle and left knee with generalized head pain and neck pain. GCF 15, heart rate 114, saturation 99% remer. He's got a pressure of 136 over 93. He's got a pressure of 136 over 94. No past medical history. Okay. And you said he was unhelmeted? Unhelmeted. Of course. Mm-hmm. Okay. What's your EPA? We're coming from borderline Kenmore at this point, so I'd give a 10. Sorry, say that again. How long? Ten minutes. Ten? All right. Perfect. I can discharge this good really quick. Okay. We'll see you in ten. All right. Thank you. Yep. Bye.</t>
  </si>
  <si>
    <t>OSHAI Emergency Department, this is Dr. DePalma. Hey, Doc, this is Paramedic Noah with Twin City. I'm coming to you with a 16, 1-6-year-old male who was riding his bike across the street and was struck by a pickup truck going approximately 35 to 40 miles an hour. Has complaints of neck pain, right elbow pain. He's got some solid road rash. And then on his right foot, he's got road rash down to the bone. Road rash down to the bone where? On the right heel and ankle. Okay. Heel and ankle. I'm assuming he hasn't walked after this? No. Did he have a helmet on? He did not. Do you know if he hit his head? I know you said he had neck pain, but. He says he doesn't remember. Doesn't remember. So are we saying presumed loss of consciousness then? Any vomiting? No vomiting. Okay. Is he answering questions for you? Yes. What would you say his GCS is? 15. Okay. And do you have the rest of his vital signs for me? Heart rate 106, sinus pack, 100% room air, 18 respirations, and pressures coming back 144 over 81. I'm sorry. What did you say his respirations were? 18. Okay. Thank you so much. And how far out are you guys? Sugar was about 25 on us. 25. Okay. Thank you. Yep. All right. We're going to go back to the trauma bay when you get here, but you can certainly come around and we'll go in with you. Okay. Perfect. Thanks. Oh, do you happen to know the name just so we can maybe get them in the computer? Tyshawn. Tyshawn. T-Y-S-H-A-W-N. Okay. Does anybody know, does he know his height or weight? Tyshawn, how tall are you? 5'7 1â„2". 5'7 1â„2". And he's about a buck 10, buck 20. Oh, we'll just split it to 115 then. Do we have a last name for him? Lam, L-A-M-B. L-A-M-B and DataBird. Sorry, it'll just make it easier. DataBird is stupid. DataBird is 5-29-09. Thank you so much for your help. We will see you in 25 minutes. Yep. See you then, Darkly. All right. Bye.</t>
  </si>
  <si>
    <t>Hello, this is Dr. Reeves. Hello, this is Joy Plant, and I'm a PAM medic. Hey, what's up? Hey, I got a kid, a 7-year-old, 7-year-old female who fell approximately 15 feet out of a window after jumping off the couch. Parents did get up and move her, picked her up, carried her up the stairs. She's got an obvious humeral fracture on the left side, pain on the left leg, no deformity. She has a backboard in a comment right now. We're working on vitals for you. She looks like 141 over 80. 7-year-old? A 7-year-old. Okay. 7-year-old female. Okay. 15 feet out of a window, obvious deformity of which leg? Right arm, I mean left arm. Left arm. And pain in the left leg, unknown deformity. I haven't really been able to see so much. They do speak, what did they just say they speak? What? Rohingya. They speak Rohingya. Parents both don't speak English. There was a sibling one team that could translate for us. Okay. GCS? Unknown because we don't speak English well. We're going to go with a 15 for now, but the neighbors did say that when they saw the child fall that the child was under the sock. Okay. Okay. How far out are you? We are like five minutes down the road. I'm just getting all hooked up to them on our day right now. Yeah. Anything you want me to do? Any pain meds or anything? I mean, definitely can do if she seems to be in obvious distress. We're going to go right in the back. I don't have room with her because of the height of the fall. Correct. So you want us to just go? Yeah. I mean, just a fentanyl will probably be good. She's seven. How much? Yeah. What's her approximate weight? Can you get any weight for her? I mean, looking at her, I mean, I think if she's less than 50 pounds. But honestly, I don't. Ask him if he knows how much he weighs. How much do you weigh? Does he have to be in the first? I don't know. I'm sorry. Yeah. So that'd probably be like. You want going? Who's going then? Is mom going? No. Okay. Is mom taking the car or coming with us? The van is. I don't know. The van is. She's taking the car. Okay. So you're following us there. Okay. You're going to want to park in the emergency room parking lot. Does he know how much he weighs? I don't know. I don't know. Oh, my. You know what? You know what? Just. Yeah. Just. I would just probably roll with her. She's probably going to be. It's probably going to be like one mic per kilo. Yeah. I'd probably. Probably. You could probably do 20 mics of fentanyl if you really want to. But otherwise, just head on over and we'll get her taken care of. What you got for her vitals? One. 41. 41 over 88. I got 99% of room air and 103 for heart rate. 103. And then what was her respiratory? About 24. Okay. And then what would you say was the post-ox? Post-ox is 99% room air. Fantastic. And you said 20 mics IM? Yeah. You could do that. Okay. We'll work on that. Thank you. Thank you. And if you were probably about five. Yep. Bye. All right. Thank you. Bye. Bye. Bye. Bye. Bye.</t>
  </si>
  <si>
    <t>Hi, it's Dr. Catherine. Hey, this is Maddie Jesse with BigTree. I have a 16-year-old who fell from a train trestle through it. No other intent. Probably, I want to say, close to 50 feet. I'm sorry, say that how many feet again? Probably about 50 feet. He's conscious, alert, and worried. He did lose all consciousness for several minutes at least. But he's, we did give him, I got an 18-star Sentinel. I want to make sure you guys are okay with me bringing him to you is basically the big thing. How old is he again? 15? 15. And how much, he probably, how much do you weigh, Santino? How much do you weigh? 180. Okay. How much do you weigh? 201. I'm sorry, I was trying to, I got 100% going. So he fell 50 feet? Yes. Onto a train track. Okay. All right. I mean, I just wanted to be sure if you guys were either or EMC. Whichever one is closer, it's either one. Okay. You're about the same distance, but his mother preferred him going to you guys. Okay. We can do that. We can do that. All right. Thank you so much. We will see. Do you need anything else from me? Yep. I need a full set of vitals, please. Okay. Okay. 136 over 54. The CO, the CO capnography is 38. He is, I'm not getting a very good reading on my pulse. I'm on the phone. 118 sinus attack on the monitor. He's got an 18 left AC. I'll work on access on the other side for you. I have fluids running currently and he had 100 of fentanyl. Okay. Blood sugar was 129. Okay. Does he have any deformity? No. I'm sorry, ma'am. Does he have any deformities anywhere? His left is hurting him horribly, but I don't see any deformity. He's got some cuts and bruises otherwise, but he's been, he's got good fetals, able to move everything exceptionally. Okay. And then how far? And we're leaving Hamburg now. So we are probably at least 20 minutes. Okay. All right. We will see. All right. Thank you. Okay. Bye. Thanks. Bye-bye. Bye-bye.</t>
  </si>
  <si>
    <t>I was shy. It's Dr. Pathrose. Hi, this is Rob with Woodbom. I have a 13-year-old male ATV accident, approximately 20 mile an hour. He did have his helmet on. His blood pressure is 122 over 64, pulse is 93, oxygen is at 97. He has left leg pain in the proximity of his hip, a bump on his head. Doesn't know how long his nose is bleeding, but he does have dried up blood in his nostrils. Okay. Now, do you want us to come hot, cold? We'll be about 15 minutes if we come cold. I mean, if he's GCS 15 and all those things, you don't have to come in super hot or anything. Okay, yep. No problem. Sorry, can you tell me the heart rate one more time? Pulse is 93. Okay. All righty. And then LSC or no? I'm sorry? Did he have loss of consciousness? He says he remembers everything. Uh-huh. And that's the best. He doesn't know how long his nose bled for. He doesn't know how long it was from the time he wrecked until somebody found him there because he was riding alone. Okay. All righty. We'll see you when you get here. All right. Sounds good. Thank you. Bye.</t>
  </si>
  <si>
    <t>Hi, this is Selena Moreno. I'm a basic with AMR. I'm bringing you guys a 15-year-old female who was attacked by multiple dogs. She currently has multiple bite wounds to the left leg with some fat hanging out. She is unable to feel. She has complete numbness in her right arm, unable to wiggle her fingers. I can't get a good radio call. She has multiple bite wounds in that as well, but no obvious deformities besides the bite wounds. And then she has a couple on her back and a couple on the left arm. Does she have, like, from that right arm, she has bites on that right arm as well? Yes, she does. Unknown if the dog is vaccinated. The owner said that they are, but there's no, like, proof. We didn't get proof. Do you have vitals? Yeah, vitals are good. Last pressure I got was... I can't get a pulse ox on her because mine is currently not working. Okay. She's alert and oriented. She's just complaining of pain in that right arm and the leg. Okay. Is there any, like, evidence of arterial bleeding or pulsatile bleeding from that right arm that she's having a decreased sensation in? From the lung? No, no, no, no, from the right arm. Okay. There's no, there's no, there's no, no. You're not concerned? You're not concerned for arterial bleeding at all, correct? No, the bleeding's not severe. We got a bandage dog. They're pretty deep white. Yeah. All right. How far away are you guys? We are about, I would say, like, five-ish minutes. Okay. So you, and I apologize, one five or one six-year-old? One five. Okay. So one five-year-old female attacked by multiple dogs has bites to the left leg, right arm, and the back. The right arm is the most concerning to her because she's having, you're having difficulty finding a pulse. And... Yeah. She feels she, she is having trouble sensation. You guys are about five minutes away. Okay. We are going to have you guys start out back in the trauma bay when you guys get here. Okay. All right. Thank you. No problem. Bye-bye.</t>
  </si>
  <si>
    <t>10y/o, Vitals(BP 148/110, HR 100, RR 25), GCS:15, MOI(MVC), airbag deployment, no LOC, deformity RLE, pulses intact, ETA:10 min</t>
  </si>
  <si>
    <t>4m/o, Vitals(BP 84/42, HR 124, RR 29), GCS:15, MOI(Other), dragged by dog, vomiting, extensive facial bruising, ETA:Here Now</t>
  </si>
  <si>
    <t>4y/o, Vitals(BP 118/77, HR 131, RR 18), GCS:15, MOI(Fall&gt;10 or 3x Child height), 20-30ft fall from chair lift. no known LOC. helmeted. wrist deformity, ETA:45 min</t>
  </si>
  <si>
    <t>15y/o, Vitals(BP 130/53, HR 118, RR 12), GCS:15, MOI(Other), Snowmobile vs. Tree. No LOC. Right thigh deformity., ETA:25 min</t>
  </si>
  <si>
    <t>Â 11y/o, Vitals(BP 101/63, HR 75, RR 20), GCS:15, MOI(Other), transf from OGH with gr 3 splenic lac from snow tubing. given TXA, ETA:15 min</t>
  </si>
  <si>
    <t>Â 15y/o, Vitals(BP 107/65, HR 95, RR 18), GCS:14, MOI(Other), ran into tree skiing, LOC?, left rib pain, right wrist pain, mild confusion, ETA:5 min</t>
  </si>
  <si>
    <t>14y/o, Vitals(BP 95/57, HR 100, RR 20), GCS:15, MOI(Ped Vs Car), Car vs o peds @ 35 mph. LOC. RLL pain. Road rash, Blunt trauma:Head, ETA:14 min</t>
  </si>
  <si>
    <t>Â L2, 9y/o, Vitals(BP 122/63, HR 103, RR 18), GCS:15, MOI(ATV or Motorcycle), ATV roll over 10 mph R femur fx pedal pulse, ETA:10 min</t>
  </si>
  <si>
    <t>L2, 15y/o, Vitals(BP 139/77, HR 89, RR 24), GCS:15, MOI(ATV or Motorcycle), ATV rollover, unwitnessed and unsure LOC, tongue injury, ETA:13 min</t>
  </si>
  <si>
    <t>Â L1, 8y/o, Vitals(BP 120/59, HR 71, RR 14), GCS:8, MOI(Ped Vs Car), hit by car 30mph, only withdrawing to pain, facial and extrem abrasions, ETA:10 min</t>
  </si>
  <si>
    <t>Â L2, 7y/o, Vitals(BP 138/76, HR 126, RR 28), GCS:14, MOI(Ped Vs Car), car going 40mph, no LOC, confused, ETA:10 min L1, 7y/o, Vitals(BP [??]/[??], HR [??], RR [??]), GCS:3, MOI(MVC), ETA:Here Now</t>
  </si>
  <si>
    <t>Â L1, 11y/o, Vitals(BP 75/48, HR 120, RR 18), GCS:3, MOI(Ped Vs Car), intubated, on PRBC and Epi gtt, SAH, ETA:10 min</t>
  </si>
  <si>
    <t>Â L2, 11y/o, Vitals(BP 115/71, HR 77, RR [??]), GCS:15, MOI(ATV or Motorcycle), hit tree on ATV, unknown speed, drowsy. Neg head CT at outside ER. RUQ pain., ETA:12 min</t>
  </si>
  <si>
    <t>Â L2, 1y/o, Vitals(BP [??]/[??], HR 146, RR 40), GCS:15, MOI(Other), extensive facial dog bite including eye, mouth, ETA:5 min</t>
  </si>
  <si>
    <t>Â L2, 10y/o, Vitals(BP 112/56, HR 114, RR [??]), GCS:15, MOI(ATV or Motorcycle), riding 4 wheeler "going fast" no helmet - right hand hit a tree and was thrown off - open fx thumb, ETA:10 min</t>
  </si>
  <si>
    <t>16y/o, Vitals(BP 137/99, HR 75, RR 26), GCS:15, MOI(GSW), to mid-femur. no other injuries. awake and alert., ETA:10 min</t>
  </si>
  <si>
    <t>4y/o, Vitals(BP 111/67, HR 110, RR [??]), GCS:15, MOI(Ped Vs Car), p vs car 20 mph, 2 open fx, degloved foot, ETA:9 min</t>
  </si>
  <si>
    <t>18y/o, Vitals(BP 160/110, HR 108, RR [??]), GCS:15, MOI(ATV or Motorcycle), dirt bike 30mph, no helmet, head lac, ETA:10 min</t>
  </si>
  <si>
    <t>5y/o, Vitals(BP 118/73, HR 119, RR [??]), GCS:14, MOI(Other), found pinned under a vehicle, Arm injured found unconscious, now awake, ETA:8 min</t>
  </si>
  <si>
    <t>Â 4y/o, Vitals(BP 115/83, HR 145, RR [??]), GCS:15, MOI(MVC), struck by car going 45mph, lip lac, ETA:5 min</t>
  </si>
  <si>
    <t>Â 11y/o, Vitals(BP 95/50, HR 116, RR 16), GCS:15, MOI(Other), motor scooter, ETA:15 min</t>
  </si>
  <si>
    <t>Â L2, 17y/o, Vitals(BP 115/74, HR 82, RR 20), GCS:13, MOI(Fall&gt;10 or 3x Child height), fell 10-15 feet, LOC, ETA:30 min</t>
  </si>
  <si>
    <t>L2, 12y/o, Vitals(BP 136/92, HR 114, RR [??]), GCS:15, MOI(Other), Bike v Car ~7mph unhelmeted ran over legs edema ankles and knees no LOC headache, ETA:10 min</t>
  </si>
  <si>
    <t>Â L2, 16y/o, Vitals(BP 144/81, HR 106, RR 18), GCS:15, MOI(Other), Bike vs. 30MPH MVA; LOC, Blunt trauma:Other, Lower extremity wound, ETA:20 min</t>
  </si>
  <si>
    <t>Â L2, 7y/o, Vitals(BP 141/88, HR 103, RR 24), GCS:15, MOI(Fall&gt;10 or 3x Child height), fall out of window left leg and left arm deformity, ETA:5 min</t>
  </si>
  <si>
    <t>L2, 15y/o, Vitals(BP 136/54, HR 118, RR 18), GCS:15, MOI(Fall&gt;10 or 3x Child height), fall &gt;20ft, LOC, abrasions, ETA:18 min</t>
  </si>
  <si>
    <t>L2, 13y/o, Vitals(BP 122/64, HR 93, RR 20), GCS:15, MOI(Other), ATV accident; ?LOC; LLE pain, ETA:15 min</t>
  </si>
  <si>
    <t>L2, 15y/o, Vitals(BP 110/78, HR 80, RR 12), GCS:15, MOI(Other), Dog bite to Left leg; Back; Right arm (Right arm with loss of sensation and ? loss of pulse), ETA:5 min</t>
  </si>
  <si>
    <t>transfer</t>
  </si>
  <si>
    <t>L2, 13 y/o, Vitals(134/76, 100, 18), GCS: Unknown, MOI (Pedestrian struck by car at 25-30 mph), ETA: 5-6 minutes</t>
  </si>
  <si>
    <t>L2, 16 y/o, Vitals(128/70, 100, Normal), GCS: Oriented, MOI (High-speed car crash with severe front-end damage, airbag deployment, no passenger intrusion), ETA: 10 minutes</t>
  </si>
  <si>
    <t>L2, 13 y/o, Vitals(147/59, 82, RR not provided), GCS: Alert and oriented, MOI (Struck by vehicle, flew 20 feet), ETA: 6 minutes</t>
  </si>
  <si>
    <t>L2, 16 y/o, Vitals(105/72, 120-130 HR, RR not provided), GCS: Not provided, MOI (unrestrained passenger in minor to moderate NVA, hit head, no LOC), ETA: 2 minutes</t>
  </si>
  <si>
    <t>L2, 10 y/o, Vitals(130/76, 112, 16), GCS: Alert and oriented, MOI (Unrestrained backseat passenger in car vs. pole MVA, heavy front-end damage), ETA: 5 minutes</t>
  </si>
  <si>
    <t>L2, 8 y/o, Vitals(164/99, 114, N/A), GCS: Alert and oriented, MOI (Car vs pedestrian), ETA: 7 minutes</t>
  </si>
  <si>
    <t>L2, 13 y/o, Vitals(130/77, 100, N/A), GCS: Alert and oriented, MOI (Gunshot wound to right thigh with exit wound to right groin, bleeding controlled with tourniquet), ETA: 2-3 minutes</t>
  </si>
  <si>
    <t>L2, 13 y/o, Vitals(120/74, 108, 18), GCS: , MOI (Car vs bicycle), ETA: 8 minutes</t>
  </si>
  <si>
    <t>L2, 7 y/o, Vitals(148/90, 99, RR not provided), GCS: Not provided, MOI (multiple dog bites), ETA: 5 minutes</t>
  </si>
  <si>
    <t>L2, 11 y/o, Vitals(125/86, 84, 20), GCS: , MOI (GSW to neck - graze), ETA: 5-10 minutes</t>
  </si>
  <si>
    <t>L2, 15 y/o, Vitals(Stable), GCS: Not provided, MOI (GSW to left thigh above the knee), ETA: Not provided</t>
  </si>
  <si>
    <t>L2, 3 y/o, Vitals(160/100, 118, 22), GCS: 15, MOI (fall &gt;10 feet), ETA: 10 minutes</t>
  </si>
  <si>
    <t>L2, 11 y/o, Vitals(BP, HR, RR), GCS: , MOI (arm through glass door), ETA: &lt;10 minutes</t>
  </si>
  <si>
    <t>L2, 12 y/o, Vitals(106/62, 130, 98), GCS: 15, MOI (pedestrian struck, 40 mph), ETA: 6 minutes</t>
  </si>
  <si>
    <t>L2, 15 y/o, Vitals(104/70, 90, 16), GCS: Not provided, MOI (Car vs pedestrian), ETA: 8-10 minutes</t>
  </si>
  <si>
    <t>L2, 1.9 y/o, Vitals(BP, HR, RR), GCS: , MOI (Fall out of a second story window), ETA:</t>
  </si>
  <si>
    <t>L2, 2 y/o, Vitals(113/77, 112, 28), GCS: Alert, MOI (Gunshot wound to foot), ETA: 5-6 minutes</t>
  </si>
  <si>
    <t>L2, 16 y/o, Vitals(stable), GCS: A&amp;O x3, MOI (fall from scooter, brief LOC), ETA: 3-4 min</t>
  </si>
  <si>
    <t>L2, 15 y/o, Vitals(stable), GCS: , MOI (Gunshot wound to the right thigh), ETA: 5 minutes</t>
  </si>
  <si>
    <t>L2, 2 y/o, Vitals(BP, HR, RR), GCS: , MOI (MVA, highway speeds, car seat not strapped in), ETA: 10-15 minutes</t>
  </si>
  <si>
    <t>L2, 3 y/o, Vitals(N/A, N/A, N/A), GCS: N/A, MOI (Motor vehicle accident, side swipe, 60 mph, restrained, minor injuries), ETA: 5 minutes</t>
  </si>
  <si>
    <t>L2, 12 y/o, Vitals(BP 160/?, HR 86, RR not provided), GCS: ANO x 4, MOI (Fall &gt;10 feet, bicycle accident), ETA: 10 minutes</t>
  </si>
  <si>
    <t>L2, 10 y/o, Vitals(BP cycling, HR 120, RR not provided), GCS: not provided, MOI (unrestrained passenger in car crash at 40-45 mph), ETA: 7 minutes</t>
  </si>
  <si>
    <t>L2, 17 y/o, Vitals(128/64, 87, 18), GCS: Not provided, MOI (Airbag deployment, front passenger seat), ETA: 8 minutes</t>
  </si>
  <si>
    <t>L1, 7 y/o, Vitals(BP 103/92, HR 145, RR 24), GCS: , MOI (Gunshot wound to the head), ETA: 5 minutes</t>
  </si>
  <si>
    <t>L2, 13 y/o, Vitals(N/A), GCS: 15, MOI (ATV rollover, unrestrained, landed on head), ETA: N/A</t>
  </si>
  <si>
    <t>L2, 68 y/o, Vitals(stable), GCS: alert and oriented, MOI (wheelchair hit by car), ETA: 8 minutes</t>
  </si>
  <si>
    <t>L2, 8 y/o, Vitals(121/82, 125, N/A), GCS: N/A, MOI (unseat belted rear passenger in head-on collision with airbag deployment), ETA: 15 minutes</t>
  </si>
  <si>
    <t>L1, 6 y/o, Vitals(BP: Unknown, HR: Bradycardic, RR: Apneic initially), GCS: Unknown, MOI (Unknown, found post-vomiting with hematoma), ETA: 5-7 minutes</t>
  </si>
  <si>
    <t>L2, 17 y/o, Vitals(151/93, 117, RR not provided), GCS: not provided, MOI (gunshot wound to left calf), ETA: 6 minutes</t>
  </si>
  <si>
    <t>L2, 13 y/o, Vitals(N/A, N/A, N/A), GCS: A-04, MOI (Fall from three stories), ETA: 5 minutes</t>
  </si>
  <si>
    <t>L2, 17 y/o, Vitals(BP: N/A, HR: N/A, RR: N/A), GCS: N/A, MOI (low speed rollover, restrained, no loss of consciousness), ETA: N/A</t>
  </si>
  <si>
    <t>L1, 5 y/o, Vitals(BP: 86/40, HR: 114, RR: not provided), GCS: 13, MOI (motor vehicle accident with multiple ejections, unrestrained, obvious head injuries), ETA: 10 minutes</t>
  </si>
  <si>
    <t>L2, 13 y/o, Vitals(148/94, 110, 20), GCS: A and O4, MOI (fall from second story window), ETA: 15 minutes</t>
  </si>
  <si>
    <t>L2, 0.58 y/o, Vitals(BP: N/A, HR: 130, RR: N/A), GCS: Arousable by minor irritation, MOI (Fall from 4 feet onto tile floor), ETA: 10 minutes</t>
  </si>
  <si>
    <t>L2, 2 y/o, Vitals(99/56, 119, 32), GCS: 15, MOI (Car vs pedestrian, ~25 mph), ETA: 15-20 minutes</t>
  </si>
  <si>
    <t>L2, 10 y/o, Vitals(140/80, 92, 22), GCS: 15, MOI (Car vs pedestrian, 30-35 mph), ETA: 5 minutes</t>
  </si>
  <si>
    <t>L2, 14 y/o, Vitals(126/82, 85, N/A), GCS: N/A, MOI (GSW to right thigh), ETA: N/A</t>
  </si>
  <si>
    <t>L1, 12 y/o, Vitals(BP: N/A, HR: N/A, RR: N/A), GCS: N/A, MOI (Gunshot wound to neck), ETA: 6-7 minutes</t>
  </si>
  <si>
    <t>L2, 15 y/o, Vitals(132/74, 100, RR not provided), GCS: Alert and oriented, MOI (dirt bike accident, possible LOC, no helmet), ETA: 5-6 minutes</t>
  </si>
  <si>
    <t>L2, 18 y/o, Vitals(120/72, 120, RR not provided), GCS: 15, MOI (rollover accident), ETA: 6</t>
  </si>
  <si>
    <t>L2, 15 y/o, Vitals(BP 150, HR 103, RR 15), GCS: ANO times 3, MOI (motorbike crash into pole at 25-30 mph), ETA: 10 minutes</t>
  </si>
  <si>
    <t>L2, 11 y/o, Vitals(105/57, 103, RR not provided), GCS: ANO times 3, MOI (Motor vehicle accident, rear middle seat, seat belt marks, vehicle hit a tree), ETA: 25-30 minutes</t>
  </si>
  <si>
    <t>L2, 11 y/o, Vitals(132/82, 136, 22), GCS: 15, MOI (MVC, unrestrained, hit face on dashboard), ETA: 8 minutes</t>
  </si>
  <si>
    <t>L2, 1 y/o, Vitals(BP: N/A, HR: 120, RR: 24), GCS: Lethargic, MOI (Fall ~1.5 feet, vomiting, lethargy), ETA: 5 minutes</t>
  </si>
  <si>
    <t>L2, 17 y/o, Vitals(148/88, 90, 14), GCS: 15, MOI (T-bone collision with rollover), ETA: 5-6 minutes</t>
  </si>
  <si>
    <t>L2, 13 y/o, Vitals(126/90, 100, 18), GCS: 15, MOI (hit by car at low speed, ambulatory, no LOC), ETA: 5-7 min</t>
  </si>
  <si>
    <t>L2, 6 y/o, Vitals(108/70, 110, N/A), GCS: ANO4, MOI (struck by SUV at 30 mph, brief LOC), ETA: 5 minutes</t>
  </si>
  <si>
    <t>L2, 10 y/o, Vitals(110/70, 90, 99% on room air), GCS: Alert-oriented, MOI (BB gunshot to head), ETA: 5 minutes</t>
  </si>
  <si>
    <t>L2, 10 y/o, Vitals(112/61, 118, N/A), GCS: N/A, MOI (Gunshot wound to right forearm), ETA: 12 minutes</t>
  </si>
  <si>
    <t>L2, 17 y/o, Vitals(BP: Not provided, HR: Not provided, RR: Not provided), GCS: Not provided, MOI (beanbag rounds and flashbangs), ETA: 5 minutes</t>
  </si>
  <si>
    <t>L2, 17 y/o, Vitals(130/80, 90s HR, RR not provided), GCS: Not provided, MOI (GSW to lower left leg), ETA: 4 minutes</t>
  </si>
  <si>
    <t>L2, 13 y/o, Vitals(136/79, 96, RR not provided), GCS: Not provided, MOI (MVA, unrestrained, ~35 mph), ETA: 7 minutes</t>
  </si>
  <si>
    <t>L2, 14 y/o, Vitals(116/64, 70, N/A), GCS: N/A, MOI (GSW to left lower leg), ETA: 8 minutes</t>
  </si>
  <si>
    <t>L2, 17 y/o, Vitals(BP: stable, HR: stable, RR: stable), GCS: stable, MOI (GSW to left forearm), ETA: 5-6 minutes</t>
  </si>
  <si>
    <t>L1, 0.25 y/o, Vitals(BP: N/A, HR: 40s, RR: Bagging), GCS: Alert to painful stimuli, MOI (Pedestrian struck while in car seat), ETA: 5-6 minutes</t>
  </si>
  <si>
    <t>L2, 15 y/o, Vitals(136/84, 92, 22), GCS: Not provided, MOI (Car vs pedestrian, ~30 mph), ETA: 8-10 minutes</t>
  </si>
  <si>
    <t>L2, 10 y/o, Vitals(143/87, 117, 20), GCS: Awake, MOI (GSW to left leg), ETA:</t>
  </si>
  <si>
    <t>L2, 11 y/o, Vitals(stable), GCS: not provided, MOI (MBA at 40 MPH, front seat, seatbelt), ETA: 5 minutes</t>
  </si>
  <si>
    <t>L2, 15 y/o, Vitals(BP stable, HR stable, RR stable), GCS: Not provided, MOI (Person fell on head at concert), ETA: 6 minutes</t>
  </si>
  <si>
    <t>L2, 17 y/o, Vitals(140/90, 122, 18), GCS: , MOI (Gunshot wound to right forearm), ETA: 10 minutes</t>
  </si>
  <si>
    <t>L2, 8 m/o, Vitals(BP, HR, RR), GCS: , MOI (MBA, restrained in booster seat, no complaints or obvious injuries), ETA: 8 minutes</t>
  </si>
  <si>
    <t>L2, 2 y/o, Vitals(N/A, N/A, N/A), GCS: N/A, MOI (MBA with airbag deployment, restrained, forehead laceration), ETA: N/A</t>
  </si>
  <si>
    <t>L2, 6 y/o, Vitals(BP: unknown, HR: unknown, RR: unknown), GCS: unknown, MOI (car accident, backseat restrained, neck pain), ETA: 5-7 minutes</t>
  </si>
  <si>
    <t>L1, 13 y/o, Vitals(BP: N/A, HR: N/A, RR: N/A), GCS: N/A, MOI (self-inflicted gunshot wound to the head, trauma arrest), ETA: 6 minutes</t>
  </si>
  <si>
    <t>L2, 15 y/o, Vitals(140/85, 86, RR not provided), GCS: 15, MOI (Car vs pedestrian, ~35 mph), ETA: 5 minutes</t>
  </si>
  <si>
    <t>L2, 13 y/o, Vitals(126/64, 98, 20), GCS: 15, MOI (Car vs bicycle, possible LOC), ETA: 5-10 minutes</t>
  </si>
  <si>
    <t>L2, 16 y/o, Vitals(stable), GCS: stable, MOI (MBA, vehicle flipped on side), ETA: 5 minutes</t>
  </si>
  <si>
    <t>L2, 17 y/o, Vitals(90/60, 70, RR not provided), GCS: not provided, MOI (gunshot wound to left foot), ETA: 10 minutes</t>
  </si>
  <si>
    <t>L2, 9 y/o, Vitals(128/84, 128, 22), GCS: Not applicable (nonverbal due to autism), MOI (MBA, moderate front end damage, airbag deployment, approx. 40 mph), ETA: 5 minutes</t>
  </si>
  <si>
    <t>L2, 15 y/o, Vitals(138/80, 60, 98%), GCS: 15, MOI (Car vs pedestrian at 35 mph), ETA: 5 minutes</t>
  </si>
  <si>
    <t>L2, 11 y/o, Vitals(122/76, 110, normal), GCS: 15, MOI (pedestrian struck at 20 mph, thrown 10 feet), ETA: 5 minutes</t>
  </si>
  <si>
    <t>L2, 4 y/o, Vitals(121/84, 130, N/A), GCS: N/A, MOI (Rollover MVA), ETA: 5 minutes</t>
  </si>
  <si>
    <t>L2, 3 y/o, Vitals(130/87, 110, 99% on room air), GCS: Alert, MOI (Fall from two-story building), ETA: 7-8 minutes</t>
  </si>
  <si>
    <t>L2, 9 y/o, Vitals(108/72, 86, N/A), GCS: N/A, MOI (Car vs pedestrian), ETA: 5 minutes</t>
  </si>
  <si>
    <t>L2, 16 y/o, Vitals(116/54, 98, RR not provided), GCS: Not provided, MOI (Motor Vehicle Accident), ETA: 3 minutes</t>
  </si>
  <si>
    <t>L2, 13 y/o, Vitals(135/81, 109, 18), GCS: A and O times four, MOI (assault by multiple assailants), ETA: 10 minutes</t>
  </si>
  <si>
    <t>L2, 14 y/o, Vitals(107/69, 100, 96), GCS: Alert and oriented, MOI (arm through glass pane with laceration), ETA: &lt;10 minutes</t>
  </si>
  <si>
    <t>L2, 10 y/o, Vitals(BP stable, HR stable, RR stable), GCS: 15, MOI (moderate vehicle accident, restrained, airbags deployed), ETA: 10 minutes</t>
  </si>
  <si>
    <t>L2, 9 y/o, Vitals(122/94, 116, 97%), GCS: 15, MOI (pedestrian struck by vehicle at 30-35 mph), ETA: 5-7 minutes</t>
  </si>
  <si>
    <t>L2, 15 y/o, Vitals(122/78, 98, 18), GCS: 15, MOI (bicycle struck by truck), ETA: 6 minutes</t>
  </si>
  <si>
    <t>L2, 11 y/o, Vitals(BP: Not provided, HR: Not provided, RR: Not provided), GCS: Alert and oriented, MOI (Hit by car 20-30 mph, car vs bicycle), ETA: 15-20 minutes</t>
  </si>
  <si>
    <t>L1, 9 y/o, Vitals(BP: 130-140/60, HR: 78, RR: 20-30), GCS: 4-5, MOI (Fall ~30 feet onto concrete), ETA: 7-10 minutes</t>
  </si>
  <si>
    <t>L2, 4 y/o, Vitals(BP: not provided, HR: 129, RR: not provided), GCS: not provided, MOI (lateral side impact, moderate to heavy damage), ETA: 5-10 minutes</t>
  </si>
  <si>
    <t>L2, 3 y/o, Vitals(BP: N/A, HR: 125, RR: N/A), GCS: Inappropriate, MOI (Car vs pedestrian, ~30 mph), ETA: 5 minutes</t>
  </si>
  <si>
    <t>L2, 15 y/o, Vitals(stable), GCS: oriented, MOI (MVA, restrained passenger, airbag deployment), ETA:</t>
  </si>
  <si>
    <t>L2, 13 y/o, Vitals(136/82, 92, 18), GCS: , MOI (NBA, car into tree at ~25 mph), ETA: 5 minutes</t>
  </si>
  <si>
    <t>L2, 15 y/o, Vitals(137/75, 79, RR not provided), GCS: A&amp;O x4, MOI (significant motor vehicle accident, crashed into pole, no seatbelt), ETA: 10 minutes</t>
  </si>
  <si>
    <t>L2, 4 y/o, Vitals(131/69, 92, 22), GCS: , MOI (Fall &gt;10 feet), ETA: 7 minutes</t>
  </si>
  <si>
    <t>L2, 9 y/o, Vitals(BP: stable, HR: not provided, RR: not provided), GCS: A&amp;L type 4, MOI (GSW to left upper thigh and hip), ETA: 5 minutes</t>
  </si>
  <si>
    <t>L2, 13 y/o, Vitals(BP, HR, RR), GCS: , MOI (multiple GSWs to lower extremities), ETA: 5-6 minutes</t>
  </si>
  <si>
    <t>L2, 5 y/o, Vitals(105/64, 100, N/A), GCS: Normal, MOI (Car vs bicycle), ETA: 15 minutes</t>
  </si>
  <si>
    <t>L2, 10 y/o, Vitals(128/80, 100, RR not provided), GCS: Not provided, MOI (Penetrating injury to right chest with crocheting needle), ETA: 10 minutes</t>
  </si>
  <si>
    <t>L1, 12 y/o, Vitals(150/100, 120, 18), GCS: , MOI (GSW to chest and back), ETA: 5 minutes</t>
  </si>
  <si>
    <t>L2, 15 y/o, Vitals(126/83, 103, 16), GCS: 15, MOI (MVA with vehicle flip, unrestrained), ETA: 8 minutes</t>
  </si>
  <si>
    <t>L2, 13 y/o, Vitals(140/71, 91, RR not provided), GCS: Not provided, MOI (Car vs bicycle), ETA: 5-6 minutes</t>
  </si>
  <si>
    <t>L2, 4 y/o, Vitals(BP: unable to obtain, HR: 120, RR: not provided), GCS: Alert and oriented, MOI (fall from 12 feet), ETA: 8 minutes</t>
  </si>
  <si>
    <t>L2, 10 y/o, Vitals(BP, HR, RR), GCS: , MOI (car accident, severe front end damage, airbags deployed, unrestrained), ETA: 11 minutes  L2, 8 y/o, Vitals(BP, HR, RR), GCS: , MOI (car accident, severe front end damage, airbags deployed, unrestrained), ETA: 11 minutes  L2, 5 y/o, Vitals(BP, HR, RR), GCS: , MOI (car accident, severe front end damage, airbags deployed, unrestrained), ETA: 11 minutes</t>
  </si>
  <si>
    <t>L2, 8 y/o, Vitals(130/69, 85, N/A), GCS: N/A, MOI (three-car MVA, side swipe at ~45 mph), ETA: 30 minutes</t>
  </si>
  <si>
    <t>L2, 4 y/o, Vitals(135/87, 130, RR not provided), GCS: Alert and oriented, MOI (Fall from 10 feet onto rocks and dirt), ETA: 8 minutes</t>
  </si>
  <si>
    <t>L2, 11 y/o, Vitals(BP: N/A, HR: ~100, RR: N/A), GCS: Alert, MOI (pedestrian struck by vehicle at 10-15 mph), ETA: 7-8 minutes</t>
  </si>
  <si>
    <t>L2, 13 y/o, Vitals(115/72, 98, RR not provided), GCS: Not explicitly stated but implied normal, MOI (MVA with high mechanism intrusion), ETA: 6 minutes</t>
  </si>
  <si>
    <t>L2, 3 y/o, Vitals(100/70, 130, -), GCS: Responsive to pain, MOI (Unrestrained front seat passenger, high-speed highway crash), ETA: 10 minutes</t>
  </si>
  <si>
    <t>L2, 1 y/o, Vitals(BP: N/A, HR: 180, RR: 34), GCS: N/A, MOI (thrown to back seat in NVA), ETA: 5-10 minutes</t>
  </si>
  <si>
    <t>L2, 3 y/o, Vitals(BP: N/A, HR: 106, RR: N/A), GCS: Alert, MOI (restrained in back seat, minor abrasion), ETA: 5 minutes</t>
  </si>
  <si>
    <t>L2, 15 y/o, Vitals(132/80, 132, RR not provided), GCS: Not provided, MOI (restrained passenger in rollover), ETA: 5 minutes</t>
  </si>
  <si>
    <t>L2, 15 y/o, Vitals(125/77, 80, RR not specified), GCS: not specified, MOI (Unrestrained rollover, moderate to heavy damage), ETA: 6-7 minutes</t>
  </si>
  <si>
    <t>L2, 5 y/o, Vitals(97/66, 88, 98%), GCS: 15, MOI (car vs pole, unrestrained, airbag deployment), ETA: 7-8 min</t>
  </si>
  <si>
    <t>L2, 15 y/o, Vitals(BP: 134/96, HR: 99, RR: not provided), GCS: not provided, MOI (Car vs pedestrian), ETA: 20 minutes</t>
  </si>
  <si>
    <t>L2, 15 y/o, Vitals(153/97, 104, -), GCS: 15, MOI (jumped out of moving car at 35 mph), ETA: 20-30 minutes</t>
  </si>
  <si>
    <t>L2, 9 y/o, Vitals(113/60, 113, 18), GCS: 15, MOI (Car vs bicycle, 25 mph), ETA: 7-10 minutes</t>
  </si>
  <si>
    <t>L2, 14 y/o, Vitals(136/86, 62, RR not provided), GCS: A&amp;O, MOI (pedestrian struck, hit-skip), ETA: 10 minutes</t>
  </si>
  <si>
    <t>L2, 13 y/o, Vitals(140/70, 93, 16), GCS: 15, MOI (pushed out of car at 5 mph), ETA: 20</t>
  </si>
  <si>
    <t>L2, 12 y/o, Vitals(112/76, 110, 24), GCS: Not provided, MOI (High-speed MVC with airbag deployment and facial injuries), ETA: 7 minutes</t>
  </si>
  <si>
    <t>L2, 5 y/o, Vitals(121/64, 140, 20), GCS: 15, MOI (Car vs pedestrian, thrown 10-15 feet), ETA: 5-6 minutes</t>
  </si>
  <si>
    <t>L2, 2 y/o, Vitals(BP unobtainable, HR 165, RR not provided), GCS: Alert and oriented, MOI (Fall from 15-20 feet), ETA: 5-7 minutes</t>
  </si>
  <si>
    <t>L2, 6 y/o, Vitals(stable), GCS: alert and oriented times four, MOI (car vs bicycle), ETA: 3 minutes</t>
  </si>
  <si>
    <t>L2, 15 y/o, Vitals(110/65, 80, N/A), GCS: N/A, MOI (Car vs pedestrian), ETA: 7 minutes</t>
  </si>
  <si>
    <t>L2, 3 y/o, Vitals(90/60, 124, N/A), GCS: N/A, MOI (Single car rollover with airbag deployment), ETA: N/A</t>
  </si>
  <si>
    <t>L2, 14 y/o, Vitals(128/82, 103, 12), GCS: 15, MOI (Car vs pedestrian), ETA: 5 minutes</t>
  </si>
  <si>
    <t>L2, 15 y/o, Vitals(120/70, 116, 20), GCS: 15, MOI (unrestrained driver in police chase, two-car MBA), ETA: 5 minutes</t>
  </si>
  <si>
    <t>L2, 8 y/o, Vitals(121/73, 80, N/A), GCS: N/A, MOI (struck by vehicle while on four-wheeler, approx. 15 mph), ETA: 10 minutes</t>
  </si>
  <si>
    <t>L1, 11 y/o, Vitals(100/60, 144, N/A), GCS: Alert and oriented, MOI (Pedestrian struck, open skull fracture), ETA: 7-10 minutes</t>
  </si>
  <si>
    <t>L2, 14 y/o, Vitals(stable), GCS: 14-15, MOI (car to pole, major damage, extrication), ETA: 5 minutes</t>
  </si>
  <si>
    <t>L2, 14 y/o, Vitals(160/110, 109, 29), GCS: Not specified, MOI (Car vs bicycle, went over hood), ETA: 20-30 minutes</t>
  </si>
  <si>
    <t>L2, 12 y/o, Vitals(143/83, 115, N/A), GCS: Repeating himself, MOI (Bicycle crash at 35 mph, no helmet), ETA: 8-10 minutes</t>
  </si>
  <si>
    <t>L2, 15 y/o, Vitals(134/82, 104, 18), GCS: Not provided, MOI (GSW to upper arm), ETA: 5 minutes</t>
  </si>
  <si>
    <t>L2, 6 y/o, Vitals(113/77, 124, RR not provided), GCS: Acting appropriately, MOI (struck by vehicle at 25 mph), ETA: 7 minutes</t>
  </si>
  <si>
    <t>L2, 7 y/o, Vitals(124/P, 118, 22), GCS: A&amp;O x4, MOI (Car vs pedestrian, 30-35 mph), ETA: 10</t>
  </si>
  <si>
    <t>L2, 13 y/o, Vitals(165/98, 104, RR not provided), GCS: Alert and oriented, MOI (Car vs pedestrian, low speed), ETA: 10 minutes</t>
  </si>
  <si>
    <t>L2, 8 y/o, Vitals(116/76, 106, 100% RA), GCS: A&amp;O x3, MOI (pedestrian struck at 10-15 mph), ETA: 5 min</t>
  </si>
  <si>
    <t>L2, 13 y/o, Vitals(119/85, 94, 24), GCS: 15, MOI (ATV crash into pole), ETA: 10 minutes</t>
  </si>
  <si>
    <t>L2, 1.9 y/o, Vitals(BP, HR, RR), GCS: , MOI (hand injury), ETA:</t>
  </si>
  <si>
    <t>L2, 14 y/o, Vitals(140/80, 110, N/A), GCS: N/A, MOI (hit by car, unknown speed), ETA: 8-10 minutes</t>
  </si>
  <si>
    <t>L2, 16 y/o, Vitals(99/64, 84, 18), GCS: 15, MOI (head-on collision with extrication), ETA: 10-15 minutes</t>
  </si>
  <si>
    <t>L2, 12 y/o, Vitals(139/82, 108, 18), GCS: 15, MOI (possible pedestrian struck by car), ETA: 20 minutes</t>
  </si>
  <si>
    <t>L2, 17 y/o, Vitals(132/82, 120, RR not provided), GCS: 15, MOI (unbelted passenger in T-bone MVC with airbag deployment, positive LOC, head hematoma), ETA: 25-30 minutes</t>
  </si>
  <si>
    <t>L1, 4 y/o, Vitals(BP: 100/70, HR: 130, RR: 20), GCS: 4-5, MOI (fall into Niagara Gorge, possible skull fracture), ETA: 15-20 minutes</t>
  </si>
  <si>
    <t>L2, 4 y/o, Vitals(156/97, 126, RR not provided), GCS: not provided, MOI (motor vehicle crash, no car seat, femur fracture), ETA: 8-10 minutes</t>
  </si>
  <si>
    <t>L2, 7 y/o, Vitals(93/54, 106, RR not provided), GCS: 15, MOI (fall from second-story window), ETA: 5 minutes</t>
  </si>
  <si>
    <t>L2, 14 y/o, Vitals(115/66, 118, 18), GCS: 15, MOI (Car vs pedestrian, 30-35 mph), ETA: 15 minutes</t>
  </si>
  <si>
    <t>L2, 5 y/o, Vitals(96/63, 110, 18), GCS: 15, MOI (Motor Vehicle Accident with loss of consciousness), ETA: 10 minutes</t>
  </si>
  <si>
    <t>L2, 15 y/o, Vitals(143/78, 80, RR not provided), GCS: 15, MOI (ATV rollover with open fibula fracture), ETA: 20-25 min</t>
  </si>
  <si>
    <t>L2, 15 y/o, Vitals(134/91, 109, 20-22), GCS: 15, MOI (MVA at 65 mph, car fire), ETA: 10-12 min</t>
  </si>
  <si>
    <t>L2, 8 y/o, Vitals(170/100, 115, 97), GCS: Alert but confused, MOI (Car vs pedestrian), ETA: 6 minutes</t>
  </si>
  <si>
    <t>L2, 11 y/o, Vitals(110/64, 116, RR not provided), GCS: 15, MOI (car vs bicycle at 30-35 mph), ETA: 5 minutes</t>
  </si>
  <si>
    <t>L2, 13 y/o, Vitals(122/81, 76, 95), GCS: Normal, MOI (BMX bike accident with ruptured adrenal gland), ETA: 10 minutes</t>
  </si>
  <si>
    <t>L1, 10 y/o, Vitals(BP: 129/66, HR: 172, RR: 4 agonal), GCS: 3, MOI (bicycle vs car, pinned under car), ETA: 10-15 minutes</t>
  </si>
  <si>
    <t>L2, 12 y/o, Vitals(123/71, 100, RR not provided), GCS: 15, MOI (ATV accident, no helmet, ejected), ETA: 5-10 minutes</t>
  </si>
  <si>
    <t>L2, 8 y/o, Vitals(124/82, 124, 98%), GCS: 15, MOI (MVC into tree at 55 mph, airbag deployment), ETA: 15-20 minutes</t>
  </si>
  <si>
    <t>L2, 14 y/o, Vitals(137/90, 106, 20), GCS: 15, MOI (severe animal bite), ETA: 20 minutes</t>
  </si>
  <si>
    <t>L2, 5 y/o, Vitals(101/63, 94, RR not provided), GCS: Not provided, MOI (Fall from 10 feet), ETA: 10 minutes</t>
  </si>
  <si>
    <t>L2, 16 y/o, Vitals(116/75, 78, normal), GCS: 15, MOI (ATV crash at high speed, ejected 15-20 feet), ETA: 25 minutes</t>
  </si>
  <si>
    <t>L2, 13 y/o, Vitals(135/80, 90, -), GCS: 15, MOI (go-kart hit by pickup truck), ETA: 20 minutes</t>
  </si>
  <si>
    <t>L2, 13 y/o, Vitals(124/81, HR not provided, RR not provided), GCS: not provided, MOI (handlebar to groin), ETA: 20 minutes</t>
  </si>
  <si>
    <t>L2, 17 y/o, Vitals(110/67, 63, 18), GCS: 15, MOI (car flipped over, 30 mph), ETA: 10 minutes</t>
  </si>
  <si>
    <t>L2, 16 y/o, Vitals(141/96, 101, 16), GCS: 15, MOI (ATV accident, unknown speed, no helmet), ETA: 20 minutes</t>
  </si>
  <si>
    <t>L2, 12 y/o, Vitals(136/83, 119, 24), GCS: 14, MOI (struck by vehicle at 30-35 mph), ETA: 8 minutes</t>
  </si>
  <si>
    <t>L1, 14 y/o, Vitals(123/85, 118, -), GCS: 6, MOI (struck by vehicle at 40-50 mph), ETA: 7-10 minutes</t>
  </si>
  <si>
    <t>L1, 08 y/o, Vitals(BP: 86/53, HR: 95, RR: Ventilated at 94%), GCS: Altered mental status, MOI (Unrestrained backseat passenger in motor vehicle accident, copious abdominal bleeding), ETA: 15 minutes</t>
  </si>
  <si>
    <t>L2, [age not provided] y/o, Vitals(132/72, 104, RR not provided), GCS: [not provided], MOI (back pain, gagging episodes), ETA: 9 minutes</t>
  </si>
  <si>
    <t>L2, [age not specified] y/o, Vitals(115/80, 124, RR not specified), GCS: 15, MOI (motor vehicle collision with seatbelt use, belly pain), ETA: 10 minutes</t>
  </si>
  <si>
    <t>L2, 16 y/o, Vitals(BP: 142/93, HR: 130, RR: 20), GCS: 14, MOI (MBC with rollover and box truck), ETA: 10</t>
  </si>
  <si>
    <t>L2, 8 y/o, Vitals(126/64, 86, RR not provided), GCS: 15, MOI (Car vs pedestrian, 30 mph, went under vehicle), ETA: 10-15 minutes</t>
  </si>
  <si>
    <t>L1, [age not specified] y/o, Vitals(118/67, 64, respiratory arrest), GCS: not specified, MOI (MVA, head injury, bleeding from ear), ETA: 15 minutes</t>
  </si>
  <si>
    <t>L1, 15 y/o, Vitals(60/43, 88, -), GCS: Awake alert, MOI (fell 7-8 feet, head impact, abdominal guarding), ETA: 5 minutes</t>
  </si>
  <si>
    <t>L2, 14 y/o, Vitals(114/70, 120, 18), GCS: Alert and oriented x3, MOI (low-speed vehicle vs pedestrian), ETA: 7 minutes</t>
  </si>
  <si>
    <t>L2, 13 y/o, Vitals(112/62, 84, 14), GCS: 15, MOI (ATV crash, fall into 10-foot creek), ETA: 30 minutes</t>
  </si>
  <si>
    <t>L2, 14 y/o, Vitals(127/68, 90, 30), GCS: 14, MOI (fell off a bike, lost consciousness), ETA: 15 minutes</t>
  </si>
  <si>
    <t>L2, 0 y/o, Vitals(133/89, 112, 99%), GCS: Alert and oriented, MOI (Motor vehicle accident, unknown speed, airbags deployed, possible ejection), ETA: 10 minutes</t>
  </si>
  <si>
    <t>L1, 12 y/o, Vitals(BP 155, HR 65, RR assisting ventilation), GCS: 9, MOI (struck by vehicle), ETA: unknown</t>
  </si>
  <si>
    <t>L2, 8 y/o, Vitals(111/73, 94, RR not provided), GCS: 15, MOI (Fall &gt;10 feet), ETA: 10-15 minutes</t>
  </si>
  <si>
    <t>L2, 14 y/o, Vitals(107/71, 64, RR not provided), GCS: 14, MOI (struck by vehicle while on bicycle, positive LOC, minor bleeding, road rash), ETA: 9 minutes</t>
  </si>
  <si>
    <t>L2, 16 y/o, Vitals(83/55, 84, RR not provided), GCS: 15, MOI (head-on accident at 45-50 mph), ETA: 15-20 minutes</t>
  </si>
  <si>
    <t>L2, 13 y/o, Vitals(BP: Good, HR: Not provided, RR: Not provided), GCS: Not provided, MOI (Single puncture wound from a knife to the left chest), ETA: 3-4 minutes</t>
  </si>
  <si>
    <t>L1, 17 y/o, Vitals(BP 90/60, HR 180, RR 24), GCS: 7, MOI (run over by garbage truck), ETA: 4-5 minutes</t>
  </si>
  <si>
    <t>L2, 16 y/o, Vitals(158/90, 76, 98), GCS: Not provided, MOI (MBA with multiple cars, backseat passenger), ETA: 10 minutes</t>
  </si>
  <si>
    <t>L2, Zach Cooper, Vitals(stable), GCS: , MOI (Headbleed from Brooks), ETA: 10 minutes</t>
  </si>
  <si>
    <t>L2, 17 y/o, Vitals(140/82, 115, N/A), GCS: 15, MOI (stab wound to left anterior thigh), ETA: 7 minutes</t>
  </si>
  <si>
    <t>L2, 15 y/o, Vitals(128/76, 98, 18), GCS: 14, MOI (Car vs bicycle, 30-35 mph), ETA: 12 minutes</t>
  </si>
  <si>
    <t>L2, 15 y/o, Vitals(BP: Good, HR: Tachycardic, RR: Good), GCS: Not provided, MOI (Fight with laceration), ETA: Not provided</t>
  </si>
  <si>
    <t>L2, 14 y/o, Vitals(102/62, 115, 16), GCS: Conscious alert oriented, MOI (Ski jump crash with suspected pelvic fracture), ETA: 10 minutes</t>
  </si>
  <si>
    <t>L2, 17 y/o, Vitals(121/68, 76, -), GCS: -, MOI (VSW to right knee), ETA: 6 minutes</t>
  </si>
  <si>
    <t>L1, 3 y/o, Vitals(BP: 121/70, HR: 100%, RR: Intubated), GCS: Intubated, MOI (Post-traumatic arrest, extricated from vehicle), ETA: 10 minutes</t>
  </si>
  <si>
    <t>L2, 0 y/o, Vitals(66/44, 167, 46), GCS: Acting right, MOI (Not specified), ETA: Not specified</t>
  </si>
  <si>
    <t>L2, 1 y/o, Vitals(BP: N/A, HR: 160, RR: N/A), GCS: 15, MOI (Rollover MVA, belted in car seat), ETA: 3 minutes</t>
  </si>
  <si>
    <t>L2, 10 y/o, Vitals(114/75, 116, N/A), GCS: Awake and oriented, MOI (head injury with suspected loss of consciousness, large hematoma, broken collarbone), ETA: 7 minutes.</t>
  </si>
  <si>
    <t>L2, 1.5 y/o, Vitals(98/56, 110, -), GCS: 15, MOI (Amish buggy rollover, unrestrained, mother landed on her), ETA: 15 minutes</t>
  </si>
  <si>
    <t>L2, 6 y/o, Vitals(96/57, 92, normal), GCS: 15, MOI (ATV rollover, helmeted), ETA: 40 minutes</t>
  </si>
  <si>
    <t>L2, 9 y/o, Vitals(134/92, 132, RR not provided), GCS: Alert and oriented x3, MOI (hit by car at 30 mph, car ran over legs), ETA: 15-20 minutes</t>
  </si>
  <si>
    <t>L2, 16 y/o, Vitals(136/83, 70, N/A), GCS: 15, MOI (ATV accident with ankle injuries), ETA: 30 minutes</t>
  </si>
  <si>
    <t>L2, 4 y/o, Vitals(130/74, 117, 35), GCS: Not explicitly stated, MOI (Fall 5-6 feet onto concrete), ETA: 8 minutes</t>
  </si>
  <si>
    <t>L2, 2 y/o, Vitals(108/64, 124, RR not provided), GCS: Acting inappropriate for age, MOI (MVA with airbags deployed, 50-60 mph), ETA: 35-40 minutes</t>
  </si>
  <si>
    <t>L2, 9 y/o, Vitals(108/60, 130, 47), GCS: 15, MOI (Car vs pedestrian, 45-50 mph), ETA: 15 minutes</t>
  </si>
  <si>
    <t>L2, 11 y/o, Vitals(112/66, 108, 100% RA), GCS: 15, MOI (MVC, restrained, airbags deployed, 45 mph), ETA: 10 minutes</t>
  </si>
  <si>
    <t>L2, 4 y/o, Vitals(BP: N/A, HR: N/A, RR: 22), GCS: N/A, MOI (MVC with front-end damage, T-bone at 30-35 mph, seatbelted, no car seat), ETA: N/A</t>
  </si>
  <si>
    <t>L2, 10 y/o, Vitals(148/110, 100, 25), GCS: 15, MOI (MVC with airbag deployment, passenger side, hit a tree), ETA: 10 minutes</t>
  </si>
  <si>
    <t>L2, 0.33 y/o, Vitals(BP: normal, HR: 140s, RR: normal), GCS: Vigorous and moving all extremities, MOI (unwitnessed dog attack with superficial lacerations and ecchymosis), ETA: 1 hour 20 minutes</t>
  </si>
  <si>
    <t>L2, 4 y/o, Vitals(118/77, 131, 18), GCS: 15, MOI (Fall &gt;10 feet), ETA: 40 minutes</t>
  </si>
  <si>
    <t>L2, 15 y/o, Vitals(130/65, 118, RR not provided), GCS: 15, MOI (snowmobile crash &gt;20 mph), ETA: 30 minutes</t>
  </si>
  <si>
    <t>L2, 11 y/o, Vitals(105/63, 75, RR not provided), GCS: 15, MOI (sledding accident with grade 3 splenic laceration), ETA: 15 minutes</t>
  </si>
  <si>
    <t>L2, 9 y/o, Vitals(122/62, 103, 18), GCS: 15, MOI (four-wheeler accident with femur fracture), ETA: 10 minutes</t>
  </si>
  <si>
    <t>L2, 15 y/o, Vitals(139/77, 89, 24), GCS: 15, MOI (ATV rollover), ETA: 15 minutes</t>
  </si>
  <si>
    <t>L1, 8 y/o, Vitals(BP: 120/59, HR: 71, RR: 14), GCS: 4, MOI (struck by car at 30 mph), ETA: 16 minutes</t>
  </si>
  <si>
    <t>L1, 11 y/o, Vitals(BP: 76/45, HR: 128, RR: 18), GCS: , MOI (hit and run over by a truck, traumatic arrest, ROSC), ETA: 10 minutes</t>
  </si>
  <si>
    <t>L2, 11 y/o, Vitals(115/71, 77, N/A), GCS: 15, MOI (APB accident), ETA: 15 minutes</t>
  </si>
  <si>
    <t>L2, 1 y/o, Vitals(BP: unable to obtain, HR: 146, RR: 40-50), GCS: Alert, MOI (Severe/extensive animal bites), ETA: 5 minutes</t>
  </si>
  <si>
    <t>L2, [age not provided] y/o, Vitals(112/56, 104, RR not provided), GCS: not provided, MOI (ATV accident), ETA: 10-12 minutes</t>
  </si>
  <si>
    <t>L2, 16 y/o, Vitals(137/99, 75, 26), GCS: , MOI (gunshot wound to right leg with probable femur fracture), ETA: 10 minutes</t>
  </si>
  <si>
    <t>L2, 4 y/o, Vitals(111/67, 110, N/A), GCS: 15, MOI (struck by car 15-20 mph, open fractures, degloving injury), ETA: 10 minutes</t>
  </si>
  <si>
    <t>L2, 18 y/o, Vitals(160/110, 108, normal), GCS: 15, MOI (motorcycle accident, no helmet, 30 mph), ETA: 10 minutes</t>
  </si>
  <si>
    <t>L2, 4 y/o, Vitals(113/83, 146, RR not provided), GCS: 15, MOI (struck by car at 40 mph), ETA: 5 minutes</t>
  </si>
  <si>
    <t>L2, 12 y/o, Vitals(136/94, 114, -), GCS: 15, MOI (cyclist struck by vehicle at 7 mph, unhelmeted, ran over legs), ETA: 10 minutes</t>
  </si>
  <si>
    <t>L2, 16 y/o, Vitals(144/81, 106, 18), GCS: 15, MOI (Car vs bicycle, struck by pickup truck at 35-40 mph), ETA: 25 minutes</t>
  </si>
  <si>
    <t>L2, 7 y/o, Vitals(141/80, 103, 24), GCS: 15, MOI (Fall &gt;10 feet), ETA: 5 minutes</t>
  </si>
  <si>
    <t>L2, 13 y/o, Vitals(122/64, 93, RR not provided), GCS: 15, MOI (ATV accident ~20 mph, helmet on), ETA: 15 minutes cold</t>
  </si>
  <si>
    <t>L2, 15 y/o, Vitals(BP: Good, HR: Not provided, RR: Not provided), GCS: Alert and oriented, MOI (Multiple dog bites), ETA: 5 minutes</t>
  </si>
  <si>
    <t>L1, 15 y/o, Vitals (BP 143/88, HR 78, RR 18), GCS: 10, MOI (fall with head impact, unresponsive), ETA: 10 minutes</t>
  </si>
  <si>
    <t>L2, 15 y/o, Vitals (BP 144/74, HR 104, RR 24), GCS: 15, MOI (GSWs to right hip, graze to abdomen), ETA: 7-8 minutes</t>
  </si>
  <si>
    <t>L1, 15 y/o, Vitals (BP 150/90, HR 56, RR not provided), GCS: not provided, MOI (GSW to the left eye), ETA: 3 minutes</t>
  </si>
  <si>
    <t>L1, 1 y/o, Vitals (BP: 141/86, HR: 149, RR: 30), GCS: Lethargic, MOI: Fall from couch with head trauma, ETA: 5-7 minutes</t>
  </si>
  <si>
    <t>L1, 15 y/o, Vitals (BP: not obtained, HR: radial pulse at least 90, RR: not specified), GCS: 15, MOI: two gunshot wounds to both femurs with fractures, bleeding controlled, ETA: 8-10 minutes.</t>
  </si>
  <si>
    <t>L2, 19 m/o, Vitals (Stable), GCS: Not specified, MOI (Ran over by a jeep, left femur and humerus injuries), ETA: 5-10 min</t>
  </si>
  <si>
    <t>L1, 14 y/o, Vitals (BP: 138/68, HR: 116, RR: not provided), GCS: unconscious, MOI: stabbed in the head with a screwdriver, ETA: 10 minutes</t>
  </si>
  <si>
    <t>L1, Pediatric y/o, Vitals (BP 114/72, HR 90, RR not provided), GCS: Not explicitly provided but likely ≤ 13 due to lethargy and sluggish pupils, MOI (fall from second floor, possibly onto ground), ETA: 2 minutes</t>
  </si>
  <si>
    <t>L2, 2 y/o, Vitals (BP 100/62, HR 108, RR 30), GCS: 15, MOI (crush injuries to legs, pinned for an elongated period), ETA: a couple minutes</t>
  </si>
  <si>
    <t>L2, 15 y/o, Vitals (BP 140/82, HR 90, RR not provided), GCS: 15, MOI (GSW to neck, no exit wound, walked to police station), ETA: 6-7 minutes</t>
  </si>
  <si>
    <t>L2, 12 y/o, Vitals (BP 135/86, HR 107, RR 18), GCS: Not provided, MOI (hit by car at 35 mph, thrown from bike, brief loss of consciousness, head laceration, possible broken nose, bruised leg), ETA: 10-12 minutes</t>
  </si>
  <si>
    <t>L1, 4 y/o, Vitals (Stable), GCS: Lethargic, MOI (MVA car vs. telephone pole, major front damage, distended abdomen), ETA: __</t>
  </si>
  <si>
    <t>L1, 5 y/o, Vitals (125/65, 110, RR not provided), GCS: likely ≤ 13, MOI (5-foot unwitnessed fall from top bunk, positive LOC, difficulty keeping aroused, blood from left ear), ETA: 15 minutes</t>
  </si>
  <si>
    <t>L1, 15 y/o, Vitals (BP 148/68, HR 94, RR not provided), GCS: not provided, MOI (gunshot to the neck), ETA: 2-3 minutes</t>
  </si>
  <si>
    <t>L1, 9 y/o, Vitals (BP: 133/79, HR: 118, RR: 29), GCS: 15, MOI (electrocution by high tension power line), ETA: 5 minutes</t>
  </si>
  <si>
    <t>L2, 16 y/o, Vitals (BP: 104/68, HR: 85, RR: not provided), GCS: Alert but not answering questions, MOI: High velocity MVA, other occupant in arrest, ETA: 5 minutes</t>
  </si>
  <si>
    <t>L1, 4 y/o, Vitals (BP: 70/46, HR: 180, RR: not provided), GCS: not provided, MOI: pedestrian hit by car, ETA: 12 minutes</t>
  </si>
  <si>
    <t>L2, 7 y/o, Vitals (BP, HR, RR), GCS: __, MOI (high-speed car accident), ETA: __</t>
  </si>
  <si>
    <t>L1, 1 y/o, Vitals (BP, HR, RR), GCS: __, MOI (foot amputation), ETA: 10-15 min</t>
  </si>
  <si>
    <t>L1, 15 y/o, Vitals (BP: 1/42, HR: 91, RR: 16), GCS: In and out of consciousness, MOI: High-speed MVA rollover, ETA: __</t>
  </si>
  <si>
    <t>L2, 26 y/o, Vitals (BP, HR, RR), GCS: __, MOI (GSWs to leg and chest), ETA: 4-6 minutes</t>
  </si>
  <si>
    <t>L2, 15 y/o, Vitals (BP: 128/81, HR: 80, RR: not provided), GCS: 15, MOI (single GSW to left mid-abdomen, diminished lung sounds on left), ETA: 5 minutes</t>
  </si>
  <si>
    <t>L2, 15 y/o, Vitals (BP: 218/73, HR: 120, RR: 20), GCS: 15, MOI (pedestrian struck by car at 40 mph), ETA: 5 minutes</t>
  </si>
  <si>
    <t>L2, 4 y/o, Vitals (BP 116/78, HR 68, RR not provided), GCS: Alert &amp; oriented, MOI: GSW to left knee with possible tib-fib and femur deformity, ETA: 8-10 minutes</t>
  </si>
  <si>
    <t>L2, 14 y/o, Vitals (BP: 93/54, HR: 70, RR: not provided), GCS: 15, MOI (gunshot wound to left upper thigh, bleeding controlled with tourniquet), ETA: 8 minutes</t>
  </si>
  <si>
    <t>L2, 15 y/o, Vitals (BP, HR, RR), GCS: __, MOI (GSW to right butt cheek), ETA: 10 minutes</t>
  </si>
  <si>
    <t>L2, 12 y/o, Vitals (BP: 134/94, HR: 116, RR: not provided), GCS: not provided, MOI (gunshot wound to upper left quadrant), ETA: 5 minutes</t>
  </si>
  <si>
    <t>L1, 2 y/o, Vitals (BP: 94/76, HR: 106, RR: 20), GCS: Unresponsive, MOI: Restrained passenger in motor vehicle accident, unknown speed, ETA: 5 minutes</t>
  </si>
  <si>
    <t>L2, 13 y/o, Vitals (Stable), GCS: Not specified, MOI (GSW to lower back and left arm), ETA: 5 minutes</t>
  </si>
  <si>
    <t>L2, 12 y/o, Vitals (BP 144/88, HR 116, RR not provided), GCS: 15, MOI (car vs. pole, pinned between car and pole, brief loss of consciousness), ETA: 8 minutes</t>
  </si>
  <si>
    <t>L2, 10 y/o, Vitals (BP 134/90, HR 110, RR 20), GCS: 14, MOI (bicycle hit by car, thrown forward, no helmet, possible LOC), ETA: 10 minutes</t>
  </si>
  <si>
    <t>L1, 15 y/o, Vitals (BP 133/91, HR 68, RR not provided), GCS: 15, MOI (GSW to left face and right shoulder), ETA: 6 minutes</t>
  </si>
  <si>
    <t>L2, 14 y/o, Vitals (BP 110/60, HR 109, RR 24), GCS: 15, MOI (GSW to lower right back and upper right thigh), ETA: 5 minutes</t>
  </si>
  <si>
    <t>L2, 15 y/o, Vitals (BP 135/72, HR 78, RR 18), GCS: Not provided, MOI (GSWs to the back), ETA: 10 minutes</t>
  </si>
  <si>
    <t>L2, 4 y/o, Vitals (BP: not provided, HR: not provided, RR: 26), GCS: Alert, MOI (fell from seventh floor window onto grass), ETA: 15 minutes</t>
  </si>
  <si>
    <t>L2, 15 y/o, Vitals (BP: 121/67, HR: 86, RR: 18), GCS: Not provided, MOI: GSW to right groin with exit wound at back of thigh, ETA: 5-10 minutes</t>
  </si>
  <si>
    <t>L1, 2 y/o, Vitals (BP: 124/82, HR: 156, RR: not provided), GCS: Lethargic, MOI: Ran over in driveway, possible basal skull fracture, trauma to left eye, ETA: 6-8 minutes</t>
  </si>
  <si>
    <t>L1, 1 y/o, Vitals (BP, HR, RR), GCS: __, MOI (fall with head trauma and seizure activity), ETA: 15 minutes</t>
  </si>
  <si>
    <t>L2, 32 y/o, Vitals (BP: 96/76, HR: 130, RR: not provided), GCS: 15, MOI: Unrestrained driver in high-speed MVA with extensive vehicle damage, complaining of leg pain, no LOC, ETA: 5 minutes</t>
  </si>
  <si>
    <t>L2, 14 y/o, Vitals (BP: 118/68, HR: 68, RR: not provided), GCS: 14, MOI: MVC with car hitting a pole, engine displacement, passenger not ejected, lost consciousness, lost teeth, ETA: 8 minutes</t>
  </si>
  <si>
    <t>L1, 15 y/o, Vitals (BP 124/72, HR 113, RR 16), GCS: Not specified, MOI (GSW to right cheek, loss of consciousness, unable to talk due to pain), ETA: 5 minutes</t>
  </si>
  <si>
    <t>L1, 2 y/o, Vitals (BP: not provided, HR: 116, RR: 24), GCS: unresponsive, MOI (unresponsive with lacerations, possible overdose), ETA: 3 minutes</t>
  </si>
  <si>
    <t>L1, 15 y/o, Vitals (BP: 76/31, HR: 91, RR: not provided), GCS: not provided, MOI: two-car MBA, possible loss of consciousness, extrication required, ETA: 15 minutes</t>
  </si>
  <si>
    <t>L2, 15 y/o, Vitals (BP 136/72, HR 92, RR 22), GCS: 15, MOI (ejected from vehicle during high-speed MVA with police chase), ETA: 5 minutes</t>
  </si>
  <si>
    <t>L1, 14 y/o, Vitals (BP: unable to obtain, HR: 116, RR: not provided), GCS: Awake and alert, MOI: ESW to the upper back at the spine, ETA: 5 minutes</t>
  </si>
  <si>
    <t>L2, 14 y/o, Vitals (BP: 120/80, HR: 81, RR: not provided), GCS: Alert and oriented, MOI: Two GSWs (right wrist and right side), ETA: 5 minutes</t>
  </si>
  <si>
    <t>L1, 5 y/o, Vitals (BP: 120/60, HR: 110, RR: 20), GCS: Altered mental status, MOI: Fall from approximately six feet onto head, ETA: Not specified</t>
  </si>
  <si>
    <t>L2, 14 y/o, Vitals (BP 140/96, HR 140, RR not provided), GCS: Awake and alert, MOI: GSW to right shoulder, ETA: 6 minutes</t>
  </si>
  <si>
    <t>L1, 2 y/o, Vitals (BP: 120/82, HR: 96, RR: 28), GCS: regaining consciousness, MOI: unrestrained passenger in MVA with heavy front-end damage, ETA: 5-6 minutes</t>
  </si>
  <si>
    <t>L1, 3 y/o, Vitals (BP 114/63, HR 110, RR sparse), GCS: Not fully responsive, MOI (fell backwards from one step, hit head, history of epilepsy, hard to wake up, grunting respirations), ETA: 10 minutes</t>
  </si>
  <si>
    <t>L2, 12 y/o, Vitals (BP: 120/76, HR: 76, RR: 18), GCS: 15, MOI (unbelted driver, 80 mph head-on collision with a tree), ETA: 4-5 minutes</t>
  </si>
  <si>
    <t>L2, 17 y/o, Vitals (BP 108/71, HR 70, RR 22), GCS: 14, MOI (motor vehicle accident with front-end damage, airbag deployment, chest and belly pain, shortness of breath, brief loss of consciousness), ETA: 12 minutes</t>
  </si>
  <si>
    <t>L2, 14 y/o, Vitals (BP: 150/94, HR: 106, RR: 22), GCS: 15, MOI (GSW to upper back, no exit wound, controlled bleeding), ETA: 10 minutes</t>
  </si>
  <si>
    <t>L2, 13 y/o, Vitals (BP 125/73, HR 106, RR 20), GCS: 14, MOI (hit by car, brief unconsciousness, confusion, clavicle deformity), ETA: 13 minutes</t>
  </si>
  <si>
    <t>L1, [age not specified] y/o, Vitals (BP: 152/92, HR: 136, RR: not specified), GCS: not specified, MOI (head injury with airway compromise), ETA: 25 minutes</t>
  </si>
  <si>
    <t>L1, 15 y/o, Vitals (BP: 92/40, HR: 143, RR: not provided), GCS: 13-14, MOI (gunshot wound to upper left chest with exit wound, bleeding controlled with occlusive dressing), ETA: 15-20 minutes</t>
  </si>
  <si>
    <t>L1, 15 y/o, Vitals (BP: 166/98, HR: 103, RR: 42), GCS: ~10-11, MOI: Ejected from side-by-side, significant head injury, combative, ETA: 25 minutes</t>
  </si>
  <si>
    <t>L1, 25 y/o, Vitals (BP 114/68, HR 85, RR 31), GCS: Sedated, MOI (ATV accident with head injury, subdural hematoma, pneumocephalus, skull/orbital fracture, left apical pneumothorax), ETA: 20 minutes</t>
  </si>
  <si>
    <t>L2, 15 y/o, Vitals (BP: 118/74, HR: 42, RR: normal), GCS: 15, MOI: ATV accident with brief loss of consciousness and ear bleeding, ETA: 5 minutes</t>
  </si>
  <si>
    <t>L1, 16 y/o, Vitals (BP: 115/74, HR: 110, RR: not provided), GCS: 15, MOI: Hit by a truck and dragged 50 yards, unstable pelvis, road rash, ETA: 10-15 minutes</t>
  </si>
  <si>
    <t>L1, 14 y/o, Vitals (BP 110/40, HR 148, RR not provided), GCS: 14, MOI (run over by car, dragged 20 feet), ETA: 25 minutes</t>
  </si>
  <si>
    <t>L2, 12 y/o, Vitals (124/69, 65, RR not provided), GCS: 12, MOI (electric skateboard fall, helmet worn, lethargic, mumbles), ETA: 5-10 mins</t>
  </si>
  <si>
    <t>L2, 17 y/o, Vitals (BP: 115/86, HR: 110, RR: 20), GCS: 15, MOI: Stab wounds to mid-thoracic back and left shoulder, slightly diminished breath sounds on right, ETA: 10-15 minutes</t>
  </si>
  <si>
    <t>L1, 10 y/o, Vitals (BP 90/55, HR 89, RR 34), GCS: 13, MOI (thrown from ATV, no helmet, extended LOC, facial and abdominal abrasions, diminished lung sounds), ETA: Unknown</t>
  </si>
  <si>
    <t>L1, 3 y/o, Vitals (BP 111/71, HR 120, RR 28), GCS: 8, MOI (T-bone collision with 12-inch intrusion, car seat intact, responds only to painful stimuli), ETA: 22 minutes</t>
  </si>
  <si>
    <t>L2, 13 y/o, Vitals (BP 135/82, HR 70, RR 17), GCS: 15, MOI (ejected from four-wheeler at 40-50 mph, severe laceration near femoral artery with controlled bleeding), ETA: 10-12 minutes</t>
  </si>
  <si>
    <t>L2, 14 y/o, Vitals (BP 160/90, HR 62, RR not provided), GCS: 15, MOI (gunshot wound to upper left shoulder, bullet not through and through, no head/neck injury), ETA: 5 minutes</t>
  </si>
  <si>
    <t>L2, 11 y/o, Vitals (BP 110/70, HR 97, RR not provided), GCS: not provided, MOI (head-on car accident at 50-55 mph, extreme hip pain, missing left pedal pulse, collarbone and neck pain, suspected wrist fracture), ETA: 45-50 minutes</t>
  </si>
  <si>
    <t>L1, 9 m/o, Vitals (BP: not obtained, HR: 178, RR: not provided), GCS: not applicable, MOI: multiple deep puncture wounds from large dog bite to chest, back, and abdomen, pale and shocky appearance, ETA: 15-20 minutes.</t>
  </si>
  <si>
    <t>L2, 16 y/o, Vitals (BP 157/110, HR 132, RR normal), GCS: 15, MOI (rollover with head impact, possible glass in eyes, left upper chest pain), ETA: 10 minutes</t>
  </si>
  <si>
    <t>L1, 15 y/o, Vitals (BP: 128/68, HR: 54, RR: not provided), GCS: 8-10, MOI (e-bike accident, no helmet, CSF from ear), ETA: 15 min</t>
  </si>
  <si>
    <t>L2, 10 y/o, Vitals (BP: 93/61, HR: 92, RR: 24), GCS: 15, MOI (pedestrian struck by car, possibly backed over), ETA: 8 minutes</t>
  </si>
  <si>
    <t>L1, 5 y/o, Vitals (BP 144/90, HR 131, RR 34), GCS: 15, MOI (ATV rollover, unresponsive and not breathing initially, regained consciousness, hematoma on forehead, left hip pain with external rotation), ETA: 20 minutes</t>
  </si>
  <si>
    <t>L1, 6 m/o, Vitals (BP, HR, RR), GCS: __, MOI (rollover accident, head injury, in and out of consciousness), ETA: 20 minutes</t>
  </si>
  <si>
    <t>L2, 12 y/o, Vitals (BP: 116/69, HR: 80, RR: not provided), GCS: 15, MOI: struck by vehicle with bilateral femur fractures, ETA: 7-8 minutes</t>
  </si>
  <si>
    <t>L2, 15 y/o, Vitals (BP 172/96, HR 87, RR not provided), GCS: 15, MOI (unrestrained passenger in MVC, positive LOC, facial injuries with bloody ear fluid), ETA: 5 minutes</t>
  </si>
  <si>
    <t>L2, 8 y/o, Vitals (BP: 143/92, HR: 100, RR: 20), GCS: Lethargic, MOI: Car accident with significant vehicle damage, positive loss of consciousness, ETA: 6-7 minutes</t>
  </si>
  <si>
    <t>L1, 4 m/o, Vitals (BP 101/51, HR 135, RR 30), GCS: Minimally responsive, MOI: Bilateral head bleeds, intubated, ETA: 25 minutes</t>
  </si>
  <si>
    <t>L1, 11 y/o, Vitals (BP, HR, RR), GCS: __, MOI (hanging, unresponsive, vomited blood), ETA: 20 minutes</t>
  </si>
  <si>
    <t>L1, 15 y/o, Vitals (BP 116/71, HR 100, RR not provided), GCS: 14, MOI (unrestrained passenger in motor vehicle accident with skull deformity and large forehead laceration), ETA: 2-3 minutes</t>
  </si>
  <si>
    <t>L1, 16 y/o, Vitals (BP 129/88, HR 124, RR 24), GCS: 13, MOI (significant head trauma with amnesia and delirium, possible pelvis involvement), ETA: 5-10 minutes</t>
  </si>
  <si>
    <t>L2, 14 y/o, Vitals (BP: unknown, HR: 76, RR: unknown), GCS: unknown, MOI (two gunshot wounds: right femur, left lower flank), ETA: 10 minutes</t>
  </si>
  <si>
    <t>L2, 13 y/o, Vitals (BP: 139/85, HR: 98, RR: not provided), GCS: 15, MOI (collision with another player, brief loss of consciousness, neck injury with transient paralysis), ETA: 10-12 minutes</t>
  </si>
  <si>
    <t>L1, 11 m/o, Vitals (BP 131/79, HR 162, RR 40), GCS: 8, MOI (fall from unknown height, altered mental status, disconjugate gaze, minimal response to pain), ETA: 10-12 minutes</t>
  </si>
  <si>
    <t>L1, 8 y/o, Vitals (BP: 127/76, HR: 120, RR: 22), GCS: 15, MOI (struck by train, abdominal evisceration, possible pelvis injuries), ETA: 10 minutes</t>
  </si>
  <si>
    <t>L2, 5 y/o, Vitals (BP, HR, RR), GCS: __, MOI (stab wound to the back), ETA: 5 minutes</t>
  </si>
  <si>
    <t>L2, 5 y/o, Vitals (BP: 136/86, HR: 80-120, RR: not specified), GCS: 11-15, MOI (fell ~8 feet onto cement, intermittent decreased responsiveness), ETA: 8 minutes</t>
  </si>
  <si>
    <t>L1, 15 y/o, Vitals (BP 105/65, HR 95, RR 12-14), GCS: 14, MOI (skiing accident, hit tree head-on), ETA: 5-10 minutes</t>
  </si>
  <si>
    <t>L2, 14 y/o, Vitals (BP 95/57, HR 100, RR 20), GCS: 15, MOI (struck by car at 35 mph, LOC, head hematoma, lower back and leg pain, road rash), ETA: 16 minutes</t>
  </si>
  <si>
    <t>L1, 7 y/o, Vitals (BP: 138/76, HR: 126, RR: 28), GCS: 14, MOI: Pedestrian struck by vehicle at 40 mph, ETA: 10 minutes</t>
  </si>
  <si>
    <t>L2, 5 y/o, Vitals (BP: 118/73, HR: 119, RR: not specified), GCS: 14, MOI (trapped under car, left arm crushed, unconscious initially), ETA: 10 minutes</t>
  </si>
  <si>
    <t>L2, [age not provided] y/o, Vitals (BP, HR, RR not provided), GCS: [not provided], MOI (skull fracture with pneumocephaly), ETA: 15 minutes</t>
  </si>
  <si>
    <t>L1, 17 y/o, Vitals (BP: 115/74, HR: 82, RR: not provided), GCS: 13, MOI: 10-15 ft fall from playground, head impact with LOC, vomiting, declining mental status, sluggish pupils, ETA: 30-40 min</t>
  </si>
  <si>
    <t>L2, 15 y/o, Vitals (BP: 136/54, HR: 118, RR: not provided), GCS: 15, MOI: 50-foot fall from train trestle, brief loss of consciousness, ETA: 20 minutes</t>
  </si>
  <si>
    <t>['13-year-old pedestrian']</t>
  </si>
  <si>
    <t>['The rest of his are 18']</t>
  </si>
  <si>
    <t>['Normal respiratory rate']</t>
  </si>
  <si>
    <t>["she hasn't been responding", "she'll, like, open and close her eyes", "she hasn't been responding or saying anything", "she's not responding", "she's not saying anything to us at all", "She's just opening her eyes", "she's, like, squeezing her mother's hand"]</t>
  </si>
  <si>
    <t>['one-year-old female', 'the baby']</t>
  </si>
  <si>
    <t>['kind of unconscious, lethargic, severe lethargic', 'Baby is aroused by papal stimuli', "she's still lethargic and out of it", "she's pretty lethargic"]</t>
  </si>
  <si>
    <t>['fell off the couch and bumped its head', 'Some kind of head trauma']</t>
  </si>
  <si>
    <t>['struck on the highway', 'ricocheted off another car', 'slammed right into a guard rail', 'intrusion to the car', '6 inch intrusion with airbag deployment', '65 miles an hour on the freeway']</t>
  </si>
  <si>
    <t>['alert and oriented', 'no loss of consciousness', 'She remembers everything']</t>
  </si>
  <si>
    <t>['struck by a vehicle', 'got hit', 'significant damage to the front of the vehicle', 'flew over the vehicle probably a good 20 feet away from where she was struck', 'patient flew about 20 feet and went over the vehicle']</t>
  </si>
  <si>
    <t>['16-mile Evolving NVA', '45-year-old']</t>
  </si>
  <si>
    <t>['unrestrained passenger in the back', 'hit his head', 'NVA']</t>
  </si>
  <si>
    <t>['10-year-old male', '10-year-old']</t>
  </si>
  <si>
    <t>['heart rate of 112']</t>
  </si>
  <si>
    <t>["He's alert and oriented", 'He is awake']</t>
  </si>
  <si>
    <t>['anal times three']</t>
  </si>
  <si>
    <t>['multiple dog bite', 'bite wound to the right calf', 'bite wound to the left bicep']</t>
  </si>
  <si>
    <t>['GSW to his neck', 'grazed to his left posterior neck', 'There is no penetrating trauma', '100% of the graze']</t>
  </si>
  <si>
    <t>["involved in an MVA, major driver's side damage", 'properly restrained in the car seat on the passenger side', 'eight inches of intrusion in the front airbag deployment', "properly restrained in a booster seat in the driver's side rear", 'displaced laterally into the cabin', 'Lack to the left side of the forehead']</t>
  </si>
  <si>
    <t>['two gunshot wounds to both femurs', 'both femurs are fractured']</t>
  </si>
  <si>
    <t>['blood pressure. What was that blood pressure? 160 over a hundred for BP']</t>
  </si>
  <si>
    <t>['sinus at 90']</t>
  </si>
  <si>
    <t>['walking to school was hit by a car', 'car did not go over her any part of her body, but it did put her up in the air and she fell to the ground', 'head did hit the ground']</t>
  </si>
  <si>
    <t>['a rate of about 112']</t>
  </si>
  <si>
    <t>['stabbed in the head with a screwdriver', 'flathead screwdriver', 'front left, low of her head']</t>
  </si>
  <si>
    <t>['very lethargic and tired right now', 'He will wake up if you tactile stimulate him or anything like that, and he cries a little bit, then wants us to go down and go back to sleep', 'Pupils are sluggish to respond', 'he just cries when you wake him up, and he goes right back to sleep']</t>
  </si>
  <si>
    <t>['A&amp;O times four', 'A&amp;O times three', "Doesn't remember the accident", 'Is coming to now', 'does not remember the incident', 'remembers that he was going to the park', "doesn't remember the incident", 'does keep repeating himself']</t>
  </si>
  <si>
    <t>['Gunshot wound to the right thigh', 'wound on both sides of the thigh']</t>
  </si>
  <si>
    <t>['MBS', 'busted his head on the front seat', 'car seat that was not strapped in', 'busted his lip as well', 'busted his lip on the front car', 'mouth pain', 'leg pain', 'nature of the accident', 'highway speeds', 'contact with the other car', 'all airbags were deployed']</t>
  </si>
  <si>
    <t>['Both tires did pop off of the vehicle', 'hitting the guardrail', 'Airbags did deploy', 'She did hit her head on the steering wheel', 'side swiped', 'ended up hitting the guardrails', 'minor car damage', 'both tires did actually come off']</t>
  </si>
  <si>
    <t>['ANO times 4']</t>
  </si>
  <si>
    <t>['Rode his bike down a fairly steep incline, went over a small ledge and landed on a beach on a bicycle', 'landed on the bicycle and the bike sort of tilted forward']</t>
  </si>
  <si>
    <t>['The patient did say he was asleep when the accident happened', 'He does not remember anything else']</t>
  </si>
  <si>
    <t>['passenger in a car that struck a tree', 'Mom said that they were driving about 40. 45 miles an hour', 'pretty extensive damage to the front end of the vehicle', 'He was unrestrained in the back seat']</t>
  </si>
  <si>
    <t>["He's riding his bike across the street", 'He got hit on the right side of a car', 'He was thrown from his bike', 'The car is doing about 35 miles an hour']</t>
  </si>
  <si>
    <t>['MVA car versus telephone pole', 'major damage to the front', 'some pretty bad intrusion to the front']</t>
  </si>
  <si>
    <t>['he himself being an alert 13 year old', 'No loss of consciousness']</t>
  </si>
  <si>
    <t>['no loss of consciousness', 'no loss of consciousness, nothing like that']</t>
  </si>
  <si>
    <t>['unseat belted in the back seat', 'obvious deformity to his left femur and high tibia area with a severe laceration to the high tibia right below the knee area', 'airbag deployment', 'two cars, very heavy damage head-on', 'rear passenger']</t>
  </si>
  <si>
    <t>['vomited after a shower', 'hematoma to his right forehead and around his right orbital socket']</t>
  </si>
  <si>
    <t>['shot in his left calf leg', 'No exit wound', "It's in the calf"]</t>
  </si>
  <si>
    <t>['autistic and nonverbal', 'autistic and nonverbal', "he won't sit still for anything", "He's fighting us"]</t>
  </si>
  <si>
    <t>['ambulatory on scene', 'no loss of consciousness']</t>
  </si>
  <si>
    <t>['motor vehicle accident with multiple ejections', 'unrestrained and ejected']</t>
  </si>
  <si>
    <t>['positive loss of consciousness', 'patient is tired', "they're having difficulty keeping them aroused"]</t>
  </si>
  <si>
    <t>['unwitnessed fall, top bunk of a bed']</t>
  </si>
  <si>
    <t>['pushed accidentally out of a second story window', 'She landed on her back']</t>
  </si>
  <si>
    <t>['stab wounds to the right forearm', 'another one to her left upper shoulder', 'her right leg', "the right forearm's more significant", 'the left upper shoulder looks pretty superficial', 'there is a puncture']</t>
  </si>
  <si>
    <t>['crying, acting normal for her father', 'she just immediately started crying', "Dad's saying everything's all normal for her"]</t>
  </si>
  <si>
    <t>['electrocuted by a high tension power line', 'A high tension tri-power line from a telephone pole', 'it appears that she got fully electrocuted']</t>
  </si>
  <si>
    <t>['struck by an auto', 'this car was going? Probably 30, 35']</t>
  </si>
  <si>
    <t>['dirt bike accident', 'was the driver of the dirt bike and was involved in an accident', 'crashed', 'might have swerved to avoid a car and hit a telephone pole and flew off the bike', 'was not wearing a helmet']</t>
  </si>
  <si>
    <t>['high speed MVA rollover accident', 'Stolen vehicle']</t>
  </si>
  <si>
    <t>['No loss of consciousness stated by him, but his memory is a little groggy about the incident', 'He is ANO times 3']</t>
  </si>
  <si>
    <t>['riding a motorbike, ran into a pole going about 25-30 miles per hour', 'When he made contact with the pole, his head basically made contact with the pole, come into a sit still and fell off the bike from there']</t>
  </si>
  <si>
    <t>['ANO times 3']</t>
  </si>
  <si>
    <t>['motor vehicle accident', 'vehicle hit a tree']</t>
  </si>
  <si>
    <t>['She is awake and alert currently for us', 'Wake alert and ambulatory']</t>
  </si>
  <si>
    <t>['17-month-old female', '17-month', '17, 17 for PEDS', 'months, M-O-N-S']</t>
  </si>
  <si>
    <t>['slightly lethargic', 'she became lethargic', "she's resting comfortably", "she's a little sluggish and lethargic", 'More than normal']</t>
  </si>
  <si>
    <t>['She fell off the couch and hit her head', 'fell about a foot, a foot and a half']</t>
  </si>
  <si>
    <t>['17-year-old female', 'a pediatric patient']</t>
  </si>
  <si>
    <t>['two-car MBA', 'driver of a car that was T-boned', '30-mile-an-hour speed limit area', 'her car did roll over', 'rolled over', 'laying on its top side', 'seat belted, shoulder and lap belt', 'front and side airbag deployment', 'self-extricated prior to EMS arrival']</t>
  </si>
  <si>
    <t>['hit skip', 'struck by an automobile as she was trying to enter the backseat of the vehicle', 'Mom saw the vehicle', 'going at a very low rate of speed', 'speed, you think? Maybe 5, 10', 'It was slow', "didn't anticipate", 'It jarred her', 'felt the car move back and forth']</t>
  </si>
  <si>
    <t>['ANO4 right now', 'no loss of consciousness', 'did have a brief loss of consciousness']</t>
  </si>
  <si>
    <t>['struck by a smaller SUV', 'car was traveling about 30 miles an hour']</t>
  </si>
  <si>
    <t>['shot in the head with a BB gun', 'steel BB', 'penetrated his skin']</t>
  </si>
  <si>
    <t>['injury to his left upper leg', 'shot with multiple beanbag rounds and flashbangs', 'shot up with a beanbag', 'police thing']</t>
  </si>
  <si>
    <t>['13 year old male']</t>
  </si>
  <si>
    <t>['heart rate 96']</t>
  </si>
  <si>
    <t>['BP 136 over 79']</t>
  </si>
  <si>
    <t>['MVA', 'Was not wearing a seatbelt', 'Vehicle was going about 35 miles an hour', 'May have hit the windshield']</t>
  </si>
  <si>
    <t>["Pressure's 116 over 64", '116 over 64']</t>
  </si>
  <si>
    <t>['GSW to the left forearm', 'left forearm']</t>
  </si>
  <si>
    <t>['Alert to painful stimuli', 'started to decompensate']</t>
  </si>
  <si>
    <t>['92 on the pulse', '92']</t>
  </si>
  <si>
    <t>["She's talking with mom over the phone", 'She can talk to you, give any kind of consent you need']</t>
  </si>
  <si>
    <t>['she was struck by a car', 'Witnesses say the car was probably going about 30 miles an hour-ish', 'hit by the front of the car', 'thrown from it']</t>
  </si>
  <si>
    <t>["playing on his brother's bed", 'rolled back and hit himself on one of the shelves on the back of the head']</t>
  </si>
  <si>
    <t>['muscle GSW to her left leg', "Only one is above the knee, but there's a couple below the knee"]</t>
  </si>
  <si>
    <t>['in an MBA', 'in the front seat wearing a seatbelt', 'around 40. 40 MPH']</t>
  </si>
  <si>
    <t>['GSW from a drive-by to his left knee']</t>
  </si>
  <si>
    <t>['he was at a concert there was a body surfer going on and the body had fallen on his head', 'she fell to the ground afterwards', 'he fell from about six feet or so', 'a person had fallen on his head', 'someone fell on him']</t>
  </si>
  <si>
    <t>['14-year-old male', '14, 1-4', '14, 1-4, correct']</t>
  </si>
  <si>
    <t>['MBA', 'She was the driver', 'She was restrained', 'in the backseat, restrained', 'he was in a car, a booster seat', 'two cars']</t>
  </si>
  <si>
    <t>['involved in the MBA', 'car accident', 'significant damage to the front of the car', 'traveling about 35 miles an hour', 'No intrusion', 'They were both restrained', 'Airbags deployed', 'Child was in a car seat', 'Airbag deployment', 'injury to her forehead', 'laceration']</t>
  </si>
  <si>
    <t>['Driver, car versus telephone pole', 'Head hit the windshield']</t>
  </si>
  <si>
    <t>['trauma arrest, self-inflicted gunshot wound to the head', 'self-inflicted gunshot wound to the head']</t>
  </si>
  <si>
    <t>['shot in the left side of the stomach', 'upper left quadrant']</t>
  </si>
  <si>
    <t>['She was a restrained passenger in a motor vehicle, unknown speed']</t>
  </si>
  <si>
    <t>['NBA versus pedestrian', 'walking across the street, and he saw the car, and then he blacked out, got hit', 'approximate speed of the car? He said maybe 35', 'right outside the high school']</t>
  </si>
  <si>
    <t>['MBA', 'moderate damage to the vehicle', 'flipped on its side', 'flipped on its right side']</t>
  </si>
  <si>
    <t>["blood pressure kind of sucks. He's at like 90 over 60"]</t>
  </si>
  <si>
    <t>['involved in an MBA', 'Moderate front end damage', 'airbag deployment', 'no intrusion into the vehicle', 'in a booster seat', 'not restrained', 'Approximately 40 miles']</t>
  </si>
  <si>
    <t>['struck by a vehicle approximately 35 miles an hour', 'thrown about five feet']</t>
  </si>
  <si>
    <t>['pedestrian struck in a parking lot, approximately 20 miles per hour', 'rolled up on the hood and was thrown about 10 feet']</t>
  </si>
  <si>
    <t>["he's ambulatory"]</t>
  </si>
  <si>
    <t>['GSW to the right arm', 'like a graze']</t>
  </si>
  <si>
    <t>['24 year old female', 'four year old female']</t>
  </si>
  <si>
    <t>['Blood pressure is 122 over 72', 'Blood pressure is 121 over 84']</t>
  </si>
  <si>
    <t>["he's alert, just crying", "He's autistic, so he's nonverbal", 'he is autistic']</t>
  </si>
  <si>
    <t>['car versus pole', 'doing donuts and he jumped out the car and the car hit the pole', 'he was pinned in between the pole', 'collided with the pole', 'ejected out and pinned in between the pole']</t>
  </si>
  <si>
    <t>['108 over 72']</t>
  </si>
  <si>
    <t>["He's awake"]</t>
  </si>
  <si>
    <t>['pedestrian struck', 'The car was going pretty high rate of speed', 'positive LOC']</t>
  </si>
  <si>
    <t>['Blood pressure is 135 over 81']</t>
  </si>
  <si>
    <t>['skating rink, said he started to brace himself', 'Entire arm went through the glass pane', 'glasseration spanning about his whole bicep']</t>
  </si>
  <si>
    <t>['Last one pressure 122 over 94']</t>
  </si>
  <si>
    <t>['he denied any lost consciousness', 'He remembers the entire event']</t>
  </si>
  <si>
    <t>['He had no LSC', 'He is complaining of right side neck pain']</t>
  </si>
  <si>
    <t>['struck by a truck that knocked him off of his bike']</t>
  </si>
  <si>
    <t>['MVA', 'car accident']</t>
  </si>
  <si>
    <t>['she keeps repeating the same question', "She doesn't remember the accident at all", 'she does not remember the accident at all']</t>
  </si>
  <si>
    <t>['she was riding her bicycle when she was hit by a car', 'thrown forward', 'no helmet']</t>
  </si>
  <si>
    <t>['11 year old male', 'Child']</t>
  </si>
  <si>
    <t>['Child is awake, alert and oriented', 'he does not remember being hit', 'he has no memory of it']</t>
  </si>
  <si>
    <t>['hit by a car going roughly 20-30 miles per hour', 'he definitely hit his head on the windshield', 'rolled off under on his on his bike crossing the street']</t>
  </si>
  <si>
    <t>['Current heart rate is 78 sinus']</t>
  </si>
  <si>
    <t>['unresponsive', 'unresponsive at this time', "He's unresponsive at this time", 'Pupils are fixated, non-reactive']</t>
  </si>
  <si>
    <t>['Child fell approximately 30 feet between steps coming out of school', 'Fell onto concrete floor']</t>
  </si>
  <si>
    <t>['three-year-old female', 'three-year-old female', 'A three-year-old']</t>
  </si>
  <si>
    <t>["She's definitely inappropriate"]</t>
  </si>
  <si>
    <t>['pedestrian struck', 'the car more so clips her than anything', 'it was going about 30 miles per hour']</t>
  </si>
  <si>
    <t>['15-year-old male', "he's 15", '15, 1.5']</t>
  </si>
  <si>
    <t>['involved in an NBA', 'was wearing his seatbelt', 'Airbags were deployed', 'Car is non-drivable', 'car into a tree']</t>
  </si>
  <si>
    <t>['significant MOI of a motor vehicle accident', 'The car was stolen, she was running from the cops, crashed into the pole', "fast enough. The wheels fell off, there's significant damage to the front end of the car"]</t>
  </si>
  <si>
    <t>['The child climbed out of the apartment onto the balcony and fell three stories', 'fell three stories', 'greater or equal to about 20 feet', 'three stories', '10 feet a story']</t>
  </si>
  <si>
    <t>['GSW to the arm', 'bullet hole', 'just below the elbow']</t>
  </si>
  <si>
    <t>['Breast is at 18']</t>
  </si>
  <si>
    <t>['coming from an MVA', 'flipped her vehicle up on his side 25-30 miles an hour', 'unrestrained', 'Airbag did go off', 'no intrusion noted into the vehicle']</t>
  </si>
  <si>
    <t>['13 year old male', '13 year old male', "One three for P's"]</t>
  </si>
  <si>
    <t>['no LLC']</t>
  </si>
  <si>
    <t>['coming from NVA Carver Pedestrian', 'he got hit on the back tire, fell face first', 'he was on his bike', 'they were just going fast and they were drunk', 'No helmet']</t>
  </si>
  <si>
    <t>['A and O times four talking bird', "he's following us around"]</t>
  </si>
  <si>
    <t>['fell out of a two-story window onto a chair about 12 feet-ish', 'a window onto a chair', 'around 12 feet, two stories']</t>
  </si>
  <si>
    <t>['head trauma', 'seizure activity', 'scene run', 'a fall with head trauma and seizure activity']</t>
  </si>
  <si>
    <t>['involved in an MVA', 'Obvious head injuries']</t>
  </si>
  <si>
    <t>['unrestrained passenger in a two car high speed MVA with extensive damage']</t>
  </si>
  <si>
    <t>['car accident', 'severe front end damage', 'Airbags deployed', 'seated in the back seat unrestrained', 'car was going really fast when it happened']</t>
  </si>
  <si>
    <t>['involved in a three-car MPA', 'side swipe']</t>
  </si>
  <si>
    <t>['four year old male', 'four, zero four']</t>
  </si>
  <si>
    <t>['Heart rate is 68 in regular']</t>
  </si>
  <si>
    <t>['anal times two', 'anal times three', 'he can answer all the questions appropriately', 'a little, little grotty']</t>
  </si>
  <si>
    <t>['13-male']</t>
  </si>
  <si>
    <t>['MVA', "high mechanism intrusion noted to driver's side and front end", 'restrained backseat passenger side', 'seatbelt marks across his lower abdomen', 'abrasion to his left eye', 'abrasion to his left arm', 'vomited prior to our arrival', 'high speed', 'the pole was knocked over', 'Both cars are totaled', 'car versus pole', 'car versus pole and car versus car', "The whole driver's side was completely, like, intruded", 'it was a pretty high mechanism']</t>
  </si>
  <si>
    <t>['3-year-old female', '3-year-old female']</t>
  </si>
  <si>
    <t>['Responsive to pain', 'Alert as far as we can tell', "she's alert"]</t>
  </si>
  <si>
    <t>['Heart rate is 180']</t>
  </si>
  <si>
    <t>['She was in the front seat of the car, was thrown to the back seat', 'they were hit from the back', 'she was thrown to the back']</t>
  </si>
  <si>
    <t>['restrained driver', 'hit by a vehicle that was being chased', 'high speed of chase', 'intrusion in the back side of their vehicle through the trunk', 'restrained in the back seat', 'not in any type of left seat']</t>
  </si>
  <si>
    <t>['Unrestrained rollover', 'moderate to heavy damage', 'Self-extricated']</t>
  </si>
  <si>
    <t>['unrestrained in a vehicle, car versus pole', 'Heavy damage to the vehicle', 'eight to ten inches of intrusion into the engine compartment', 'ripped the wheels off the vehicle when they hit the pole', 'Airbag deployment', 'He was unrestrained, no car seat']</t>
  </si>
  <si>
    <t>['blood pressure 102 over 72']</t>
  </si>
  <si>
    <t>['28 respirations', 'respiration 28']</t>
  </si>
  <si>
    <t>['car backed into him at a low-rated speed', 'unwitnessed', 'backed into him', 'legs buckled']</t>
  </si>
  <si>
    <t>['15 year old', '15 year old male', "he's 15", 'one five, correct? One five']</t>
  </si>
  <si>
    <t>['a little oriented with us now', 'he did lose consciousness', 'Not really able to talk to the pain']</t>
  </si>
  <si>
    <t>['walking this across the street', 'He got hit by a car']</t>
  </si>
  <si>
    <t>['Heart rate is 104 and regular on the monitor']</t>
  </si>
  <si>
    <t>["He's anal times four", 'No loss of consciousness', "there's no loss of consciousness"]</t>
  </si>
  <si>
    <t>['Current heart rate is 113', 'just a little tacky']</t>
  </si>
  <si>
    <t>['Respirators about 18', 'Non-labored']</t>
  </si>
  <si>
    <t>['struck on his bicycle this evening by a vehicle', 'He was crossing the road. Car hit him.', 'tire imprint left on the front bumper', 'He did not have a helmet on either', 'nine-year-old male struck on a while riding his bike', 'Car was going about 25 miles an hour', 'Some damage to the hood of the car']</t>
  </si>
  <si>
    <t>["He's A&amp;O", 'No loss of consciousness reported']</t>
  </si>
  <si>
    <t>['A&amp;O times four', 'A&amp;O times four for you now? Yep']</t>
  </si>
  <si>
    <t>['stabbed in the eye by the sharp part of a fork', 'one hole on the bridge of his nose', 'stabbed in the eye with what? Like a fork? A fork. Yeah, like the sharp part of the fork']</t>
  </si>
  <si>
    <t>['a pressure of 112 over 76']</t>
  </si>
  <si>
    <t>['she did not lose consciousness', 'she was awake the whole time', "she's acting age-appropriate", "She's just crying"]</t>
  </si>
  <si>
    <t>['struck by a car', 'the kid was thrown approximately 10-15 feet from the car']</t>
  </si>
  <si>
    <t>["She's alert and oriented times four"]</t>
  </si>
  <si>
    <t>['struck by a car', 'crossing the street and he was hit on the right side by a car going about 20 miles an hour', 'hit his head']</t>
  </si>
  <si>
    <t>['Was crying and alert the entire time']</t>
  </si>
  <si>
    <t>['involved in an NVA at a high rate of speed', 'Driver was approximately 60 to 70 miles per hour', 'She was in the back seat but not properly restrained in a child seat', 'apparently did have a seatbelt on', 'Heavy front end damage with airbag deployment', 'No intrusion']</t>
  </si>
  <si>
    <t>['heart rate is 91']</t>
  </si>
  <si>
    <t>['blood pressure was 103 over 85', 'pressure is 76 over 31']</t>
  </si>
  <si>
    <t>['involved in a two-car MBA', 'all airbags were deployed', 'Seatbelts were intact', 'There is no seatbelt sign', 'loss of consciousness', '35 mile an hour', 'between 35 and 45 miles per hour', 'mainly his side was impacted', 'We had to extricate him from the car', 'we had to, like, rip the door off and everything', 'we backboarded him out', "he's C-collared"]</t>
  </si>
  <si>
    <t>['unrestrained passenger who was ejected out of the front windshield', 'video showing that he was ejected from the vehicle through the windshield and thrown several feet', 'high speed MVA with the police chase']</t>
  </si>
  <si>
    <t>['initially acting A&amp;O times one on scene', 'A&amp;O times three right now']</t>
  </si>
  <si>
    <t>['unrestrained driver of a two-car MBA', 'police chase', 'They hit another car']</t>
  </si>
  <si>
    <t>['struck while riding his four-wheeler', 'struck by a vehicle', 'Red Kia Soul', 'going probably 20 miles an hour', 'looked like they hit their brakes at the last minute', 'crossing the street', 'struck the four-wheeler', "the car didn't actually come in contact with him", 'shook him up a bit']</t>
  </si>
  <si>
    <t>['Pedestrian struck', 'Pedestrians picked the car up off of him', 'road rash, leg, arm, right humerus fracture, open head fracture']</t>
  </si>
  <si>
    <t>['She was in the passenger of a vehicle, car to a pole, major damage, had to be extricated']</t>
  </si>
  <si>
    <t>['hit on her bike by a car', 'The car was coming out of a parking lot at approximately 10 miles an hour', 'went up and over the car', 'pedestrian on her bike, struck by a car, going about 10 miles an hour', 'she did go over the windshield? Over the hood. Over the hood']</t>
  </si>
  <si>
    <t>["He's awake and alert"]</t>
  </si>
  <si>
    <t>['His last pressure was 143 over 83']</t>
  </si>
  <si>
    <t>['15-mil', 'He is 15', 'One five', '17']</t>
  </si>
  <si>
    <t>['struck by a vehicle at approximately 25 miles an hour', 'He did hit his head', 'We just put the collar on due to the mechanism']</t>
  </si>
  <si>
    <t>['driver', 'involved in an MVA', 'She hit a tree', 'All airbags deployed', 'front windshield was starred', 'two children in the backseat of the car', 'They were not restrained at the time of impact', 'Significant damage to the front end of the vehicle']</t>
  </si>
  <si>
    <t>['32 year old female', 'five year old female', 'six year old male']</t>
  </si>
  <si>
    <t>['A&amp;O times four', 'He is answering all of my questions']</t>
  </si>
  <si>
    <t>['hit by a car', 'the car hit him', 'The car was going about 30 to 35']</t>
  </si>
  <si>
    <t>['changing my whole status altermentation']</t>
  </si>
  <si>
    <t>['struck by a car', 'the car was at a complete stop', 'the light turned green and he sped up towards her', 'she was coming through the crosswalk', "she didn't get smacked to the ground", 'her knee got hit', 'the scooter she was on kind of went up and kept her up']</t>
  </si>
  <si>
    <t>['pedestrian struck', '10 to 15 miles per hour', 'Vehicle tried to stop it with the snow', 'She slid', 'trying to cross the intersection']</t>
  </si>
  <si>
    <t>['riding like an ATV-type vehicle, went out of control, and he struck a pole, like a utility pole']</t>
  </si>
  <si>
    <t>['Awaken alert', 'Awaken alert']</t>
  </si>
  <si>
    <t>['She was unconscious on our arrival', 'She is regaining consciousness slowly', "She's crying for us"]</t>
  </si>
  <si>
    <t>['under strained, front passenger and a MVA', 'Heavy front end damage', 'Moderate front end damage', 'She was in the front seat, unrestrained']</t>
  </si>
  <si>
    <t>['pressure was 140 over 80']</t>
  </si>
  <si>
    <t>['hit by a car at an unknown speed', 'did not hit his head. Just his hips']</t>
  </si>
  <si>
    <t>['having a hard time staying awake', 'still hard to wake up', 'completely kind of out of it', 'just kind of has a glaze right now']</t>
  </si>
  <si>
    <t>['Patient fell backwards', 'fell back once there and hit his head', 'fall from standing backwards', 'one step fell back at his head', 'was on, he was one step up']</t>
  </si>
  <si>
    <t>['passenger in an automobile accident', 'head-on', 'require extrication', 'knocked out']</t>
  </si>
  <si>
    <t>['respirations are 18']</t>
  </si>
  <si>
    <t>['pedestrian struck by a car', 'found laying on the side of the road', 'walked approximately six miles', 'left with no shoes on', 'walked approximately six miles in the cold with no shoes on']</t>
  </si>
  <si>
    <t>['unbelted passenger of a two-car motor vehicle accident, T-bone', 'got the airbag', 'not belted', 'positive loss of consciousness', 'hematoma to the head', 'hematoma to her foot', 'obvious head injury there from not being belted', 'positive loss of consciousness']</t>
  </si>
  <si>
    <t>["We're bagging him with the eye gel. We're going for about 20 right now"]</t>
  </si>
  <si>
    <t>['four-year-old', 'Four', 'I have a six-year-old']</t>
  </si>
  <si>
    <t>['motor vehicle crash', 'not in a car seat', 'Driver side rear she was sitting in', 'opposite side that was hit', 'femur fracture', 'no car seat', 'Hit pretty good']</t>
  </si>
  <si>
    <t>['possible LOC', 'had some blurred vision']</t>
  </si>
  <si>
    <t>['hit by a vehicle while he was walking across the street', 'going approximately 30 to 35 miles per hour', 'Significant intrusion on the upper passenger side of the windshield, approximately 2 inches']</t>
  </si>
  <si>
    <t>['15-year-old male', '15', '15']</t>
  </si>
  <si>
    <t>['passing through in a side-by-side ATV when it flipped over', 'when he fell out of it, the ATV tipped over to roll bar, came down on his right leg', 'in ATV off rollover', 'side-by-side ATV']</t>
  </si>
  <si>
    <t>['she was unconscious for a period of time', "she didn't tell us her name or anything", 'she keeps repeating herself', "She's confused right now", "she couldn't even spell her name right"]</t>
  </si>
  <si>
    <t>['hit by a car', 'She was crossing the street when the car came', 'She hit the side of it', 'she rolled']</t>
  </si>
  <si>
    <t>['snoring pretty bad', 'desanding into the 80s', 'kind of grunting and stuff']</t>
  </si>
  <si>
    <t>['15, which is very agitated']</t>
  </si>
  <si>
    <t>['involved in an NDA on the 33', 'Significant MOI going about 65 miles an hour', 'The car was on fire', 'He was passenger']</t>
  </si>
  <si>
    <t>['gunshot victim', 'one to the upper left chest with what looks like an exit wound']</t>
  </si>
  <si>
    <t>["He's combative", 'Not really responsive very much', "screaming and doesn't listen to us at all", 'Occasionally', 'Yes, that he will do', "he's not, like, making any purposeful noises or anything"]</t>
  </si>
  <si>
    <t>['operator of a side-by-side, not restrained, no helmet, went off the road, rolled it over like four times', 'He and his two friends were both ultimately ejected', 'significant head injury']</t>
  </si>
  <si>
    <t>['heart rate of 85']</t>
  </si>
  <si>
    <t>['rest are at 31']</t>
  </si>
  <si>
    <t>["He's insane", "He doesn't remember what happened", "He's alert and rancid, but he doesn't seem kind of confused about what happened"]</t>
  </si>
  <si>
    <t>['He was crossing the street', 'He got struck by a truck going approximately 20 to 25 miles an hour']</t>
  </si>
  <si>
    <t>['complaining of a headache', 'left over pain']</t>
  </si>
  <si>
    <t>['reports positive LLC', "He can't really tell me everything that happened", "he's answering all my questions appropriately"]</t>
  </si>
  <si>
    <t>['riding his bicycle down the street and was struck by a vehicle going about 30, 35 miles per hour', 'some damage to his helmet']</t>
  </si>
  <si>
    <t>['the BMX bike accident', 'ATV accident']</t>
  </si>
  <si>
    <t>['Riding her bicycle, hit by a car', 'She was underneath the car', 'She was pinned between concrete and the bottom of the car']</t>
  </si>
  <si>
    <t>['single vehicle accident, MVC', 'vehicle collided with a stationary object, a tree', 'Estimated speed was about 55 miles an hour', 'The victim was self-extricated', "She's complaining of abdominal and back pain", 'some bruising along the abdomen, what we believe is the seat belt', 'regular lap-shoulder belt type', 'seat collar on her', 'airbag deployment, side curtain airbags, and front airbags']</t>
  </si>
  <si>
    <t>['She is awake and alert', 'awake and alert, answering all my questions appropriately']</t>
  </si>
  <si>
    <t>['a pulse of 94']</t>
  </si>
  <si>
    <t>['a pressure of 101 over 63']</t>
  </si>
  <si>
    <t>['no LOC', "didn't hit his head"]</t>
  </si>
  <si>
    <t>['fell from approximately 10 feet in height', 'doing the monkey bars']</t>
  </si>
  <si>
    <t>['pretty lethargic', 'not necessarily answering questions appropriately', 'lethargic', 'not really answering questions', "won't tell me what to eat", 'mumbling', 'confused']</t>
  </si>
  <si>
    <t>['blood pressure, cycling right now', 'His last one was 115 over 86']</t>
  </si>
  <si>
    <t>['thrown from an ATV', 'No helmet']</t>
  </si>
  <si>
    <t>["she's about three"]</t>
  </si>
  <si>
    <t>['the only response was a painful stimuli', 'She responds to pain', 'She starts screaming to painful stimuli', "She does open her eyes, but she won't give us any verbal response", 'she goes right back to sleep']</t>
  </si>
  <si>
    <t>['MVA', 'She was in a car seat', 'It was a T-bone collision', 'Impact was right behind her door', 'There was about a 12-inch intrusion', 'The car seat was intact', 'she was in the car seat in the car still', "she wasn't rejected or anything like that"]</t>
  </si>
  <si>
    <t>["she's also intoxicated", 'acting a little drunk', 'she can still answer questions correctly']</t>
  </si>
  <si>
    <t>['on the hood of a car partying', 'driver of the car had to brake', 'fell onto the street', 'right ankle got rolled over by one of the tires', 'abrasion to the right ankle and swelling']</t>
  </si>
  <si>
    <t>['Less pressure was 116 and 75']</t>
  </si>
  <si>
    <t>['riding a four-wheeler 40 to 50 miles an hour, did a sharp turn and got ejected off of the four-wheeler', 'got ejected off into the soft ground mud', 'was not wearing a helmet']</t>
  </si>
  <si>
    <t>['14-year-old male', 'minor']</t>
  </si>
  <si>
    <t>['TSW', 'Upper left shoulder', 'penetrating bullet inside']</t>
  </si>
  <si>
    <t>['oriented person place time', 'cannot remember the entire event']</t>
  </si>
  <si>
    <t>['in a go-kart type motor vehicle', 'hit by a pickup truck', '55-mile-an-hour road zone', 'significant damage to the go-kart']</t>
  </si>
  <si>
    <t>['fell off his bike that took a handlebar to the groin']</t>
  </si>
  <si>
    <t>["He's a little lethargic", 'Might have hit his head']</t>
  </si>
  <si>
    <t>['Was in a car with his dad. The car flipped over', 'They were going about 30 miles an hour']</t>
  </si>
  <si>
    <t>["It's about a 16"]</t>
  </si>
  <si>
    <t>['she was involved in an ATV accident', 'There was multiple patients', 'When we arrived on scene, she was already immobilized with a C-collar', 'She has a left wrist fracture', 'she has a left temple laceration', 'Was she wearing a helmet? No']</t>
  </si>
  <si>
    <t>["He's repeating a lot of the things that he's saying he is", 'Just a little bit of confusion', "Doesn't really remember much what happened", 'Otherwise, answering us normally']</t>
  </si>
  <si>
    <t>["heart rate, 100% on Lumare, 123 over 85 for a blood pressure, and 135 for a BG. She's got bilateral 18s, and I am on the way to you. You'll be there in approximately 7 to 10 minutes. Okay, thank you. Thank you. Yep, thanks. 118 for a heart rate"]</t>
  </si>
  <si>
    <t>['not really answering any of my questions', 'just kind of wakes up to yell']</t>
  </si>
  <si>
    <t>['Car accident', 'Head on', 'seat belted', '55-mile-per-hour road']</t>
  </si>
  <si>
    <t>['nine-month-old male', 'zero, nine-month-old', 'nine months']</t>
  </si>
  <si>
    <t>['very semi-unstable', 'very pale, almost like shocky pale']</t>
  </si>
  <si>
    <t>['Heart rate of 130, 130']</t>
  </si>
  <si>
    <t>['Heart rate of 86', 'heart rate is 80']</t>
  </si>
  <si>
    <t>['struck by a vehicle going about 30 miles an hour', 'he did go underneath the vehicle', 'ran out in front of it']</t>
  </si>
  <si>
    <t>['heart rate of 120', 'The heart rate is 132']</t>
  </si>
  <si>
    <t>['Respiratory rate? Respiratory is perfect. Respirations are normal, 80.']</t>
  </si>
  <si>
    <t>["he's kind of moaning over it"]</t>
  </si>
  <si>
    <t>['MVA, head injury', 'head wound bleeding out of the right ear']</t>
  </si>
  <si>
    <t>['respiratory rate? One minute. About 24', '24?']</t>
  </si>
  <si>
    <t>['pedestrian struck', 'on a bicycle crossing the street', 'A car driving at an unknown rate of speed struck him', 'reportedly backed over him']</t>
  </si>
  <si>
    <t>['finest rhythm at 88', 'finest rhythm at 90 on the monitor']</t>
  </si>
  <si>
    <t>['pressure is 60 over 43']</t>
  </si>
  <si>
    <t>['conscious and alert', 'Conscious, alert, and orientated', 'he was unresponsive and not breathing', 'he did become conscious again', "he's been conscious and alert since then", 'crying', 'makes eye contact', 'clearly very upset']</t>
  </si>
  <si>
    <t>['involved in an ATO rollover', 'involved in an AT rollover', 'ATV landed on him', 'underneath the ATV', 'ATV off of him', 'big hematoma on the forehead']</t>
  </si>
  <si>
    <t>['rollover accident', 'head injury', 'laceration']</t>
  </si>
  <si>
    <t>['hit by a Silverado truck', 'running across like on the street', 'rolled over her with his truck']</t>
  </si>
  <si>
    <t>['Got struck by a vehicle', 'Got positive bilateral femur fractures']</t>
  </si>
  <si>
    <t>['positive LOC', "he's just freaked out right now"]</t>
  </si>
  <si>
    <t>['unrestrained passenger of a vehicle', 'unrestrained and he did pass out']</t>
  </si>
  <si>
    <t>['respiratory effort is about 14']</t>
  </si>
  <si>
    <t>['alert and oriented', 'no loss of consciousness', 'no alteredness, no loss of consciousness']</t>
  </si>
  <si>
    <t>['went down into a 10-foot creek off his ATV', 'this all happened', "happened like around 12 o'clock", 'took forever for them to get him out of the ditch to extricate him']</t>
  </si>
  <si>
    <t>['Heart rate, 90', 'heart rate was again? Sorry, it cut out. 90']</t>
  </si>
  <si>
    <t>['fell off a bike', 'head trauma', 'laugh to his eyebrow', 'abrasion']</t>
  </si>
  <si>
    <t>['Alert and oriented', "he's been crying the whole time", 'he seems to be acting appropriately for his age']</t>
  </si>
  <si>
    <t>['motor vehicle accident', 'Airbags were deployed', 'bystander told police that they saw the baby laying in the street', 'unable to verify if the child was ejected or carried out and put on the street']</t>
  </si>
  <si>
    <t>["he's kind of lethargic at this time"]</t>
  </si>
  <si>
    <t>['struck by a vehicle while riding a bicycle', 'head injury', 'positive LOC', 'some minor controlled bleeding of the nose', 'road rash everywhere else', 'slightly bumped by the car and fell off his bike']</t>
  </si>
  <si>
    <t>['Blood pressure is 101 over 51', 'pressure for him? Like a blood pressure? Yeah. 101 over 51']</t>
  </si>
  <si>
    <t>['minimally responsive to pain', 'he kind of, like, bugs on me', "he doesn't, like, really react", 'I really got to, like, pinch down on his fingers', 'seems almost a little reflexatory to me']</t>
  </si>
  <si>
    <t>['one single puncture wound from a knife to the left chest', 'stabbed by an acquaintance', 'pocket knife', 'intentional by an acquaintance']</t>
  </si>
  <si>
    <t>["I'm attempting a blood pressure", 'I do need a blood pressure', "We're attempting it", "I'm having a difficult time getting a blood pressure", 'give her the blood pressure when you get it', "blood pressure's still there", "blood pressure. The rate of pressure is 90 over 60, let's say"]</t>
  </si>
  <si>
    <t>['Rate of 24', 'Currently breathing on his own']</t>
  </si>
  <si>
    <t>['run over by a garbage truck']</t>
  </si>
  <si>
    <t>['involved in an MBA with multiple cars', 'He was in the backseat passenger']</t>
  </si>
  <si>
    <t>['found in the basement', 'hanging on a piece of cord', 'Family thinks she was playing and fell', 'The little brother was down playing with her']</t>
  </si>
  <si>
    <t>['128 over 76', 'BP is 100 over 60', 'blood pressure is soft', "What's the stomach again? 128 over 76. 76."]</t>
  </si>
  <si>
    <t>["No, he's pretty with it.", 'just a little bit of confusion on some of the questions', 'he kind of remembers and answers correctly after a little bit', 'mainly just a little bit of confusion']</t>
  </si>
  <si>
    <t>['riding his bike along the side of the street when he was struck by a vehicle', 'bicycle versus car', 'He did fall off his bike', 'He hit his head']</t>
  </si>
  <si>
    <t>["She's with us. She's drowsable, feeling very white-headed, having some head and neck pain"]</t>
  </si>
  <si>
    <t>['motor vehicle accident on the thruway', 'was in the back passenger, did not appear to be belted']</t>
  </si>
  <si>
    <t>["doesn't remember entero and retrograde amnesia", 'a little delirious', "She's pretty out mentally", "She's very confused"]</t>
  </si>
  <si>
    <t>['respiration about 16']</t>
  </si>
  <si>
    <t>['out skiing at Holiday Valley', 'went over a jump, crashed, and injured her pelvis']</t>
  </si>
  <si>
    <t>['Possible loss of consciousness', "he's confused"]</t>
  </si>
  <si>
    <t>['riding a dirt bike and got struck by another dirt bike']</t>
  </si>
  <si>
    <t>['he is alert and oriented at this time', 'appeared to have a brief loss of consciousness', 'momentary loss of consciousness']</t>
  </si>
  <si>
    <t>['collision with another player', 'elbowed hard in the neck', 'goaltending in a soccer tournament']</t>
  </si>
  <si>
    <t>['post-traumatic arrest', 'she was in a car seat, got extricated, or was thrown from the car seat, was pinned in the car, and the fire department had to manually extricate her, but she was already in cardiac arrest at that point']</t>
  </si>
  <si>
    <t>['She was a 34-weeker', 'She weighs 3.2 kilos']</t>
  </si>
  <si>
    <t>['66 over 44 is blood pressure', '66 over 44?']</t>
  </si>
  <si>
    <t>['one-year-old male', 'one', 'Just a little over one', '11, 27, 20, 21 was the birth rate']</t>
  </si>
  <si>
    <t>['wake and alert', 'crying']</t>
  </si>
  <si>
    <t>['belted in a car seat', 'rear seat passenger of a car', 'rollover MDA', 'passenger side damage', 'taken out of the vehicle by a father']</t>
  </si>
  <si>
    <t>['wake-oriented']</t>
  </si>
  <si>
    <t>['head injury', 'large hematoma over her left eye', 'loss of consciousness', 'broken collarbone']</t>
  </si>
  <si>
    <t>['19-month-old female']</t>
  </si>
  <si>
    <t>['unrestrained in an Amish buggy that went off the road and rolled over', 'Mother landed on her', 'unrestrained, NBC, that rolled over', 'Amish buggy', 'the horse spoke, and they went off the road and rolled the buggy over', 'the mother did land on top of her']</t>
  </si>
  <si>
    <t>['unresponsive for about 20 to 30 seconds', 'once she came to, was acting for normal', 'starts mentating not normally']</t>
  </si>
  <si>
    <t>['involved in an 18-year-old over', 'it rolled', 'rolled on top of her', "wasn't on top of her very long", 'as soon as it rolled on top of her, it was more or less off her as it finished rolling']</t>
  </si>
  <si>
    <t>["She's alert and oriented times 3"]</t>
  </si>
  <si>
    <t>['hit by a car approximately 30 miles an hour', 'the car ran over both of her legs']</t>
  </si>
  <si>
    <t>['16-year-old male', '16 is kind of just on that borderline']</t>
  </si>
  <si>
    <t>['Blood pressure 136 over 83']</t>
  </si>
  <si>
    <t>['He remembers the whole accident and everything like that', 'No LLC, nothing']</t>
  </si>
  <si>
    <t>['involved in an ATV accident tonight']</t>
  </si>
  <si>
    <t>['altered mental', 'disconjugate gaze to the right', "she wasn't reacting towards pain", 'the slamming actually startled her', "the first real reaction I've had from her", 'she just started reacting a little bit now', 'she was stuttered by the noise', 'almost nothing', "hasn't really done any", "she's got tone", "she didn't flinch for either one of them"]</t>
  </si>
  <si>
    <t>['fall from unknown heights', 'fall from unknown height']</t>
  </si>
  <si>
    <t>['No loss of consciousness', 'he is verbal to a point', 'he was really kind of freaking out', "right now he's pretty mellow"]</t>
  </si>
  <si>
    <t>['fell out of the windows for a story, maybe 5, 6 feet', 'hit his head', 'fell kind of 5, 6 feet', 'hit, it was concrete', 'pushed on a back window and fell headfirst']</t>
  </si>
  <si>
    <t>["respiratory rate's about 13 right now with us bagging him"]</t>
  </si>
  <si>
    <t>['unresponsive for the ground crew that found him']</t>
  </si>
  <si>
    <t>['two-year-old female', 'a two-year-old']</t>
  </si>
  <si>
    <t>['involved in a rather serious MDA', 'a pickup truck in Swift Street', 'she was in the back seat', 'reportedly in the car seat', 'airbags went off', 'in the front passenger side']</t>
  </si>
  <si>
    <t>['hit by a vehicle', 'vehicle reportedly doing about 45, 50 miles an hour', "clipped him on the front driver's side", 'reported of airborne about three to four feet']</t>
  </si>
  <si>
    <t>['His rate is anywhere from 80 to 120']</t>
  </si>
  <si>
    <t>['His last pressure was 136 over 86']</t>
  </si>
  <si>
    <t>['intermittent periods of decreased responsiveness', 'he is oriented, but then he just kind of has a period of decreased consciousness again']</t>
  </si>
  <si>
    <t>['he was trying to climb up the tree', 'he fell backwards onto a cement paver']</t>
  </si>
  <si>
    <t>['4-year-old son', "he's four", "he's a tiny four"]</t>
  </si>
  <si>
    <t>['he got up and he was crying right away']</t>
  </si>
  <si>
    <t>['involved in an MVC car accident', 'significant front-end damage', 'foot and a half intrusion', 'wearing seatbelts', 'airbag deployment', 'T-boned somebody', 'front of the car', 'he was in the back seat', 'coming down Sheridan', '35, 40 miles per hour car', 'going through the intersection', '30, 35', '30-mile', 'seatbelt and all that']</t>
  </si>
  <si>
    <t>['Heart rate is about 100']</t>
  </si>
  <si>
    <t>['148 over 110']</t>
  </si>
  <si>
    <t>['the rest are 25']</t>
  </si>
  <si>
    <t>["she's conscious and alert and aware and all that"]</t>
  </si>
  <si>
    <t>['motor vehicle accident', 'involved in a motor vehicle accident', 'She was in the passenger side front with airbag deployment', 'they hit a tree']</t>
  </si>
  <si>
    <t>['four-month-old', 'four-month-old', 'baby']</t>
  </si>
  <si>
    <t>['Partly, like, 140s']</t>
  </si>
  <si>
    <t>['normal tensive']</t>
  </si>
  <si>
    <t>['awake and otherwise acting okay', "She's vigorous, moving all her extremities", 'Pupils are brisk to react to light']</t>
  </si>
  <si>
    <t>['attack by a dog', 'dog got out and was found on top of the baby', 'dog bites']</t>
  </si>
  <si>
    <t>['four-year-old male', '40 pounds, possibly']</t>
  </si>
  <si>
    <t>['heart rate 131 in regular']</t>
  </si>
  <si>
    <t>['Blood pressure 118 over 77']</t>
  </si>
  <si>
    <t>['Respirations about 18']</t>
  </si>
  <si>
    <t>["He's conscious, alert, and oriented"]</t>
  </si>
  <si>
    <t>['fell approximately 25 to 30 feet off a chairlift to the ground while skiing today']</t>
  </si>
  <si>
    <t>['15-year-old', "she's 15"]</t>
  </si>
  <si>
    <t>['118, sinus on the monitor']</t>
  </si>
  <si>
    <t>['BP 130 over 65']</t>
  </si>
  <si>
    <t>['No loss of consciousness', 'She did not lose consciousness']</t>
  </si>
  <si>
    <t>['snowmobile accident', 'snowmobile was going 45 to 55', 'hit a tree head-on', 'was thrown into the tree', 'snowmobiling with a group']</t>
  </si>
  <si>
    <t>['heart rate 75']</t>
  </si>
  <si>
    <t>['pressure is 105 over 63']</t>
  </si>
  <si>
    <t>["she's alert and oriented right now"]</t>
  </si>
  <si>
    <t>['sledding accident']</t>
  </si>
  <si>
    <t>['Heart rate is 95 in regular']</t>
  </si>
  <si>
    <t>['Blood pressure is 105 over 65', 'Her blood pressure is still pretty low']</t>
  </si>
  <si>
    <t>['Respiration is around 12, 12 to 14 in normal']</t>
  </si>
  <si>
    <t>["she's a little confused still", "Oh, she's a little confused"]</t>
  </si>
  <si>
    <t>['skiing on a very steep ski run and lost control and hit a tree head-on']</t>
  </si>
  <si>
    <t>['Blood pressure is 95 over 57']</t>
  </si>
  <si>
    <t>['respirations are about 20']</t>
  </si>
  <si>
    <t>['Positive loss of consciousness', "She's a little more oriented"]</t>
  </si>
  <si>
    <t>['struck by a car, probably 35 miles an hour or so']</t>
  </si>
  <si>
    <t>['heart rates 103', 'Heart rate is 103']</t>
  </si>
  <si>
    <t>['Vitals are 122 and 62']</t>
  </si>
  <si>
    <t>["He's conscious and alert, never lost consciousness", "He's very active"]</t>
  </si>
  <si>
    <t>['involved in a four-wheeler accident', 'four-wheeler rolled over on his leg']</t>
  </si>
  <si>
    <t>['89 beats a minute']</t>
  </si>
  <si>
    <t>['blood pressure is 139 over 77']</t>
  </si>
  <si>
    <t>['Breathing like 24']</t>
  </si>
  <si>
    <t>["she's not sure if she passed out"]</t>
  </si>
  <si>
    <t>['ATV rollover']</t>
  </si>
  <si>
    <t>['heart rate is 71', 'Heart rate is 71']</t>
  </si>
  <si>
    <t>['pressure of 120 over 59']</t>
  </si>
  <si>
    <t>['Respiratory rate is probably 14', '14']</t>
  </si>
  <si>
    <t>['super combative', 'in and out of consciousness', "she's fighting you", 'spontaneous movements', 'not reacting to pain', 'just kind of like flailing her arms and legs', 'nonverbal', 'eyes not open', 'not opening her eyes', 'not doing anything when you sternal rubber', 'just flailing', 'little motion of her hands', 'nothing noteworthy']</t>
  </si>
  <si>
    <t>['struck by a car', 'the car', 'How far is it going? 30 miles an hour', '30 miles an hour', "wearing a helmet that's relatively intact"]</t>
  </si>
  <si>
    <t>['7-year-old male']</t>
  </si>
  <si>
    <t>['126 for a heart rate']</t>
  </si>
  <si>
    <t>['138 on 76']</t>
  </si>
  <si>
    <t>['28']</t>
  </si>
  <si>
    <t>['The patient is confused', "He's been dazed and kind of asking a lot of the same questions", 'Person and time, but place and event, not so much']</t>
  </si>
  <si>
    <t>['struck by a motor vehicle', 'The vehicle was going roughly 40 miles an hour']</t>
  </si>
  <si>
    <t>['sinus pack at 128']</t>
  </si>
  <si>
    <t>['blood pressure of 76 over 45']</t>
  </si>
  <si>
    <t>['on the vent, 18 times a minute']</t>
  </si>
  <si>
    <t>['hit and run over by a truck', 'traumatic arrest on scene']</t>
  </si>
  <si>
    <t>['Current heart rate is 77']</t>
  </si>
  <si>
    <t>['What pressure is 150 or 71', '115 over 71']</t>
  </si>
  <si>
    <t>["She's been pretty sleepy the whole way", "she's been pretty sleepy the entire time", "She's been pretty drowsy the entire way up", "she hasn't"]</t>
  </si>
  <si>
    <t>['traumatic injury from an APB accident']</t>
  </si>
  <si>
    <t>['one-year-old', 'child']</t>
  </si>
  <si>
    <t>['heart rate 146']</t>
  </si>
  <si>
    <t>['unable to get a pressure']</t>
  </si>
  <si>
    <t>["Respiratory rate, I'm going to shoot in like, yeah, it's about 40, 40, 50"]</t>
  </si>
  <si>
    <t>["She's awake and alert", "She's active", "She's asking for mom", "She's able to give me everything", "She's alert"]</t>
  </si>
  <si>
    <t>['Multiple bite marks to the face from a large dog', 'severe lacerations on the entire right side of the cheek', 'lacerations in the interior of the mouth', 'severe laceration to the direct corner of the right eye']</t>
  </si>
  <si>
    <t>["Heart rate's 104"]</t>
  </si>
  <si>
    <t>['112 over 56']</t>
  </si>
  <si>
    <t>['resting comfortably']</t>
  </si>
  <si>
    <t>['ATV accident']</t>
  </si>
  <si>
    <t>['spark rate is 75']</t>
  </si>
  <si>
    <t>['137 over 99']</t>
  </si>
  <si>
    <t>["respiratory rate's a little elevated, 26"]</t>
  </si>
  <si>
    <t>['shot once in the right leg', 'just an entrance wound', 'Police placed a tourniquet']</t>
  </si>
  <si>
    <t>['four-year-old']</t>
  </si>
  <si>
    <t>['111 over 67']</t>
  </si>
  <si>
    <t>['struck by a car about 15-20 miles an hour']</t>
  </si>
  <si>
    <t>['18-year-old female', "She's 18 years old", 'at 18']</t>
  </si>
  <si>
    <t>['108 for pulse']</t>
  </si>
  <si>
    <t>['160 over 110']</t>
  </si>
  <si>
    <t>["she doesn't remember what happened, but right now she is alert and oriented times three"]</t>
  </si>
  <si>
    <t>['involved in one singular motorcycle accident, specifically a dirt bike, no helmet, about 30 miles an hour']</t>
  </si>
  <si>
    <t>['Heart rate, 119']</t>
  </si>
  <si>
    <t>['pressure was, I think, 118 over 73']</t>
  </si>
  <si>
    <t>['He was unconscious when the fire got here', "he's crying", "he's at least asked for his dad once", "hard to tell because he's crying", 'they heard him literally call for his dad', "he's kind of difficult to control again"]</t>
  </si>
  <si>
    <t>['trapped underneath a car for probably five to ten minutes', 'His left arm was definitely trapped under the car', 'His head, I guess, was at an odd angle at the time']</t>
  </si>
  <si>
    <t>['four-year-old patient', 'four']</t>
  </si>
  <si>
    <t>['sinus rhythm 146']</t>
  </si>
  <si>
    <t>['113 over 83']</t>
  </si>
  <si>
    <t>['She is alert and this time screaming, which is good.']</t>
  </si>
  <si>
    <t>['struck by a car', 'About 40. 40, okay.']</t>
  </si>
  <si>
    <t>['skull fracture', 'pneumocephaly']</t>
  </si>
  <si>
    <t>['heart rate is 82 right now']</t>
  </si>
  <si>
    <t>['blood pressure is 115 on 74']</t>
  </si>
  <si>
    <t>['alert and oriented times four', 'declined to alert and oriented times one', "He just keeps saying he's trying to sleep", "He's not really responding to me too much anymore"]</t>
  </si>
  <si>
    <t>['fell about 10, 15 feet from the very, very tippy-top of a playground set', 'lost his balance, slipped, fell backwards', 'fell, hit his head on the ground of the playground', 'Hit the left side of his face']</t>
  </si>
  <si>
    <t>['Twelve-year-old male']</t>
  </si>
  <si>
    <t>['pressure of 136 over 93', 'pressure of 136 over 94']</t>
  </si>
  <si>
    <t>['cyclist struck', "wasn't wearing a helmet", 'struck by a vehicle', 'Vehicle, sun to the ground, had to strike on concrete', 'Vehicle was reported to have ran over both of his legs']</t>
  </si>
  <si>
    <t>['16, 1-6-year-old male']</t>
  </si>
  <si>
    <t>['Heart rate 106']</t>
  </si>
  <si>
    <t>['pressures coming back 144 over 81']</t>
  </si>
  <si>
    <t>['18 respirations', 'respirations were 18']</t>
  </si>
  <si>
    <t>["Doesn't remember", 'Is he answering questions for you? Yes']</t>
  </si>
  <si>
    <t>['riding his bike across the street and was struck by a pickup truck going approximately 35 to 40 miles an hour', 'Has complaints of neck pain, right elbow pain', 'solid road rash', 'road rash down to the bone', 'road rash down to the bone where? On the right heel and ankle', 'Did he have a helmet on? He did not', 'Do you know if he hit his head?', "He says he doesn't remember", 'So are we saying presumed loss of consciousness then?', 'Any vomiting? No vomiting']</t>
  </si>
  <si>
    <t>['7-year-old', '7-year-old female', 'a 7-year-old', '7-year-old female', "She's seven"]</t>
  </si>
  <si>
    <t>['103 for heart rate', '103']</t>
  </si>
  <si>
    <t>['141 over 80', '141. 41 over 88']</t>
  </si>
  <si>
    <t>['respiratory? About 24', '24']</t>
  </si>
  <si>
    <t>['the child was under the sock']</t>
  </si>
  <si>
    <t>['fell approximately 15 feet out of a window after jumping off the couch', '15 feet out of a window', 'when they saw the child fall']</t>
  </si>
  <si>
    <t>['16-year-old', '15? 15']</t>
  </si>
  <si>
    <t>['118 sinus attack on the monitor']</t>
  </si>
  <si>
    <t>['136 over 54']</t>
  </si>
  <si>
    <t>['conscious, alert, and worried', 'did lose all consciousness for several minutes at least']</t>
  </si>
  <si>
    <t>['fell from a train trestle through it', 'fell 50 feet', 'onto a train track']</t>
  </si>
  <si>
    <t>['pulse is 93', 'Pulse is 93']</t>
  </si>
  <si>
    <t>['blood pressure is 122 over 64']</t>
  </si>
  <si>
    <t>['He says he remembers everything']</t>
  </si>
  <si>
    <t>['ATV accident', 'approximately 20 mile an hour']</t>
  </si>
  <si>
    <t>['15-year-old female', 'one five-year-old female']</t>
  </si>
  <si>
    <t>['Last pressure I got was...']</t>
  </si>
  <si>
    <t>['attacked by multiple dogs', 'multiple bite wounds', 'bites to the left leg, right arm, and the back']</t>
  </si>
  <si>
    <t>['interactive with kind of weak cries']</t>
  </si>
  <si>
    <t>["GCF's at 15", 'No loss of consciousness', 'alert 13 year old']</t>
  </si>
  <si>
    <t>['awfully quiet', 'knows her name', "knows she's in an ambulance"]</t>
  </si>
  <si>
    <t>['A&amp;L type 4']</t>
  </si>
  <si>
    <t>['awake', 'alert']</t>
  </si>
  <si>
    <t>['awaken alert', 'awaken alert']</t>
  </si>
  <si>
    <t>['CCS right now is 15']</t>
  </si>
  <si>
    <t>["GCS, let's call it 14, maybe 13", "he's kind of coming in and out of it a little bit"]</t>
  </si>
  <si>
    <t>['GCS is 15']</t>
  </si>
  <si>
    <t>['extended loss of consciousness', 'GCS of 13-1-3']</t>
  </si>
  <si>
    <t>['no loss of consciousness', 'alert and oriented', 'GCS? 15']</t>
  </si>
  <si>
    <t>['not really holding his own respiratory drive', 'kind of moaning']</t>
  </si>
  <si>
    <t>['lethargic', 'positive loss of consciousness', "doesn't know exactly what happened to her"]</t>
  </si>
  <si>
    <t>['UCS is about 9', 'UCS is 9']</t>
  </si>
  <si>
    <t>['GCS of 14', 'did lose consciousness', 'a little bit of confusion']</t>
  </si>
  <si>
    <t>['wake and alert GCS at 15 crying']</t>
  </si>
  <si>
    <t>["GCS, I'm going to give him about a 15 right now", 'alert and oriented', 'answering questions appropriately']</t>
  </si>
  <si>
    <t>['no loss of consciousness', 'immediately awake and crying', 'intermittent periods of decreased responsiveness', 'oriented', 'period of decreased consciousness', "GCS is right now, when he's awake, anywhere from 13 to 15", 'when he goes out, I would say maybe 11 or 12']</t>
  </si>
  <si>
    <t>['minimally responsive to pain', "doesn't, like, really react", 'reflexatory']</t>
  </si>
  <si>
    <t>['awake alert oriented']</t>
  </si>
  <si>
    <t>['alert', 'very lethargic', 'will wake up if you tactile stimulate him', 'cries a little bit', 'wants to go back to sleep', 'sluggish to respond']</t>
  </si>
  <si>
    <t>['kind of knocked out', 'A&amp;O times four', 'A&amp;O times three', "wasn't responding at all", 'spontaneous eye movement', "now he's talking with us"]</t>
  </si>
  <si>
    <t>['did not lose consciousness']</t>
  </si>
  <si>
    <t>['GCS of 15', 'A and O3']</t>
  </si>
  <si>
    <t>['able to open her eyes when kind of being assessed', 'crying, acting normal for her father', 'no LOC', 'not altered or appearing']</t>
  </si>
  <si>
    <t>['responsive to us']</t>
  </si>
  <si>
    <t>['alert and oriented', 'possible LOC', 'denying any head, neck, or back pain', 'he was up walking around', 'he answered all questions', 'retrograde amnesia']</t>
  </si>
  <si>
    <t>['No loss of consciousness', 'memory is a little groggy', 'He is ANO times 3']</t>
  </si>
  <si>
    <t>['alert', 'No LSC']</t>
  </si>
  <si>
    <t>['A and O', 'kind of lethargic']</t>
  </si>
  <si>
    <t>['awake, alert and oriented', 'did get knocked out', 'has no memory of it']</t>
  </si>
  <si>
    <t>['unresponsive', 'GCS of about four, five', 'unresponsive', 'pupils are fixated, non-reactive']</t>
  </si>
  <si>
    <t>['no LOC', 'definitely inappropriate']</t>
  </si>
  <si>
    <t>['No loss of consciousness', 'A and O times four', 'not talking with us now', 'following us around']</t>
  </si>
  <si>
    <t>['No loss of consciousness', 'complaining of just feeling out of it']</t>
  </si>
  <si>
    <t>['responsive to pain', 'alert as far as we can tell', 'No LOC as far as we know']</t>
  </si>
  <si>
    <t>['awake, alert and oriented', 'GCS 15']</t>
  </si>
  <si>
    <t>['GCS of 14', 'a little confused']</t>
  </si>
  <si>
    <t>['GF? 15', '15', 'loss of consciousness, anything? Nothing like that at all']</t>
  </si>
  <si>
    <t>['snoring pretty bad', 'desanding into the 80s', 'grunting']</t>
  </si>
  <si>
    <t>['not really responsive', 'combative', 'occasionally opening his eyes', 'drawing to pain', 'not making any purposeful noises']</t>
  </si>
  <si>
    <t>['very agitated and confused', 'not responsive', "didn't really follow command", "she wouldn't sit still"]</t>
  </si>
  <si>
    <t>['alert', 'confused about what happened']</t>
  </si>
  <si>
    <t>['intubated', 'agonal respirations', 'pupils were fixed and dilated', 'pupils are mildly reactive and beginning to constrict', 'GCS, I assume, was three when you arrived']</t>
  </si>
  <si>
    <t>['constantly alert to everything other than the actual event itself', 'thought he was sleeping in bed', 'GCS was 15']</t>
  </si>
  <si>
    <t>['lethargic', 'not necessarily answering questions appropriately', "we can wake him up and kind of acknowledge that we're here", 'not really answering questions', 'opens them to voice', 'mumbles', 'confused']</t>
  </si>
  <si>
    <t>['unresponsive', 'only response was a painful stimuli', 'responding to painful stimuli', 'responds to pain', 'opens eyes to pain', "won't give us any verbal response", 'just cries', 'goes right back to sleep']</t>
  </si>
  <si>
    <t>['Conscious alert oriented', 'denies any lost consciousness', 'GCS of 15', 'GCS 15', 'No head injury', 'no lost consciousness']</t>
  </si>
  <si>
    <t>['GCS probably about a, maybe a 6', 'not really answering any of my questions', 'just kind of wakes up to yell']</t>
  </si>
  <si>
    <t>["GCS now is, because of the Versed, is probably, I don't know, an 8", 'before her GCS, I would say would be probably about a 12', 'her GCS would be about a 9 or a 10 right now', 'agitated and confused', "crying right now, but she's not really responding"]</t>
  </si>
  <si>
    <t>['positive LOC', 'GCS is 15']</t>
  </si>
  <si>
    <t>['no loss of consciousness', 'alert and oriented', 'GCS of 15', 'no alteredness']</t>
  </si>
  <si>
    <t>['GCS is 14']</t>
  </si>
  <si>
    <t>['alert and oriented', 'acting appropriately for his age']</t>
  </si>
  <si>
    <t>['unresponsive', 'not 100% alert', 'some response']</t>
  </si>
  <si>
    <t>['GCS of 15', 'positive LOC directly after the hit', 'unable to walk']</t>
  </si>
  <si>
    <t>['unresponsive for about 20 to 30 seconds', 'acting for normal', "she's 15 for you guys"]</t>
  </si>
  <si>
    <t>['altered mental', 'disconjugate gaze to the right', "wasn't reacting towards pain", 'startled by the noise', 'eye-opening to voice', "didn't flinch", 'not moaning', 'GCS was', 'give her like an eight']</t>
  </si>
  <si>
    <t>['Patient is conscious right now', 'She has a 15', "He's conscious right now"]</t>
  </si>
  <si>
    <t>['positive LOC', 'GCF is 15']</t>
  </si>
  <si>
    <t>['no loss of consciousness', 'GCS of 15', 'conscious and alert and aware']</t>
  </si>
  <si>
    <t>['GCS 15', 'GCS 15', 'GCS 15']</t>
  </si>
  <si>
    <t>['GCS is 15', 'alert and oriented']</t>
  </si>
  <si>
    <t>['GCS is around 14', 'a little confused']</t>
  </si>
  <si>
    <t>['positive loss of consciousness', 'a little more oriented', 'GCS of 15']</t>
  </si>
  <si>
    <t>['conscious and alert', 'never lost consciousness', 'GCS is 15']</t>
  </si>
  <si>
    <t>['in and out of consciousness', 'GCS of 4', 'super combative', 'spontaneous movements', 'not reacting to pain', 'nonverbal', 'eyes not open', 'just flailing her arms and legs']</t>
  </si>
  <si>
    <t>['confused', 'GCPF 14', 'dazed', 'asking a lot of the same questions', 'spontaneous opening', 'oriented to person and time', 'not oriented to place and event', 'will he follow commands? Yes']</t>
  </si>
  <si>
    <t>['GCS 15', 'pretty sleepy', 'pretty drowsy']</t>
  </si>
  <si>
    <t>['awake and alert', 'alert']</t>
  </si>
  <si>
    <t>['GCS is a 1599', 'alert and oriented times three']</t>
  </si>
  <si>
    <t>['unconscious', 'crying', 'asked for his dad', 'screaming', 'GCS of 14']</t>
  </si>
  <si>
    <t>['alert', 'GCS? 15', '15']</t>
  </si>
  <si>
    <t>['positive LOC', 'alert and oriented times four', 'declined to alert and oriented times one', 'GCS is about 13 now', 'GCS 15', 'not really responding to me too much anymore']</t>
  </si>
  <si>
    <t>['GCF 15']</t>
  </si>
  <si>
    <t>["GCS? Unknown because we don't speak English well.", "we're going to go with a 15 for now"]</t>
  </si>
  <si>
    <t>['conscious, alert, and worried', 'did lose all consciousness for several minutes']</t>
  </si>
  <si>
    <t>Hello, CUH. Hi, UH. This is the Shaker Heights Fire Department. What you got? We're coming in with a 16-year-old male. He was a driver of a car at a high rate of speed, struck a pole. We have severe front-end damage to the automobile. We have airbag deployments. He was ambulatory and in police custody when we arrived on scene. He's still handcuffed at this time. Hospital stolen vehicle. He's [REDACTED]. Unknown loss of consciousness. But right now his [REDACTED]. He's only complaining of right knee discomfort. He's got some bleeding around his mouth. There was no pain or discomfort of his head, neck, and back. We have him immobilized with a cervical collar, position of comfort on the stretcher. Vital signs are all normal. I have a heart rate of 100, adding 98%. Normal respiratory rate and quality. Blood pressure was 128 over 70. Denying any significant medical history. Trauma exam. There's no significant findings other than the bleeding around the mouth and that right knee pain. Okay. Yeah, he's 16 years old. So do you want him adult? If there was no passenger intrusion, if he's going to be a rainbows and lemonades. Okay. All right. So there was no intrusion, right? There was no intrusion. Okay. But it's severe and at high rate of speed. Yeah, they'll make it a... Okay, they'll make it one. How far out? We're about 10 minutes. All right. Thank you. See you then. Thank you. Bye-bye.</t>
  </si>
  <si>
    <t>QH Danny. Hey, I'm 36. Hey. I have a 15-year-old female. She had a fall while playing basketball. Since the fall, she [REDACTED]. She'll, like, open and close her eyes and blink and, like, kind of, like, look at her and everything, but she [REDACTED] or saying anything. We do have her C-collar. Her vitals are 143 over 88, 18 respires, 97% on remanent, and a heart rate of 78. Well, did she fall and hit her head? Yeah, they said she fell and hit her head pretty hard on the floor. It's just like, you know, like a traditional wooden basketball floor. Yeah. What's her GCS for you guys? Well, she's [REDACTED], like, to a – you know, I got to look at the numbers here. I mean, I guess if I do it according to – I guess it will be a 10. How about a 10? Okay. Yeah. I mean, she's [REDACTED] to us at all. She's [REDACTED]. Okay. And then, like, she's, like, [REDACTED], and she's actually squeezing her hand and stuff. Did she have positive LOC, I'm assuming? Yeah, that's what they said pretty much. Yeah. Okay. All righty. How far are you out? Maybe, like, 10. 10. And you said how long ago was it that she had fell? They said – when we got there, they said, like, they were on the phone, so, like, for a while, so, like, 15 minutes, like, when we got there. Oh, okay. So probably, like, 5 o'clock or something like that, maybe? Yeah, yeah. Okay, gotcha. All right. Okay. We'll see you soon. All right. Okay, bye. Bye. Bye.</t>
  </si>
  <si>
    <t>He weighed... Hey, Cleveland Heights 241. Call for a patient report. What do you got? I got a one-year-old female. Parents said that the baby actually fell off the couch and bumped its head. We got to see if the baby was kind of [REDACTED], [REDACTED], severe [REDACTED]. Baby is [REDACTED]. Does have a bruise on her head. Right now, respirations are 30 respirations per minute. Heart rate is 149. Blood pressure is 141 over 86. We're assisting some ventilations because we kind of lose the tracks on the ventilations with her. Really? We're assisting her ventilations at this current time. We're going to try to start her in line here. So she's still [REDACTED] and out of it? Yeah, she's pretty [REDACTED]. Okay. Some kind of head trauma. Okay. How far out? Okay. Yeah. About five? Hello? Yeah. I'd say about five to seven minutes. All right. I'll let them know. Thank you. All right. Thank you. Thank you.</t>
  </si>
  <si>
    <t>Hi UH, this is University Hive Squad 1141. We are in route to your location with a 13 year old female that was struck by a vehicle. She got hit, significant damage to the front of the vehicle, flew over the vehicle probably a good 20 feet away from where she was struck. Currently only complaint of neck, back and hip pain. Does have some abrasions on her left side and chest. No other visible decay at BTOS. We do have an IV established. Vitals are blood pressure of 147 over 59. SpO2 is 98 on room wear with a heart rate of 82. ET at your facility is approximately 6 minutes. Okay, you said she's 13, correct? Correct. And do they, does the person know how fast they were going when they hit her? What was that? Do they know how fast they were going when they hit her? No. No, like I said, the patient flew about 20 feet and went over the vehicle. Okay, is she [REDACTED]? The road there is a 35. Oh, gotcha. Is she [REDACTED]? Yes. Okay. Yeah, [REDACTED]. She remembers everything. Okay. I said only complaint at this point is pain. Okay, she'll still be a trauma, so you guys go to the trauma room when she gets here. Copy. Alright, see you soon. Bye. Thank you.</t>
  </si>
  <si>
    <t>Hello, CUH. Hey, UH. It's Lee with the Medic 7. We have a 10-year-old female. She was unrestrained backseat passenger in a car versus whole MVA. Heavy front-end damage. She's got a lot of damage to her face and mouth. She is [REDACTED] talking. Now she's got pain on palpation all over her body. The vitals are stable. We have a heart rate of 112 sinus on the monitor. Blood pressure 130 over 76. 16 respirators, 98%. We have a 22 for access. We will probably be there in about five minutes. Do you have any questions? Do you know how fast? Not based on the damage. I'm estimating, you know, 40s, 50s. 40 to 50. Okay. Unrestrained backseat. [REDACTED]. Unknown. [REDACTED]. Facial, mouth, body pain. And currently AMO4. Okay. She'll be a trauma over there in a minute. All right. See you in a few. Bye. Thanks. Bye-bye.</t>
  </si>
  <si>
    <t>U.H. Hey, U.H., I got a trauma activation for rainbow babies and children. Go ahead. All right, we have an 8-year-old male involved in an MVC or pedestrian. He was playing kind of in the street and got hit by what appears to be the side of an SUV. It's unknown if he got run over or if he just hit the side of the car, but there is obvious deformity to the left leg and distal to the knee. Like the shinbone, he obviously is in pain. He is [REDACTED]. He's [REDACTED]. Right now we do have the legs pointed up. We attempted an IV, but he was fighting pretty good. Last set of vitals for us were 164 over 99 for a pressure, 99% on room air, heart rate of 114. We just let the scene. He should be there in about seven minutes. How long, sorry? About seven minutes. And what unit are you? University of the Ice, 11. 4-1. 11. Perfect. We'll see you in about seven. Okay. All right. Thank you.</t>
  </si>
  <si>
    <t>12. UH, this is Zach. Hey, this is Cleveland Heights Squad 241, patient report. Uh, trauma alert. We're coming to you with a 13-year-old shot in the right thigh, exit wound to the right groin. Um, right now his vital signs are all stable. BP 130 over 77. Uh, heart rate 100. Got a tourniquet applied. Bleeding controlled. 18 in the left AC and we get him 25. Micrograms fentanyl for pain management. Um, patient is [REDACTED]. Should be your facility at say two to three minutes. Any questions or? You said he's 13 years old? 13 years old. All right. We'll see you soon. Thank you.</t>
  </si>
  <si>
    <t>Hey Danny, it's 41 with two PEDS traumas. Alright, gotcha. Okay, so we got a one-year-old and a two-year-old female approximately. They were involved in an MVA, major driver's side damage. The one-year-old was properly restrained in the car seat on the passenger side, probably eight inches of intrusion in the front airbag deployment. The two-year-old was properly restrained in a booster seat in the driver's side rear, however was displaced laterally into the cabin. Lack to the left side of the forehead. They're both [REDACTED]. The two-year-old's heart rate is 100 right now, pressure is 120 over 80, 98% room air. No other like palpable injuries or fractures or anything like that. Okay, gotcha. So both vitals were pretty much stable besides the weak cries? Yeah. Okay. How far are you out? Right five minutes. All right, see you, bye. Okay.</t>
  </si>
  <si>
    <t>Hello, this is UH. Hi, UH, this is UB What you got? We're bringing you a 15-year-old male. He has two gunshot wounds to both femurs. It looks like both femurs are fractured. Bleeding is controlled at this time. We have one leg splinted. We have one 18-gauge IV in the left AC. He is [REDACTED] breathing with us. He's cool, clammy to the touch. We got him on oxygen. He does have a radial pulse of at least 90 spallet. We still haven't gotten a pressure yet. But he's got a strong radial pulse. How far out? About 8 minutes, 8 to 10 minutes. So one in each femur both appear fractured. Any tourniquets or anything? No tourniquets. Bleeding is controlled at this time. Alright, we'll see you in 8. Alright, bye. Thank you.</t>
  </si>
  <si>
    <t>University. Hey, this is Shaker Heights 245. We are in route to you guys with a three-year-old male, pediatric three, coming from home. She's complained of fell out of a second story window about 12 to 15 feet in height. I'm calling her coach trauma on this due to mechanism of injury. Uh, he's [REDACTED] right now. He has a 15. Uh, we have him, uh, on a backboard and C-spine, uh, no deformities noted. Uh, he had a small abrasion on his left elbow. Pupils of pearl, um, uh, no retraction to pain other than on his head. He's, uh, complaining of pain, uh, from the fall on his head. Uh, [REDACTED]. Vitals are as follows. Um, heart rate about 118. Uh, SBO2 is 98% breathing 22 times a minute. Um, blood pressure. What was that blood pressure? Hey, what was that blood pressure? 160 over a hundred for BP. Uh, we'll be to you guys in about, uh, 10 minutes. All right. We'll see you guys in 10. All right. Thanks. Thanks.</t>
  </si>
  <si>
    <t>uh hey uh cleveland 17 we got a 12 year old male pedestrian struck uh witness they went 10 to 15 feet at about 40 miles an hour the blow was strong enough it knocked him out of his boots he does not recall the collision but he is currently [REDACTED] and is not complaining of any pain um he has some uh bleeding to his nose as well as abrasions on his back uh he's boarded collared vitals showing like this i'm looking at 130 sinus for upholstery 106 over 62 for a pressure 98 and that is room air um we are starting a line as we speak and we are coming to rainbows we'll be there probably about six minutes all right any lost conscience that we know uh he didn't he doesn't remember the events okay amnesia okay thank you all right thank you</t>
  </si>
  <si>
    <t>What year were I? U.H. Hey, U.H., Cleveland Medical Center Report. Got a two-year-old female. She was actually shot in her left foot. We're not unsure if it was through and through. It was already wrapped in gauze before we got there. She is [REDACTED]. No active bleeding right now. Pressure is 113 over 77. She is signed up on the monitor at a rate of about 112. Respirations are 28. Lungs are clear bilateral. Boom stat is at about 100%. We'll be at your doorsteps in about five to six minutes. Okay. Sounds good. I'll let him know. Thanks. All right. Thanks. Bye.</t>
  </si>
  <si>
    <t>UH. UH, this is Youthwood medic 43, as they should care for. What you got? Coming in with a pediatric trauma, 14 year old female, anal times four, [REDACTED]. She got stabbed in the head with a screwdriver, sounds like it was a flathead screwdriver. Unknown how deep it went in, but probably about 2-3 millimeters in diameter in the front left, low of her head. Heart rate is 116, 99% on room air, blood pressure is 138 over 68, 18 gauge in the left AC, and will be there in about 10 minutes or so. Okay, that's the only wound, right? Yeah, she only had one. You said what part of the head? Front left lobe. Front left, okay, thank you. Unknown how deep. Okay, bye.</t>
  </si>
  <si>
    <t>UH. Hey, UH, this is Seth, you get 341 with patient report. This is going to go to pediatrics. Pediatrics? Yep. Go ahead. This is going to be a trauma [REDACTED] for a fall, possibly from the second floor of a house, possibly onto the ground, hitting some boxes on the way down. A neighbor found him sitting up in an [REDACTED] and was crying in the driveway, [REDACTED]ed the mother. When we got there, he was crying in her arms but was consolable. He is [REDACTED] and tired right now. Vital signs are as follows, BP of 114 over 72, 90 on the pulse. He was 96% on room air. He [REDACTED] or anything like that, and he [REDACTED], then wants us to go down and go back to sleep. Pupils are [REDACTED]. No visible outer injuries that we can tell, even when patients are in the room, and we can't see them. If you're picking him up and palpating anything on him, like I said, he just cries when you wake him up, and he goes right back to sleep. Be at you guys in about two minutes. Two minutes? Yep. Got you. Thank you.</t>
  </si>
  <si>
    <t>New Age. New Age, 242. We're coming with a 16-year-old male. He was at the park going down a hill to follow his scooter. Pumped his head pretty good, has a pretty good golf ball bump above his right eye. He was [REDACTED] when we were there. Doesn't remember the accident. Is coming to now. Is [REDACTED], [REDACTED]. He doesn't remember the incident. Vitals are all stable and we should be there in about three to four minutes. You said he fell, lost consciousness? Off a scooter and bumps his head on some concrete. Like what kind of scooter? Like a Razor scooter, like a non-electric, non-motorized scooter. It was a pretty steep hill, so we're guessing it was a pretty good rate of speed that he fell at. It was unwitnessed. Okay. He was out of control. He [REDACTED] when you got to him. Yeah, he [REDACTED] when we were there. Just kind of [REDACTED]. And [REDACTED], just does not remember the incident, but remembers that he was going to the park and all that, but doesn't remember the incident. He does keep repeating himself as well. 16-year-old, right? Yep. All right, thanks. Yep.</t>
  </si>
  <si>
    <t>Hello? Can you hear me? Yeah, go ahead. Two male, unrestrained passenger of the NBA, 8-0-4, does have crush injuries, yeah, crush injuries to both of his legs, his left leg. You said how old is he? Approximately two. Approximately two, okay. Crush injuries to legs, okay. He was pinned for an elongated period of time. Vitals are as follows, pressures 100 over 62, heart rate 108, rest force 30, 100 center of the air, [REDACTED]. All right, how far? Well, a couple minutes. All right, see you, bye. Yeah, bye.</t>
  </si>
  <si>
    <t>UH. Hi, this is Cleveland 31. Hey, do you have the GSW? Yeah, 15 year old male, GSW 15. Okay. Vital 140 over 82, heart rate 90, shot in the neck, no exit wound. He was walking. They walked him to the police station. Um, he, as of this time, he, he, all, um, MSPs are intact. Uh, no, no shortness of breath, [REDACTED]. No airway compromise at all. No airway compromise. Uh, we're like, I don't know, six, seven minutes away. All right. We'll see when you're here.</t>
  </si>
  <si>
    <t>U.H. This is Euclid 43. What you got? It is. Bringing in another one from that accident. Okay. 17-year-old male. Uh-huh. Sitting in the front passenger seat. Complaining of right wrist pain. No obvious deformity. And left lower calf pain. No obvious deformity down there. All MSPs intact. Says he [REDACTED]. Doesn't remember if he hit his head or not. Airbag deployment. BP 128 over 64. SpO2 99% on room air. 87 heart rate. Sinus rhythm. 18 left AC. All right. Five. What's that? Five minutes out. We're looking at about eight minutes. All right. Well, since we made the female a limited, we're going to probably have to make him an unlimited. Okay. So he'll stay on the adult side. Okay? Okay. Sounds good. Thanks. Hey, uh...</t>
  </si>
  <si>
    <t>Hello, SUH. Yeah, this is Whitworth Squad of 1532. I'm looking for Rainbows. Okay, what you got, Whitworth? We're going to come to your facility with a 12-year-old male. He's riding his bike across the street. He got hit on the right side of a car. He was thrown from his bike. He [REDACTED]. The car is doing about 35 miles an hour. He is 8.04 right now. We do have him in a C-collar. He's on a reef stretcher. He's got about a two-inch laceration to the back of his head. Bleeding is controlled. He looks like a broken nose and just a few creasing on the left leg. I have vitals, blood pressure 135 over 86. Heart rate is 107. Rest area is 18. 99% are remaining. We tried two IV attempts. We were unsuccessful. We do have mom with us in the squad. We're going to have an ETA of about probably 10 to 12 years. Okay. Just the left leg you said was just bruised? Yeah, just bruised on the left side. Okay. We'll see you at 12. I'll let Rainbows know. It'll probably be a limited trauma there. Okay. All right. Thank you. Bye.</t>
  </si>
  <si>
    <t>New ATR. New ATR, how we doing? Cleveland 21 here. Go ahead, 21. Alright, we're coming at you with a three-bagger. We have an MVA car versus telephone pole, major damage to the front. Three patients, 53-year-old female driver and two minor 10-year-old male and a 4-year-old male. 10-year-old male is complaining of right knee pain. The 53-year-old female has got head and also knee pain. A couple of abrasions. The 4-year-old is the one we're concerned the most about. He's got kind of [REDACTED], distended abdomen a little bit. Everybody's got stable vitals all the way around. Trying for an IV on the 4-year-old right now. Everybody was self-executed on scene. No LLC or blood thinners or anything. So, were they going really fast when they hit this pole? Was there any intrusion or any other reason to activate a trauma? Because I'm not hearing one from you. Okay, man. It's got some pretty bad intrusion to the front. Very major damage. Okay, I wasn't picking that up. So, I guess I'll page out a limited trauma on the 53-year-old with the head injury? Yeah. The 4-year-old is the one I'm concerned the most about. I'll call pediatrics and talk to them. Okay. Alright, thanks.</t>
  </si>
  <si>
    <t>UAPS, this is Zach. Hey Zach, what information you got on this trauma? What is what? The pediatric trauma. Oh, what was the question? What information you got on it? I don't know nothing. Okay, 13 male, ATV rollover, or UTV, one of those. Okay. The scene plate coming from Geauga County. He was unrestrained and landed on his head. [REDACTED], no noted deformities or other injuries. Reports bilateral head pain, no other complaints. [REDACTED]. I got vitals if you want. No, I don't need all that, but you know over here they don't tell us anything. Yeah, they're fine. How y'all do? Be like, oh it's a trauma, we don't be knowing, we just be saying, huh? They be in there working on the trauma, we didn't even know it was here. I mean, he's chilling. Oh, he's chilling? He's really only a trauma because he's flying in. Oh, okay. So he, it's a transfer. No, it's not. It happened over there in Geauga. So I mean, it's a transfer. Yeah, he, like he himself being an [REDACTED] should be able to tell you his information. I don't know if there's like a guardian coming with him or not. Uh huh. Because, you know. Alrighty. I don't know if they can like wedge him in the helicopter or not. Alright. So they might be driving up later. Driving up later. Okay. As far as consent, I'm not sure where you're stuck there. Alright. Well, I appreciate it. Thank you. If anyone else has questions, just don't call me. Alrighty. Bye. Bye. Bye.</t>
  </si>
  <si>
    <t>You guys hold on a second. You hold on a second. Hello. Why is that still on there? Hello. Hi. Hey, Physicians Medicaid bringing you a patient from City View. Okay, can you hold on just a minute? Yeah, no problem. Cool. Hello. Hello. Your answer is Zach. Hey, Zach. I'm from P.E.T.D. Just ahead, the Bedford Dispatch and Police called us, said they had a pretty bad accident out there. Three adults and two kids. So I just wanted to let you know. They don't know anything else yet. All right. Thank you for that. Thanks. Bye. Bye. All right. Sorry about that. What's going on? We got a 68-year-old male. He's coming to you guys. He was seen at Maine on the 27th for an MVA. He was in a wheelchair and got hit by a car. Okay. They did x-rays but no CT. And the last couple days he's been complaining of a headache. So they just want him to come back for a CT. He had no injuries from the accident that they know of. He's not on any thinners. He's [REDACTED]. Vitals are all stable. All right. Where is he coming from? City View. Okay. What's your ETA? Eight minutes. All right. We'll see you soon. All right. Thanks. Bye.</t>
  </si>
  <si>
    <t>UHD? Hey, it's East Cleveland Squad 145. What's up? We're inbound with a minor. He's autistic and [REDACTED]. He jumped off the third floor of a house. He's [REDACTED]. You know, ABCs are intact and everything like that, no bleeding. There's a possibility he has a broken leg. He's not sitting still for us to do anything with him. No vitals, no, yeah. How old is he? 13. He's 13. Okay. He's autistic and [REDACTED]. 13-year-old male, so basically a fall from three stories? Yeah. That's got to be a full trauma. Yeah, but he's [REDACTED]. Like, what? When we put him on the cot, he, like, threw himself off. All right. So no vitals or anything like that? No, he won't sit still for anything. He's fighting us. All righty. All right. Yeah, we'll be there in five. Five minutes, okay. Yep. Bye. Bye.</t>
  </si>
  <si>
    <t>Hello, UH. UH Maple Heights Squad 2. We're going to be bringing you a pediatric trauma, five-year-old male involved in a motor vehicle accident with multiple ejections. He was unrestrained and ejected. We see obvious head injuries right now. He's got some swelling to the back of his head. He's [REDACTED], [REDACTED]. We got a pulse ox 97%. Heart rate's 114. BP was 86 over 40. We do have an IV, 20 gauge in his right AC. We do not have any parents coming with us because they were all ejected and being transported by multiple agencies. All right. How far away? We're going to be about 10 minutes out here. Thank you. See you. All right. Thank you. Bye.</t>
  </si>
  <si>
    <t>UH. UH, this is Willoughby Hills 1212 with a pediatric trauma. Go ahead. I got a 7 month old coming in, fall from approximately 4 feet high off the countertop. Head first onto a tile floor. Has a fairly decent hematoma to the left side of the forehead. Is [REDACTED] like tickling the feet and stuff like that. But [REDACTED]. Heart rate 130, pulse ox 98, cap refills good, mom's riding back with us, nice to meet you in like 10. Alright, we'll see you guys when you get here. Okay, thanks. Bye. Bye.</t>
  </si>
  <si>
    <t>UH, Danny. Hey, UH, for the Medic 40. 14-year-old male, stab wounds to the right forearm. That's the only one that really looks significant. She has another one to her left upper shoulder. That looks pretty superficial in her right leg. [REDACTED], [REDACTED], 114, 72, 118, sinus attack on the monitor, clear lungs, 18, 100%. Is there any tourniquets or anything like that? No, no, there's no active bleeding. They're pretty superficial. And what about the leg one? Is it like upper leg? That's not even, it's right upper leg. It's the upper leg? Right upper leg, it almost looks, that one's really superficial. That one looks like a scratch. The right forearm's more significant, and then the left upper shoulder looks pretty superficial, but there is a puncture. Okay, and you said he's 14, correct? Correct. All right, how far are you out? About seven, eight minutes. All right, see you soon, bye. Yep, bye.</t>
  </si>
  <si>
    <t>UH. Hi UH, this is Eastlake squad 1712 on a pediatric co-trauma. Go ahead. We are training around two guys with a two-year-old female. She's come from home. Parents are with us. Parents state that she kind of ran out into the street and a car was driving by, driving about 25 miles an hour, struck the infant. She did come to a stop, so we would say it was probably about 25 miles an hour when she got hit. She is currently fully immobilized on a pediatric backboard. She is [REDACTED]. Upon assessment, we did find a cut over her right eye, causing some right eye swelling. She is [REDACTED]. Everything else in the primary showed no remarkable findings, neck is stable, equal chest, right eye, and left eye. Her eyes are full, lung sounds are clear and equal bilaterally, nothing on her back, and has an extension to her extremities. Initial set of vitals, blood pressure was 117 over 76, pulse was 120, respires was 22, and she was 100 cent room air. Second set of vitals, blood pressure was 99 over 56, pulse was 119, respires 32, and again 100 cent room air. Any comments? No. Any LOC upon contact with the car? Not that Dad said. I think as soon as she got hit, she just immediately started crying. Okay, so [REDACTED]. And she's [REDACTED]? No, Dad's saying everything's all normal for her. Pupils are equal. Okay. How far out are you? I'd say we're probably close to 15 to 20. Okay. And I'll call you back if there's any changes. All right, we'll see. You said two-year-old, right? Zero two? Two-year-old, right. Okay. Zero two. Thank you. Email. Bye. Yep. Peace, like, copies. Bye.</t>
  </si>
  <si>
    <t>Okay. She's Cleveland Medical. Hey, what's going on? We're going to be coming to you with a pediatric patient. She is nine years old and she was electrocuted by a high tension power line. She is [REDACTED] at this time, has no visible burns or injuries that we can see, no points of injury. We're ready to take. Mom is with us right now. Heart rate is 118. It does appear sinus on the monitor. Pressure is 133 over 79. Respirator is over 29. And she's 100% on room air right now. What was she electrocuted by? A high tension tri-power line from a telephone pole. Oh, Jesus. And you said there's no marks or? Not that we saw, no. We looked at her hands and feet. She's been complaining of pain in her hands, legs, and feet. Mom described her as she was completely lost. So it appears that she got fully electrocuted. Okay. How far are you out? We're probably about five minutes out. All right. See you. Bye. Thanks. Bye.</t>
  </si>
  <si>
    <t>I was told you age. We've been in medic 36 or not with a 16 year old male. Unknown. If he was restrained, uh, and a high velocity NBA, the other occupant was an arrest. Complaining of shortness of breath and back pain. His last pressure is one Oh four over 68. Sorry. It's 85 sinus, uh, 99% of an average breather. Uh, he's [REDACTED] right now. Just [REDACTED] for us. And, uh, it's about five minutes. So, all right, we'll see you guys when you get here.</t>
  </si>
  <si>
    <t>This is UH. Hey UH, it's Garfield Light Squad 1. What do you got? We got a four year old male, we're going to activate a trauma team. He was hit by a car. He's currently [REDACTED]. We got a pulse rate of 180 sinus tach on the monitor. Last pressure was 70 over 46. We got an IO established in his right tibial tuberosity. Flowing a fluid balance. Last SBO was 98. We got a non-rebreather on him at 15 liters. Okay, what kind of injuries? Looks like nothing trauma wise, nothing looks broke. Just looks like abrasions to his face and shoulder. Abrasions to his face and shoulder. Any LOC? Not that we know, he kind of just loaded and went. Okay. So we now fast approximately? I don't even know that man. Okay, that's fine. How far? We'll be there in approximately, I don't know, 12. Okay, I'll let him know. Thank you. Alright, thanks. Bye.</t>
  </si>
  <si>
    <t>Hello, UH. Hey, Cleveland 30. What do you got? Bringing you a 10-year-old female who was struck by an auto. She is [REDACTED] with a [REDACTED]. Only injury we can see is a possible right knee dislocation. Vitals are 140 over 80, heart rate 92, respires 22, 98%. Mom is with us. She has 50 likes of fentanyl or is O-fran on board. And we are five minutes out. All right. Any LOC? No. What's that? Not to you. Sorry. No LOC, you said? Nope. Okay. And will you know how fast this car was going? Probably 30, 35. 30, 35. Okay. How far? Five? Yep. Thank you. Bye. Bye.</t>
  </si>
  <si>
    <t>UH. Hey, it's Cleveland Medical 11. We got a 15-year-old male dirt bike accident. He was the driver of the dirt bike and was involved in an accident. Possible LOC. He's [REDACTED] right now. We got vital signs 132 over 74, heart rate 100, sinus attack monitor 97%. He has a few superficial injuries. He was up walking around when we got on scene, [REDACTED] at this time. No crepus or deformity anywhere that we could see on assessment. Peter Vasili, about five, six minutes. Okay. And you said no helmet, [REDACTED]. Was he on the road? He was on a side street, but he crashed. It's possibly like he might have swerved to avoid a car and hit a telephone pole and flew off the bike. He says he doesn't remember. He doesn't remember much of anything that happened, but was not wearing a helmet. Don't see any kind of, again, no visible injuries. We got him in a collar right now just for precaution. Gotcha. Yeah, no visible injuries. And when we got there, he was already up and walking around. Okay. And totally 804 right now for you. Yeah, [REDACTED] just kind of, I guess you could say like [REDACTED] where he's not remembering the incident. Yeah. Okay. All right. About how long, Chris? About five or six. Got an opportunity quarter from 79th. Okay. All right. Sounds good. We'll see you shortly. All right. Bye-bye. Bye-bye. Bye-bye. Bye-bye. Bye-bye.</t>
  </si>
  <si>
    <t>UITD. Oh yes, this is University Heights Squad 1141 ready to give report. Go ahead. And we're out to your facility with an 18-year-old male, [REDACTED]. He was involved in a rollover accident. He's unsure if he wore a seatbelt. He's also unsure what position in the seat, he knows that he wasn't driving, but he's not sure where in the car he was sitting. Not too much recollection of the incident actually occurring. Car was found on its side. Only complaint pain-wise is right shoulder pain. He's currently in handcuffs as of right now. We threw a seat collar on him just because of mechanism of injury. Vitals are stable, heart rate 120, SVO 2, 98 room, BP 120 over 72. We tried for an 18 gauge, but with him having the handcuffs kind of behind him, it was kind of hard. Who's Cleveland Heights 2? You said Cleveland Heights? University Heights. University Heights. University Heights. Which ETA? I believe that ETA about 6. I believe that car contained 4 people total. Yeah. Okay. Okay. All right, thanks. Yes. All right, thanks. Bye. Bye.</t>
  </si>
  <si>
    <t>UATD. Hey UH, this is Shaker Heights 245. We're going to you guys with a pediatric patient. Was involved in a high speed MVA rollover accident. He's [REDACTED] right now. How does this child? Fifteen. Fifteen, male? Yes. Stolen vehicle. They, yes. He was a driver. Negative. He states he's not the driver, but he's vitals are as follows. Hello? Going in and out. I didn't hear nothing you said because the phone went out. So vitals. Heart rate 91. Blood pressure 1 over 42. 99% on repair. Respirators 16. Our lifestyle. This is a horrible connection. I can barely hear anything. Any of it. We'll see when you get there then.</t>
  </si>
  <si>
    <t>UH Maine. Hey, this is Hornsville High Fire Department Squad 1. We are going to be bringing in a trauma. A 15-year-old male was riding a motorbike, ran into a pole going about 25-30 miles per hour. When he made contact with the pole, his head basically made contact with the pole, come into a sit still and fell off the bike from there. He's got like two-inch cuts on his forehead with some swelling. Bleeding is controlled. He also has a small cut on his right eye. Hard to see out of it, but you can still see. He's also got a cut on his left calf as well, lower calf there. He's also got some bruising on the right side of his ribs. [REDACTED] stated by him, but his [REDACTED] about the incident. No shortness of breath, just the biggest main complaint is dizziness and headaches. Set of vitals here for you. Blood pressure 150. Heart rate 103. Debt at 96%. Respirations 15. [REDACTED]. We have an ETA of about 10 minutes. We got him pre-collared with IV access as well. Okay, we'll see you then. Okay, thanks. Thanks, bye.</t>
  </si>
  <si>
    <t>UH. UH, this is Painesville Township Squad 2722 Paramedic 270. How do you copy? Good, good. 11-year-old female, [REDACTED] on our cot. She was involved in a motor vehicle accident. Trauma to the driver. She was in the rear, she was in the rear middle seat belted. She's complaining of abdominal pain, severe abdominal pain. She does have seat belt marks. She's also complaining of some lower back pain. We have her mobilized with a C-collar sitting on our cot. BP 105 over 57. Pulse ox 96 percent. Heart rate of 103. Okay. Okay. Any LSC? No. She was ambulatory on our arrival. Okay. How fast was the vehicle? Unsure. The vehicle hit a tree. Tree. I know the speed limit on the road is 50 or 55 miles an hour. Okay. All right. And like I said, the driver is severe trauma. Okay. How far out? We're about 25 to 30. Okay. I'll let Rainbows know. I don't know when he pays you after that level of trauma. Thank you. All righty. Bye-bye. All right. Bye-bye. Bye-bye. Bye-bye. Bye-bye. Bye-bye.</t>
  </si>
  <si>
    <t>It's medic one. I have a pizza trauma for you. It was going to be an 11 year old female. She was unrestrained front seat passenger and MVC. She flew into the dashboard, hit her face on the dash. Unknown LLC. She is [REDACTED] currently for us. She was ambulatory on the scene when we arrived. Blood pressure 132 over 82. Heart rate is 136. 97% room air. Lungs down is clear and equal all fields. They have about an eight minute ETA. Mom is also going to sign in to be seen. She's unrestrained front seat driver. She's complaining of right knee pain. Wake alert and ambulatory. Do you know how fast the car was going? Unknown speed. Unknown speed. Okay. Were they like driving and then just rear ended something? Yeah. Did they get hit? Yeah, correct. You got it. Okay. Sorry. I thought I said it. That's okay. What were those vitals again on the kid? 132 over 82. Heart rate of 136. 96% on room air. And 22 respurs. All right. And then? . . . . . Are you okay? Yes, I'm okay. I'm interested. Can you describe what caused this condition? What caused this? I mean, I couldn't speak. . Did it hit her head? . Any kind of trauma?次 jurisdrag sü Monroe-Kid, Now she's got a small lip When ru aquirest aí hixedpisumio su 업 diferente hurtul allergyilled, seen gestat Carmen's Lipprogram was temporarily stopped. We're right next door. Okay. Say we'll see you in eight. Bye bye 3 . . 5 . . . . . . . . . . . . . . . . . . .</t>
  </si>
  <si>
    <t>Hey UH, this is Brecksville 3041. Go ahead. We are bringing you a 17-month-old female. She's [REDACTED]. She fell off the couch and hit her head. We're not sure if she hit her head on the carpet or on the hardwood floor. Our squad was there previous to this by about 15, 20 minutes. Then she started vomiting once we got there. Mom said about eight times, and then she became [REDACTED]. Other than that, she's resting comfortably. No meds, no history, no allergies. Pulse ox was 98%. Respirators are 24. Heart rate is 120. Like I said, she's resting comfortably. No obvious signs of anything. You said she was 17, 17 for PEDS? Yes, months, M-O-N-S. Oh, months. I'm sorry, bro. All right, 17-month fall. She's vomiting for you, or did vomit for you. How far did she fall, brother? About a foot, a foot and a half. Okay. And what's your squad again? Brecksville 3041. Brecksville. All right, brother, man. She fell about a foot. She's vomiting for you now. Is she acting age-appropriate for you? Yeah, she's resting right now. She's got her [REDACTED]. But mom said, she's a little [REDACTED] and [REDACTED]. Okay. More than normal. All right, brother. Let me call our PEDS department and see if they may want to make her a trauma or not because of the vomiting and stuff and [REDACTED]. Yeah. All right, brother, man. What's your ETA? About five minutes. All right, my man. See you in a bit. Thanks. Bye.</t>
  </si>
  <si>
    <t>Hey, UH. Hey, UH. This is Shaker246. Can you hear me okay? Yeah, I got you now, brother. What you got? Okay, so we're en route to your location with a 17-year-old female, so a pediatric patient. She's involved in a two-car MBA. She was the driver of a car that was T-boned. Moderate speed. It was like a 30-mile-an-hour speed limit area. So her car did roll over. It rolled over. It was laying on its top side when we got there. And she was seat belted, shoulder and lap belt. She had front and side airbag deployment. And she self-extricated prior to EMS arrival. We got there. She was ambulatory, walking around, talking on her cell phone to her mother. [REDACTED]. No complaints whatsoever. She remembers the entire incident. Full body physical assessment performed. Results were unremarkable. She denies taking any medications. She denies any chance of being pregnant. Talked to mother on the phone. And mother just wanted her to come up and be checked out due to mechanism. She's physician of comfort on the cot. She has no complaints. We have a VP of 148.88. Respirators of 14. She is 98% room air. Heart rate is 90. And we're probably about five to six minutes out. All right. Let me run this by our guy first because I doubt if they want to make this a trauma on our end. If it's a trauma on our end, she'll stay down here. If not, then we'll take her down to Peds. But let me see. You said there's moderate damage. I mean, I technically heard vehicle moderate from the impact, but it rolled over with, I guess, significant damage to her car. No damage to the interior of the car, the driving compartment. Gotcha. Okay. That might be the deciding factor. All right, brother man. I'll see you in a bit. All right. Sounds good. All right. Bye.</t>
  </si>
  <si>
    <t>Good afternoon, University. Hey, hey, hey, it's Cleveland, 26. Coming in, two GSWs, one 15-mil to the leg, one 19-mil to the chest. Both [REDACTED], working on vitals and interventions. And Rob, we do have a chest seal on the chest GSW. Okay, 15-mil, where in the, you say arm? 15-mil, lower, right calf, 19-mil, left chest. Both are awake and [REDACTED], working on vitals and everything, and Rob. All right, left chest, left chest. All righty. ETA, Anthony. Six minutes, four minutes. All right.</t>
  </si>
  <si>
    <t>Hello UH. Hey, it's Cleveland 41. What do you got? Hey, we got a six-year-old female coming to you. She was struck by a smaller SUV. She's currently [REDACTED] right now, vaccination appropriate. She's suffering from some left solar pain, got a couple of abrasions to her face, no neural deficits. Blood pressure we got was 108 over 70. She's 110 heart rate, 100% on room air, no distress. She said car was traveling about 30 miles an hour and [REDACTED]. And she did. Okay, mom says she did have a [REDACTED]. And we're like five out. All right, I'll pass it on, Rainbows. Thank you. All right, thanks, bye.</t>
  </si>
  <si>
    <t>Thank you. You age. Hey, it's Cleveland, May 30. Got a 10-year-old male for Rainbow. He got shot in the head with a BB gun. Apparently it's a steel BB. Looks like it probably penetrated his skin. You can see a lump where it might be, but he's [REDACTED]. Blood pressure is 110 over 70. Heart rate in the 90s, 99% on room air. Pupil is equal reactive, no neural deficit. So probably not a huge deal, but we'll be there in about five minutes. All right, thanks. Bye.</t>
  </si>
  <si>
    <t>UH is back. Hello, it's UH. How you doing, Rainbows? This is MapleSquad1. What's going on? We have a two-year-old male. He was kind of playing on his brother's bed. He kind of rolled back and hit himself on one of the shelves on the back of the head. He's got like a one-inch laceration at the back left part of his head. And it was bleeding heavily, the mom said, before we got there. When we got there, it's not bleeding at all right now. I had stopped. He's [REDACTED]. Heart rate is 130. SGO-2 is 100% room air. He doesn't seem like he's in pain right now. And his mom's with him. He was premature as a baby. He had a heart condition. And we'll be you guys in probably... Maybe 15 minutes. Okay. Sorry. Was there a loss of consciousness with the injury? [REDACTED], no. Perfect. Sounds good. We'll see you shortly. All right. See you then. Bye-bye. Bye. Bye. Bye.</t>
  </si>
  <si>
    <t>Hey, Rach. Hey, it's Cleveland One. I have a four-year-old male who has a GSW from a drive-by to his left knee. There's deformity in his tip-fib, possibly his femur, too. I can't tell because you can see where the bullet's sitting in there. He's [REDACTED]. Fibers are all good. 116 over 78. Heart rate 68, 97 on room air. We'll be there in, like, 8, 10. You said 40-year-old? Four. Four. Four-year-old male. Yeah, four. Like, rainbow side four. Okay. All right. Bye. Thanks.</t>
  </si>
  <si>
    <t>Call the man. Yeah, it's Cleveland Heights 241. Can I give you a report? Yeah, go ahead. We've got a 14-year-old male. Chief in plain today is going to be a gunshot wound to the left upper thigh above knee. No exit wound at this time. Police officers are providing tourniquet. Bleeding is controlled. Patient is [REDACTED]. Currently for us, he's showing a sinus rhythm at 70. His recent blood pressure was 93 over 54. We got one large bore, the other one blue, and we got a leader bag running wide open. No allergies, no medical history, no medications. We'll be at your facility in 8. And you said 14, 1-4? 14, 1-4, correct. All right, bye. Bye.</t>
  </si>
  <si>
    <t>Hello, this is Utewood, medic 43, calling in. Two reports, we have two patients. One's a pediatric, one's an adult. They're both involved in the MBA. Would you like me to start with the pediatric first? Are they family? Yeah. What are they doing to each other? Mom and daughter. Okay, all right. Go with the, how was the car accident? There was significant damage to the front of the car. They were only traveling about 35 miles an hour. Okay, any intrusion or anything like that? Negative. No intrusion. Was the child restrained? Was the mom restrained? They were both restrained. Airbags deployed. Child was in a car seat. Airbags. Airbag deployment. Okay. So before you start with the kid, if the mom's all right, she's going to have to go down with her daughter to PEDS and have her daughter be checked out first. Okay. Yeah. It doesn't seem like the mother has significant injuries. She just doesn't feel well. And arm pain, you know, she's shooken up. Okay. And any complaints about the daughter? The daughter has an injury to her forehead, laceration. The daughter is [REDACTED], [REDACTED]. But like I said, injury to the forehead. How old is she? Two years. Three years old. Two. Two. And [REDACTED]? Yeah, no. Negative. Okay, cool. Restrained. All right. Yeah. Yeah. So you guys will take the child down to LND. And what you said, mom just said she just wasn't generally feeling well? Not feeling well. Arm pain, her hand, both her hands have pain. Okay. But she's stable and stuff? Yes. Okay, cool. All right. We will see you soon then. Okay. See you. Bye. Bye.</t>
  </si>
  <si>
    <t>Good afternoon, University. Hey, it's Cleveland 36. I got three traumas for you. Three traumas? Yeah, very limited. Okay, talk to me. First, I'm going to give you an approximate 30-year-old male. Okay. Driver, car versus telephone pole. He was a restrained driver. Steering wheel had severe damage to it. Okay. Head hit the windshield. Okay. I don't know if he's [REDACTED] or just not speaking. So I'm going with the [REDACTED] just because of the head injury. Okay. But ETOH as well. Okay. He's got a lack to his left head. Blood pressure is 160 over 80. Heart rate 110. 100% room there. Okay. I've got 18 on the left. And then I've got a 6-year-old and a 5-year-old female. Oh, great. 6-year-old, backseat, restrained driver. Neck pain. And is this the female? Yes. Okay. Okay. And then 5-year-old, restrained, no child seat, front seat passenger. Oh, great. With ABD pain. And she seems very, like, tired. Just [REDACTED]. So I don't know if she's got something going on. I'm still trying to get vitals on everybody and I'll get her at there quick. Okay. So the 6-year-old in the backseat, you say was restrained, though? Correct. Correct. Okay. Everybody was restrained. Gotcha. Yep. All vitals so far are good. All right. All ready? All right. ETA one more time? About 7 minutes, 5 minutes. All right. Get here safe. See you then. I'll see you, bud. All right. All right.</t>
  </si>
  <si>
    <t>Hello, UH. Hey, this is Cleveland 41 bringing in a two-year-old female trauma. She is [REDACTED] right now. Current set of vitals is going to be a heart rate of 106. Blood pressure is 94 over 76. Respirators are about 20, 98% remunerated. We've got a 24 in the left AC. She was a restrained passenger in a motor vehicle, unknown speed. We'll be there in probably five. All right, sounds good. Thank you.</t>
  </si>
  <si>
    <t>Okay, I'll open it. UH. Hey, this is East Cleveland. We're coming in with a 15-year-old male, NBA versus pedestrian. He was walking across the street, and he saw the car, and then he blacked out, got hit. He's playing a face, neck, ankle, knee pain. But it was 140, 85, 100% of room error, 86 heart rate. Sugar was 120. We have a C color on. I sent over a 12 lead, and we're about five out. Okay, so he's [REDACTED] right now? Yep. Perfect. Do you have an approximate speed of the car? He said maybe 35. It was right outside the high school. Okay, any obvious deformities? No. His right ankle is just a little swollen, but that's it. Sounds good. All right, thank you. Yep, bye. Bye.</t>
  </si>
  <si>
    <t>I have a 13-year-old male that was on his bike and got hit by a car. He's A-04, [REDACTED]. He's complaining of left leg pain, no growth deformities or anything to it, [REDACTED], not complaining of any neck or back pain. BP is 126 over 64, heart rate 98, sign up for the monitor. Testers are 20, 98 on room air. I got bilateral IVs, and we'll be there in like 5 to 10. Do you know how fast the car is probably going? No idea. All right. You said [REDACTED]? Yes. All right. See you in about 5, you said? Yeah, 5 to 10. All right. Thank you. Yep.</t>
  </si>
  <si>
    <t>Hey University, this is ClevelandMedic7. We're coming to you guys with a nine-year-old male that was involved in an MBA. He's got a deformity to his left femur. We have him in a traction splint. We did give 25 mics of fentanyl for pain. Vitals at the moment, blood pressure is 128 over 84, heart rate of 128, respiration is 22, 98% on room air. He does have autism, so he is [REDACTED]. Was he restrained, and what was the speed? He was reported to be in a booster seat, but he was not restrained when we got there. Moderate front end damage, airbag deployment, no intrusion into the vehicle. You know the speed? I'm sorry? The speed of the vehicle? Approximately 40 miles. All right. All right, thanks. You said how long? I'll be there in about five minutes. All right, thanks. Thank you.</t>
  </si>
  <si>
    <t>Hey, this is Cleveland Medics 22. Hello? Yes. Cleveland Medics 22. I got a 15-year-old male. He was crossing the street and was struck by a vehicle approximately 35 miles an hour. Bystanders state that he was thrown about five feet. He states no LOC, no head, neck, or back pain currently. He did say he had some neck pain earlier, but went away. He's got abrasion on his lip as well as some abrasions to his arms. No further injuries found at this time. Vitals? Last set of vitals, 138 over 80, heart rate 60. He's 98% on room air, 804 with a [REDACTED]. He should be there in about five minutes. No medical history? None. All right.</t>
  </si>
  <si>
    <t>Hey Danny, it's Vinnie. Hey. Hey, I got a trauma for rainbows. Okay, what's going on? 11 year old pedestrian struck in a parking lot, approximately 20 miles per hour. She was rolled up on the hood and was thrown about 10 feet. Clinging of pain to the right leg, also pain to the chin where she struck on the pavement. [REDACTED]. We have a C-Cower on the abrasions where her injuries are relatively mild. There's no major deformities to the right knee where her pain is, but she's got an abrasion there and there's some pain with manipulation as well. Otherwise she's work and [REDACTED]. Her vitals are okay. I have dad with us right then and that's pretty much it. I'm going to think about a line here shortly, but vitals are great. Okay. 122 over 76. Heart rate of 110 showing a sign of stax. She's 100% on room air. All righty. How far are you out? Coming hot from over here, I'd say probably about five minutes. Okay. See you soon. All right. See you.</t>
  </si>
  <si>
    <t>Hey, this is Cleveland 36 with a trauma. We have a three male that fell from a two-story building, his apartment, apparently through a two-story building. It was not witnessed. He was laying on the concrete at the bottom. He appears to be, he's [REDACTED], just crying. He is autistic, so he's [REDACTED]. We do have a blood pressure of 130 over 87, heart rate's 110, and he was 99% on room air, lungs are clear and equal. Doesn't appear to have any fractures that we note. Possibly maybe the left leg, it looks like it might be a little bit shorter than the right, but that's questionable. And we have an ETH, you guys, probably about seven or eight minutes. All right, you said about him being [REDACTED]. You're saying? That's his normal condition or? He's autistic. Oh, okay, gotcha. Yeah. All right. ATA? Probably about seven or eight minutes. All right, thanks. All right, thanks, bye-bye. All right.</t>
  </si>
  <si>
    <t>You ate a US 31. Hey, gotta unique offer. It's a 12 year old male. He was involved in a car versus pole. He was 10 in between. He stated that they was doing donuts and he jumped out the car and the car hit the pole and he was pinned in between the pole. He don't know how far fast it was going. He said they was going pretty fast upon impact. He didn't confirm that he [REDACTED]. He got a nice black to his ear and side of the head. No other injuries are noted. He is [REDACTED] right now. It is 15 pressure 144 over 88. Part rate 116 that 99% of room there. Have a ETA about 10 minutes here. I mean, did a buyer have to? They just pulled the car back because the driver fled the scene prior to arrival. They did say he was pinned. When they arrived prior to be for us. So they just pulled the car back and then he was gone. So he was. And which way he was right? I know. So he was in a driver's seat. You've been a driver. See my man or the back seat passenger and he was a giant of worry in a driver's seat or the back seat. Passengers see and then your door was open and you fill out when you get when it was going into the post. Alright, so drivers passenger seat on. On the driver side up front door open, tried to get out because he said he didn't know who his cool car he was in. And at that time that's when he collided with the pole and somehow he was ejected out and pinned in between the pole unknown speed and then again with a somewhat of a positive LST said he [REDACTED]. You OK, what do I? What do you want me to know? If anything, I'll do it at the limited. Just press the button and then you'll see the car. OK. Just based off the MRI. OK, and then they can kind of figure her down very if they need to. OK, I'm sorry it's very good. Wait, this is very neat. No, you're totally fine. Alright, so like 8 minutes out. Yeah, thank you. I think so.</t>
  </si>
  <si>
    <t>Hey, it's Cleveland Medical Authority. We're in and out with a nine-year-old male. His pedestrian struck. The car was going pretty high rate of speed. There was [REDACTED]. Right now he's 804. He's [REDACTED]. He's got some facial abrasions. He's complaining of back pain. He's also got some abrasions to his chest and abdomen. His vitals right now 108 over 72. Heart rate's 86 and 100% room air. He'll be there in like five. Okay, we'll see you then. Bye. Thanks, bye.</t>
  </si>
  <si>
    <t>UH. Hey, Ramos. This is Maple Squad 1. Maple, what do you got? I got a 13-year-old male who was jumped by an unknown amount of kids. He said he was on the ground, kicked several times in the head and chest, difficulty breathing, and increased head pain. Possibly blacked out. He's C-collared right now with the 20 gauge in the right AC. Current set of vitals is 109 heart rate, sinus on the monitor, 100% on room air, 18 respirations. Blood pressure is 135 over 81. He's only about 10 minutes. Okay. Can you see any hematomas or lacks? I got an abrasion to the right eye, and that's it. Pupils are equal and reactive. Okay. Right. No major hematomas. He's complaining of pain, a palpitation all over the chest. Okay. No deformities. All right. No deformities. [REDACTED]? Correct. Okay. And he doesn't know how many people he was assaulted by? No. They said when police showed up, said there was about 50 kids around him, but about three or four. He said there was a gang of kids that said they were going to beat him up today. Okay. I will let them know. Thank you. Yes, ma'am. Bye.</t>
  </si>
  <si>
    <t>Hey UH, we're calling in a trauma alert. A 14 year old male, skating rink, said he started to brace himself. Entire arm went through the glass pane. He's got a glasseration spanning about his whole bicep. We're worried about a brachial artery maybe getting caught, but we got two tourniquets on, bleeding stopped right now. Trying to get an IV in route, last blood pressure is 107 over 69, 100 pulse, 96 room air right now. He's [REDACTED]? He's [REDACTED] right now. He's [REDACTED], so we're just trying to get him some fluids right now. And you say you got two tourniquets? Yeah, we got two tourniquets on the left bicep above the glasseration. I mean, it's a pretty good one, you can see his whole bicep. What unit is this? This is UCO 1341. Okay, ETA? All right, should be there, less than 10. All right, thanks. Bye. Bye.</t>
  </si>
  <si>
    <t>University. Hey, this is Blake. I'm sorry. Cleveland Medic 1 calling for a report. Go ahead. So I have four juveniles. They're all [REDACTED]. ABCs intact, skin warm and dry. Accident on 77 South. The 10-year-old male having wrist pain, a little bit swollen, still able to move it. NSPs are intact. I have a 13-year-old male with mouth pain, some dry blood on his lip. He's able to talk, breathing, all that good stuff. 17-year-old female, left foot abrasion, and a 17-year-old male with right upper leg pain and all ambulating. Again, ABCs intact, skin warm and dry. [REDACTED] all around. And vitals are all stable at this time. And we're about 10 minutes out. What did the car look like? What happened? There was moderate damage. Yeah, heavy to moderate. They were all restrained, [REDACTED]. Airbags were deployed. Okay. And not like trauma criteria, though? No, no, no. Yep, and we'll be there in about 10. Okay, I appreciate it. Thank you, guys. All right. Thank you. Bye-bye. Thank you. Bye-bye. Thank you. Bye-bye. Thank you. Bye-bye. Bye-bye.</t>
  </si>
  <si>
    <t>UH. Hey, what's going on? Cleveland 36 calling for rainbows. Alrighty. Alright, so a nine year old male pedestrian struck. He's hit at about 30 to 35 miles an hour. Kind of sounds like the car knocked him over onto the ground and then ran over his left leg. It is splinted, it is wrapped, beatings controlled. It was already wrapped before or prior to arrival, so I couldn't tell any deformity or anything like that. But he's got good MSPs in the extremity. We have him see colorist precautionary. He is a no-for-[REDACTED] age appropriate. We have IV access established. Last one pressure 122 over 94. Heart rate 116. 97% room air. He's handling the pain okay and will be to you guys in about five to seven. Five to seven. Okay, you said a [REDACTED]. Yeah, [REDACTED]. Now, per people on scene, it said he may or may not have been drugged by the vehicle. Or underneath the vehicle. But he [REDACTED]. He [REDACTED]. And there's no other outward signs of trauma besides his leg. Just a leg trauma. Okay. Okay, that sounds good. Thank you. All right, see you in a bit. Bye. Bye.</t>
  </si>
  <si>
    <t>UH. Hey UH, this is Cleveland Medics 6, County Report. Go ahead. Hey, we had a nine-year-old female, ten-year-old female, she was riding her bicycle when she was hit by a car. The car said she was thrown forward, no helmet, she's complaining of arm pain, left arm pain, abdominal pain, and she [REDACTED]. She [REDACTED]. Her vitals are 134 over 90, heart rate 110, rest rate 20, she's 98% on room air. We got LOC? We think LOC just because she keeps repeating it, she does not remember the accident at all. How fast was the car going? He said he was unsure, he was like, I might have been going like 30, but he said he was unsure. Gotcha. Alright, should be a trauma estimation piece. How far are you out, LeBron? He's through about eight feet. We at least ten minutes, we're like one for nine. Alright, thank you. I'll pass that. Okay, thanks, bye.</t>
  </si>
  <si>
    <t>Hey UH, this is Whitliff. We're going to bring you a piece trauma. An 11 year old male hit by a car going roughly 20-30 miles per hour. Child is [REDACTED] as right now. He does not remember being hit. Witnesses say he [REDACTED], but he [REDACTED]. We did have some star into the windshield with the patient's hair into the windshield. So he definitely hit his head on the windshield, rolled off under on his on his bike crossing the street. Injuries. He has left knee pain with some bruising. He has some right ankle pain with some deformity, possibly fractured. And he has a small cut on his forehead with a little bit of bleeding, but the bleeding is controlled. We have a knee collar and splinted of the left knee and right knee. We're working on IV for some pain meds right now. And we spoke to parents on the phone on scene. And they should be able to help. We will be arriving at the hospital in about 15 minutes. And we will be arriving there in about 15-20. You said 15-20. And what's your guys' squad or fire department? Wickless. Wickless. Okay. Alrighty. We'll see you soon. All right. Thanks. Bye.</t>
  </si>
  <si>
    <t>UH, Scarfield Squad 2, Emergent Traffic. All right. We're going to give you a nine-year-old male patient, [REDACTED] complaint. Child fell approximately 30 feet between steps coming out of school. Fell onto concrete floor. He's [REDACTED] at this time. We've been with him for about ten minutes, no movement. We give him a [REDACTED]. He is breathing, controlling his own airway at this time. Blood pressure, we're on our third one, consistently around 130, 140 over 60. Current heart rate is 78 sinus. Respirators are between 20 and 30. Capnography is showing 35 at the time. We do have an I.O. established in the left knee. C-collar, he's immobilized. We are looking for a wound on his head. We did see a little bit of bleeding. There is some swelling to the left rear of his head as well. Pupils are fixated, non-reactive. He's [REDACTED] at this time. Other than that, I'll say we'll be to you guys in probably seven to ten. And you said 90 as in nine zero? Nine. Nine-year-old male. Nine-year-old male. Okay. All right. Yep. Yep. All right. We'll see you guys in, what was the ETA? Seven to ten, we'll be to you guys. All right. See you then. Bye. Bye. Bye. Bye. Bye. Bye.</t>
  </si>
  <si>
    <t>U.H. Hey, Cleveland Mark 36. 36, go ahead. We're calling you guys with a three-year-old female pedestrian struck. Say that again? It's hard to hear you. A three-year-old female pedestrian struck. A three-year-old? Yes. Okay. I think the car more so clips her than anything, but it was going about 30 miles per hour. She's got some abrasions to her arms and legs. But [REDACTED]. She's [REDACTED]. Her rate is 125, 100% under the mayor. We just put a C-card around for precautions. Be there in about five minutes? Yeah, we can take that, sweetie. You said [REDACTED]? No LOC. All right, thanks. Anything else? I just got it. All right, thanks. Bye. Thanks, bye.</t>
  </si>
  <si>
    <t>Hey, we just got back from squad six with a four-year-old female that fell out of the seventh floor window. How far? Seventh floor. Seventh floor? Yep, seventh floor. What did you land on? I landed on grass. She is [REDACTED]. We have a broken right upper arm and we have an open fracture to the right femur. Pupils are normal and reactive. We do have her restrained manually right now. Lung sounds are clear. Don't notice any massing in the abdominal region. And that's pretty much what we got for you. Pupils are normal and reactive. That patient's respirations are about 26. She does have a good brachial and radial pulse on the left side and good pedal pulses. And we should be there in about 15 minutes. Fifteen minutes. Four-year-old female. Vitals otherwise. So she's maintaining her own airway right now? She is maintaining her own airway at this time. We just got her stabilized as well as possible while we're on transport. And I'm going to see if we can get this femur fracture, get it addressing on that. But she does have positive pulses on the right upper arm. Left side. Okay. Okay. All right. I'll let them know. Thanks. Bye.</t>
  </si>
  <si>
    <t>UH. You're going in and out, go ahead. Is this the kids side? Rainbows? I'm having trouble. Did you say it's just rainbows? I can take your report here, but I'm having trouble hearing you. Okay, can you hear me now? Yes, perfect. Okay, sorry. I must have hit a dead spot. So this is Warrenville Heights. I got a four-year-old female. The story's really unclear. Stop me at any time if you stop hearing me. The story's really unclear. There was another family member watching the child. She said she was asleep. The child climbed out of the apartment onto the balcony and fell three stories. When we got there on scene, the patient wasn't outside on the ground. So I don't know if this family member woke up and then grabbed her and took her back upstairs. But by surprise, she was dead. The standards started saying which apartment it was. We went up there. The only thing I could find on her, and she states she's got a hematoma to her forehead. She says her head hurts. She's [REDACTED]. I don't know if she's scared or whatnot. But I couldn't find any other painful stimuli on palpation. She [REDACTED]. She [REDACTED]. Heart rate's 92. She's breathing 98%. 22 respirations. Blood pressure's 131 over 69. Okay. We'll be there in about seven minutes. All right. We'll say that's greater or equal to about 20 feet, just based off of the... Three stories, 10, 30. Okay. Yeah, 10 feet a story. Sounds like they'll see you in the trauma bay. Is that about 10 minutes? Yeah, seven minutes or so. Okay. All right. Yep. Bye.</t>
  </si>
  <si>
    <t>UH. Hi, this is Cleveland EMS Dispatch. Yep. Medic 4 is on the way with a 13 year old female. She has multiple GSWs to her lower extremities. They should be there 5-6 minutes. Awake [REDACTED]? Trauma? I believe she's [REDACTED] and breathing. No, I don't think so. Alright, thank you. Thanks.</t>
  </si>
  <si>
    <t>31 for fire. UH. Hey, UH. It's a Cleveland medic for I have a five-year-old male who's riding a bike and was struck by a car pulling out of a driveway. [REDACTED]. He has some abrasions to his chest and his back. No neck or back pain, but he is complaining of pain to his chest and abdomen. Last pressure was 105 over 64. Heart rate's 100, and he is 98% room air. [REDACTED]. We got 22 in his left AC, and we're like 15 minutes away. Okay, and you said no LLC, correct? No LLC. Thank you. Yep. Bye.</t>
  </si>
  <si>
    <t>Hey, this is the GorpioLite Squad 2 calling for pediatric trauma. We have a two-year-old male that was ran over in the driveway. We got him in the back of the squad. He's actually kind of [REDACTED]. He has trauma to his left eye. It looks like he might have a basal skull fracture. Other than that, full trauma assessment. No other extremities appear to be broken. Lung sounds are clear bilaterally, equal chest rise, and got him on the monitor right now. He's sinus attack at 156 feet, 100% on room air. First blood pressure is 124 over 82. Our second pressure 112 over 84. We'll be looking for vascular access and renal replacement. We'll be looking for vascular access and renal replacement. We should be there, say, probably six to eight minutes. All right, thanks.</t>
  </si>
  <si>
    <t>UH. Hi, this is UFoodMedic41 with a pediatric report. Alright. We're coming at you with a four-year-old male who fell out of a two-story window onto a chair about 12 feet-ish. [REDACTED]. He knocked two of his front teeth out. He's [REDACTED] talking bird. He's [REDACTED], but he's [REDACTED]. Pupils are reactive. False 120 centimeter on the mirror. And we're not able to get pressure to cycle, but he's . Any loss of consciousness? [REDACTED]. No? A window onto a chair, yeah? Yeah. Okay. And then any injuries? Just besides his two front teeth being knocked out. Nothing we can see right now. Okay. And we do have a C- call on him at the moment. We're not sure if he's going to keep it on or not, but for right now he has one. Okay. And an ETA? ETA about eight minutes. Eight minutes? Okay. And you said probably like 12 feet? Yeah, around 12 feet, two stories. Okay. Alright. Alright, we'll see you soon. Yep. Bye. Bye.</t>
  </si>
  <si>
    <t>UH. UH, Cleveland Medical 11 wants to pay your report. Go ahead. We're bringing you, we're bringing Rainbows, a two year old kid that was an unrestrained passenger in a two car high speed MVA with extensive damage. We're not exactly sure if she was ejected. She's only, the only injury that I see is a laceration inside her mouth. She is [REDACTED]. Her heart rate was 132. Her pressure was 106 over 70. We're also bringing you a, hold on, a 32 year old female who is an unrestrained driver of the same car with extensive damage. Okay. Extreme damage. She's complaining of leg pain, no LOC. Her pressure is 96 over 76. Heart rate is 130. We'll be there in about five minutes. Alright, we're going to make her a limited and then we'll call a PGE and they'll probably make that one of them. Okay? Yep. See you, babe. Bye. Okay.</t>
  </si>
  <si>
    <t>UH. Hello? The regular one might work. Hello, UH. Hey, it's Shager. Hey, what's up? What you got? Hey, can you hear me? Yeah, I can hear you good. Shager, I just come with a four year old male, four, zero four. Okay. Going to Rainbow. Fell from a ten feet, about ten feet. It's like a bridge or a dam. He fell into like rocks and dirt. He said he's got head pain. He does have a golf ball sized laceration on the back of his head. He's got head pain. Looks like underneath his eyes are starting to bruise a little bit. He is also complaining of right ear pain. No deformities, nothing coming out of the ears at this moment. He's [REDACTED]. Mom's with us. They're clean. You're welcome. Vitals are stable. We got a pressure 135 over 87. 99 on repair. And a pulse around 130. Probably be there in eight minutes. Okay. You said he does have bruising under the eyes? It looks, yeah, mom said he's got some dark spots. I think his eyes. Mom said it's not normal. Thinks it's a little darker than normal. Okay. Almost looks like the left one more than the right. Okay. You're eight minutes out? Yeah. Do you know if he lost consciousness when he fell? Parents said they don't think he did. He did kind of, he [REDACTED], maybe 30 seconds to a minute. He was pretty calm. Yeah. He's kind of [REDACTED]. Like with you guys? No. Right after it happened. Okay. All right. I'll let him know. Thanks. All right. Thanks. Bye.</t>
  </si>
  <si>
    <t>Hello, CH. Hey, this is one of those one-con trauma team. Warrensville, where you go? We have a 14-year-old male, he was involved with an NVA. Car hit a pole. I don't know how much the car was going. Damage to the car, the engine left the actual, yeah the engine left the front compartment. Driver did get ejected. Our patient states he did lose consciousness. He did lose a couple teeth, upper front tooth and then a side tooth. He's [REDACTED] with us right now. Left set of vitals. Blood pressure was 118, 68, 98% room error. Heart rate is 68 in regular. No complaints. We did decolumn. I guess he was able to self-execute. He was execcuted before we got there. I thought you said he was ejected. No, the driver was ejected. Oh, he was. Yeah, he was the passenger. Oh, gotcha. Yeah, he was the passenger. Oh, gotcha. Okay. I'm sorry. Okay. He said he was not wearing a seat belt. Okay. All right, how far out are you guys? I'd say probably eight. Eight. All right, I'll call the rainbows and we'll get to it. It's gonna be obviously a trauma activation. Yeah. Thank you. You said he's anal two right now? Anal times three. He's a little more anorexic. Yeah, he [REDACTED]. He's a little, little grotty. Okay, sounds good. Bye.</t>
  </si>
  <si>
    <t>Okay. UH Danny. Hey, this is Cleveland 30. Hey. Hey, we've got a 13-male MVA, high mechanism intrusion noted to driver's side and front end, restrained backseat passenger side. He's got seatbelt marks across his lower abdomen, abrasion to his left eye, abrasion to his left arm, vomited prior to our arrival. So, [REDACTED]. Was nauseous no longer. [REDACTED]. Pupils are pearl. Vitals are stable. 98 heart rate. 115 over 72. 100% remear. 158 glucose. He said he was in the backseat. Was there anyone else in the car with him? Yeah, so mom, driver. Medic 1 is going to be transporting her. Okay. So, high speed, I'm presuming. Yeah, the pole was knocked over. Both cars are totaled. Okay, car versus pole. All right. Car versus pole and car versus car, yeah. The whole driver's side was completely, like, intruded. Oh. Yeah, like, it was a pretty high mechanism. How far are you out? We'll be there in, like, six minutes. Okay. And I'm going to make... I have a P trauma, just so you know. Yeah, no, that sounds good. Okay. All right, we'll see you soon. Bye. Thanks a lot.</t>
  </si>
  <si>
    <t>Hello, it's UH. Hey, this is Cleveland 7. We're en route with a 3-year-old female. She was an unrestrained front passenger in the... Hold on, hold on. You broke up. You're breaking up. Hello? Okay. 3-year-old female, unrestrained front seat passenger. Three. Three, right. Yeah, go ahead. Front seat passenger, main impact was on the passenger side. Blood pressure is 100 over 70. Heart rate is 130. Sinus on the monitor. She's got a confusion to her right cheek. Responsive to pain. Alert as far as we can tell. We should be there in about 10 minutes. What did they hit? How fast? It was on the highway, so high speed. Okay. All right. And you said she's alert? Yes. [REDACTED]? No LOC as far as we're aware. All right. We'll make that a little pediatric. All right. See you in a few. Thanks, Beth.</t>
  </si>
  <si>
    <t>Hi Zach, this is Cleveland 36. I have two potential traumas coming to you. Sorry, you have what? Two potential traumas. Okay. I think probably more due to MOI. Sure. So we have a Pede and then we have a 56 year old. Which one do you want first? Okay, 56 year old female. She was the restrained driver. They were going limited speed. She thinks about 15 to 20. They were turning a corner but they were hit by a vehicle that was being chased. So high speed of chase. They have pretty severe damage on intrusion in the back side of their vehicle through the trunk. She is having right-sided face pain. She has a little bump right there that she's complaining of and chest pain. Hold on honey. And chest pain. Vitals are 155 over 99. She's sinus on the monitor. 88 heart rate. Okay. She's [REDACTED]. No blood thinners. No loss of consciousness. Okay. You said restrained, correct? Excuse me? You said restrained driver? Yes, restrained driver. Airbags? Yes, all airbags. Front airbags and side airbags. Okay. How much intrusion do you think? Probably the whole, it was the back driver side corner. Kind of through the trunk. Not into the back seat but just the back. I don't think it was the back seat. So I guess not intrusion but the whole back side. You think she needs to be a trauma? Just through the mechanism. That's the only thing I would, you know, I don't know how fast that other car was going. Okay. But I mean I guess I'll leave that up to you guys. So then we have a three-year-old boy who was restrained in the back seat but not in any type of left seat. Was he behind you honey? Behind a, who we're also bringing. He has some right-sided face pain with some minor abrasion on his eye and right-sided cheek. And mom says that he was saying he was a little tired before we got there but they were saying he just woke up. So unsure if it's due to incident or due to you know prior sleep. Heart rate was 106, 99 percent on room air. He's [REDACTED] right Right now I'm holding on to them just with a little ice pack, trying to get to them. And we should be there in about five minutes. Okay. The people definitely, no, they'll both be traumas. So one adult trauma and one PEDS trauma. Yeah. Okay. Okay. We'll see you soon. We'll see you in a few. Thanks. Bye.</t>
  </si>
  <si>
    <t>UH. Hey, Aesthetic 1. I got a pediatric trauma. It's gonna be an approximate five-year-old male. He was unrestrained in a vehicle, car versus pole. Heavy damage to the vehicle. There was about eight to ten inches of intrusion into the engine compartment, ripped the wheels off the vehicle when they hit the pole. Airbag deployment. He was unrestrained, no car seat. He is [REDACTED], he's [REDACTED], he was [REDACTED]. He does have some abrasions to the top of his head. State that he does have a headache from that. No other injuries that we're able to see. He's currently 97 over 66, heart rate's 88, 98% roomier, clear and equal in all fields on his lungs. And we'll be there in like seven to eight minutes. Do you have any questions? Nope, we'll see you when you get here. All righty, thanks. Thanks.</t>
  </si>
  <si>
    <t>University. Hey, this is Cleveland 22. I'm bringing you a GSW. I got a 15 year old, 15 year old male. He was shot on the right side of the cheek. He's [REDACTED] with us now, but he [REDACTED]. Not really able to talk to the pain. I have a BP of 124 over 72. Heart rate is 113. Respirators are at 16 and he's 99 on room air. I have an 18 in the left AC. That's iffy. I'm about to get another one for you before we get there. We're about five minutes out. Okay. And he's 15, one five, correct? One five. Okay. And is it like through and through on the cheek or just like a, I was only able to see one. One so far. So, all right. Thanks.</t>
  </si>
  <si>
    <t>Hey, UH, this is Willoughby. All right, Willoughby, what do you got? This is Willoughby, 1422. We're en route to you guys with a 15-1 5-year-old male. Chief complaint, jumped out of a moving car about 35 miles an hour. I'm calling a trauma alert on this. Repeat, trauma alert. Was driving, was riding in the backseat with his mom. His parents were getting into a fight. He opened the side door and jumped out. He does have a 3-4 inch laceration on the right side of his head. Road rash on the left side of his body. Some cuts and some gravel embedded in the right side of his hand. We're getting it bandaged up now. [REDACTED]. C-collar refused. He is stating he has some right wrist pain. We're going to be putting that in a vacuum splint at the moment. Like I said, C-collar's refused. He's anal times four. Letters are as follows. Heart rate is 104 and regular on the monitor. SpO2 is 100. Percent room air. Pressure is 153 over 97. We're going to be taking off from Willoughby. We're going to be there in 20 to 30 minutes depending on traffic. Any questions or orders at this time? So his [REDACTED]? Correct. All right. And there's no loss of consciousness. Okay. That sounds good. Thank you. Thank you. If we can, we'd like to have a social worker in the room. He might want to have somebody to talk to about this if that's possible. Yeah, they'll have someone down there. Awesome. Thank you very much. We'll see you in 20 to 30. Okay, thanks. Bye. Bye. Bye. Bye.</t>
  </si>
  <si>
    <t>UH. UH, this is Garfield, Squad 1. What squad again? We are bringing to you a nine-year-old male patient. He was struck on his bicycle this evening by a vehicle. He was crossing the road. Car hit him. Front end damage to the vehicle consists of some hood damage, tire imprint left on the front bumper. The child has been [REDACTED], conscious. [REDACTED] the entire time. All the complaints he has is to the lower right knees. Head to toe assessment doesn't really show anything. Shows maybe some road rash here and there on the knees. There's a little bit to the right elbow that we bandaged up. He didn't have any neck or back pain at this time. We do have a C collar in place. We do have a 22 in the left AC as well. Poorly just showed sinus attack. Vital signs of stable blood pressure is 113 over 60. Current heart rate is 113. Respirators about 18. Non-labored. He's 100% on room air. The mother is not with us. She's gonna meet us from work. He did not have a helmet on either. But like I said, I mean head to toe really we don't see anything. There's no other bleeding. Pupils are pearl. You know I don't see any trauma around the head. He's not complaining of anything. He's doing a hell of a job. What squad are you getting? Garfield. Garfield. Yep. All right probably from, do you have a good idea how fast the car was going? The car, yeah he said he was doing 25. All right so with the mechanism they're probably still gonna hit us with a trauma there. So nine-year-old male struck on a while riding his bike. Car was going about 25 miles an hour. Some road rash. Some damage to the hood of the car. Vitals are stable just a little tacky and some knee pain and road rash. 22 in the left AC and [REDACTED] and what's your ETA? I'd say we'll beat you guys. Probably seven to ten. All right my man see you in a bit. Thanks. Bye.</t>
  </si>
  <si>
    <t>Hey, this is Cleveland Medical Center 30. We have a 14 year old male, pedestrian struck. He was [REDACTED]. He just got a road rash all over him. He said he was dragged up underneath the car. The car flooded the scene so it was a hit-skip. 62 heart rate, 136 over 86, 100% right there. We'll be there in like 10 minutes. You said what? Like 10 minutes we'll be there. Do you know the speed? No, I don't know the speed. And he's [REDACTED]? He's [REDACTED], yeah. No medical history or anything. [REDACTED]. No thinners or anything like that. Okay, thanks. Bye.</t>
  </si>
  <si>
    <t>UUH. Hey UUH, this is Euclid Medics 3 with a patient report. Go ahead. We're coming at you with a 1313 year old male who got pushed out of a cargo in about five miles an hour. He has some facial swelling on the right side of his face. He also got into a tussle with the cops. He's complaining of lower back pain with that also. No neck pain. He's [REDACTED]. ABCs are intact. Vitals are 93 on the heart rate. 98% of remission. What's the heart rate again? 93. Okay. 98% on remission. 140 over 70 on the pressure and 16 on the respers. And how old again? 13. All right, 13 year old male. And you said he was pushed out of a car going about five miles an hour. Some edema to his face, negative back pain and neck pain. He has lower back pain. Oh, lower back pain. And what about neck pain? No neck pain. Zero neck pain. And [REDACTED] for you now? Yep. All right, [REDACTED]? Yes. That's 15. All right, what's your ETA? Around 20. All right, any other injuries at all? Not that he's told us. Okay. All right, my friend. I'll have them peas ready for you. All right. Thank you very much. Thanks, Mike. Bye.</t>
  </si>
  <si>
    <t>UH. Hello Cleveland Medical 24. I got a five-year-old female she was struck by a car. The car was on a side street but we don't know the exact speed but it definitely was going straight so anywhere from like 25 probably to 35. They said the car the kid was thrown approximately 10-15 feet from the car. She's got abrasions to her left elbow. She's got abrasions to her nose area and she's complaining of bilateral knee pain. There's no obvious like broken bones or anything like that she [REDACTED]. They said [REDACTED]. Unfortunately, she is very upset so it's not like we couldn't like backboard. We cannot c-collar her. We got a set of vitals and that was 121 over 64. Heart rate of 140. Respirations of 20 and 99% on room air. We're about five minutes out if you have any questions. Five, six minutes. Alright so she's [REDACTED]. She's not... Absolutely, absolutely. um she's She's just crying. She doesn't want to be poked by needles or anything, you know. Okay, that's fair. All right, we'll see you in five. Thanks. All right, take care. Bye.</t>
  </si>
  <si>
    <t>UH, this is South Euclid 341 calling in a T's trauma alert. This is who? A pediatric trauma alert, South Euclid 341. Go ahead. We're coming to you with a 2-year-old male. He's currently [REDACTED]. He's [REDACTED]. Chief complaint was of falling out of a second-story window. The window is approximately 15 to 20 feet. He does have bruising around the abdomen. We have him fully immobilized. He is moving around pretty well, though. Speed collar is applied as well. Again, he's moving in all four of his extremities. He does have some bruising across the chest. Heart rate is 165. He is 95% on room air. Is [REDACTED], [REDACTED]. Blood pressure unobtainable at this time due to the, you know, extremities moving on us. No medical history. None that we know of. No mom is with us as well. ETA. ETA is approximately 5 to 7. Is there any other information you need? How did he fall out the window? He opened it himself and just went right over. All right. And he's 2. Yes, he is. 2, approximately 40 pounds. All right. Thanks.</t>
  </si>
  <si>
    <t>Thank you. UH. Hey, is this Rainbows? No, this is the adult, but if you're calling in a report, I can call them and give them the report. Okay, yeah, that'd be great. We're en route to you guys with a 15-year-old male involved in a two-car MBA. We're going to call a trauma on this one. He said [REDACTED]. He's got some, like, minor lacerations on his face. His main complaint right now is right leg pain, his upper femur area. No shortening or rotation. MSCs are intact. He's just complaining of a lot of pain in that area and some lower back pain. All airbags were deployed. Seatbelts were intact. There is no seatbelt sign. We have a 20-gauge in the right AC. We gave him 25 mics of fentanyl for pain. We gave him 4 milligrams of Zofran ODT. Right now, heart rate is 91, normal sinus in our monitor. He's 99% on room air. Our last blood pressure was 103 over 85. Initially, he was, like, in the 125, so we're monitoring that. We do have some fluids going in. Lung sounds clear and equal bilaterally. Pupils are all equal. No other pain or trauma that we noticed other than minor lacerations on his face and, like, just some minor bruising to that right leg, but due to, like, the loss of consciousness and everything, we wanted to. Yeah, now his pressure is 76 over 31. But he's meditating well. What was the approximate speed of the car? That we're unsure of. It was a 35 mile an hour. It could have been anywhere between 35 and 45 miles per hour. It looked like mainly his side was impacted. We had to extricate him from the car. He didn't have to be extricated? Well, yeah, we had to, like, rip the door off and everything, and then we backboarded him out. Right now, he's C-collared. He's not on a backboard, but he's still meditating very well. Okay, perfect. All right, so we'll just say 35 through 45. All right, and what squat is this? Mentor, 11-12. Mentor. All right, and what's your ETA? ETA, I would say, is about 15 minutes. 15 minutes. Sounds good. Thank you. All right, thank you. Bye. Bye.</t>
  </si>
  <si>
    <t>UH. Hey, this is Medic 24. We got the 14 year old coming to you guys from, she is [REDACTED], pupils are all equal and reactive. Vitals are stable right now, 103, 128 over 82, 99% on room air, 12 breath first. No, no visible injury sustained, went to right leg plane, getting an IV on her right now and we'll be on our way in about two minutes here. And what was going on here? 14? Yeah, 14 year old MVA. MVA? No, yep. Okay, were they wearing a seatbelt? Uh, was she, did they say she was restrained? She was a pedestrian truck. Oh, pedestrian truck. Yep. Okay, male or female? Female. Okay, and then so just right leg pain right now? Mm-hmm. Okay. So, just right leg pain right now? Mm-hmm. Okay. So, just right leg pain right now? Mm-hmm. Yeah. Any deformities or? No, none noted. Okay, all right. And ETA? Uh, we'll go five minutes. Five, all right. See you then. All right, bye. Yep, bye.</t>
  </si>
  <si>
    <t>UH. Hey Cleveland 4, we're bringing you a fourth patient from that crash. This is going to be for the rainbow side. He is 15, 1-5 years old. He was an unrestrained passenger who was ejected out of the front windshield. They have video that shows this. He was ambulatory on scene. He's got abrasions and scrapes all over his body, but no major injuries that we see. 136 over 72, pulse 92, respires 22, 95%. We have a five minute ECA. And you said they're [REDACTED] right now? Yeah, [REDACTED], [REDACTED], but again we have video showing that he was ejected from the vehicle through the windshield and thrown several feet after a high speed MVA with the police chase. Copy, seeing five. Thank you.</t>
  </si>
  <si>
    <t>UH. Hey, it's Cleveland Ford, excuse me, 23 with pediatric trauma. Okay. I have a 15, one five-year-old male, unrestrained driver of a two-car MBA. He's complaining of bilateral leg pain. He's got a lack to his head. He was initially acting [REDACTED] on scene. He is fully immobilized. He's [REDACTED] right now. BP is 120 over 70, heart rate 116, respires 20, 100% on room air, and we'll be there in about five minutes. All right. Go over that again, just real quick. Just unrestrained driver. It was a police chase. They hit another car. Okay. All right. And he's a [REDACTED]. You said he has a laceration. Where was that to? He has a lack to the top of his head, like his upper forehead area. All right. All right. We'll see you guys in what, five? Yep. All right. Yep. Bye. Bye.</t>
  </si>
  <si>
    <t>Hello, SUH. Hey, it's Cleveland 41. I got an 11-year-old male, critical. Pedestrian struck. Pedestrians picked the car up off of him. He got road rash, leg, arm, right humerus fracture, open head fracture. He's [REDACTED]. Blood pressure is 100 over 60, heart rate 144. Working on the line. We'll be there in about seven minutes, ten minutes. You said no LLC? I would go with yes on the LLC. You said he's 11, correct? Yeah, 11. Thank you. Yep.</t>
  </si>
  <si>
    <t>Sam Wilson, 31. Go ahead. Yo, 14, female, bilateral tibia fracture. This is going to be a full trauma. She was in the passenger of a vehicle, car to a pole, major damage, had to be extricated, ready in 10 minutes. Vital stable, but like I said, bilateral tibia factor, beat her in about five minutes. All right, what's her mental status? I'm sorry? What's her mental status? I think she's [REDACTED]. Okay, sounds good. Yeah, so we good with that. All right, 14, right? One, four.</t>
  </si>
  <si>
    <t>Hey, UH. Hi, UH. This is Menner on the Lake, squad 2512. I'm going to be en route for UH Rainbows for a 14-year-old female. She was hit on her bike by a car. The car was coming out of a parking lot at approximately 10 miles an hour. She went up and over the car. [REDACTED], did not hit her head, but she was not wearing a helmet either. She's complaining of pain to her right leg, upper part of the leg. She's also complaining of pain in the center of her abdomen. Lung sounds are clear, no difficulty breathing. We do have a C-collar on her. Heart rate's about 109 sinus. 29. Okay, go ahead. 98% remear. Blood pressure was 160 over 110. She said I didn't know what time it was for the whole time. We've got an ETA of about 20 to 30 minutes. Do you have any other questions? Let's just recap here. We've got Menner coming in, 14, female. She was a pedestrian on her bike, struck by a car, going about 10 miles an hour, complaining of some abdominal pain, and you said some neck or back pain or leg pain. I'm sorry. Right leg pain and then right behind the right shoulder. I forgot about that one. And then negative LOC, 160 over 110. Heart rate 100. 98 on remear. And no times for you. And you said she did go over the windshield? Over the hood. Over the hood? Okay. Yeah. All right. And I do have a C-collar on her. All right. ETA? About 20 to 30. All right, my friend. More than likely, we're going to make this a trauma. So we'll see you in the morning. We'll see you in the evening. Okay. All right, thank you. Thank you. Bye.</t>
  </si>
  <si>
    <t>Hello UH. UH this is Cleveland 7, we're route 14 year old male, ESW, the back, upper back at the spine. Vital signs, blood pressure, unable to get one right now, heart rate 116, signs on the monitor, will be there in about 5 minutes. He's [REDACTED]? Huh? He's [REDACTED]? Yes. Thank you, bye. Thanks, bye.</t>
  </si>
  <si>
    <t>Hey, this is the medic. Hey. We're en route with a 12 year old male, one of our other squads, brought to other location. Riding his bike downhill, he's going approximately 35 miles an hour. He wasn't wearing a helmet. Were they on the same bike? What's that? Were they on the same bike? I don't believe so, no. Oh, okay. He's got a small laceration in the front of his forehead. He's been [REDACTED], but he's [REDACTED]. He's got a deforming to his left forearm as well, obvious fracture. His last pressure was 143 over 83. Heart rate sinus attack 115. He'll be there in about eight, ten minutes. Anything else? No, let's see you guys when you get here. All right, bye. Okay, bye.</t>
  </si>
  <si>
    <t>Good morning University. Good morning UH. This is Cleveland 41. We are in Rochester, Philadelphia. ETA 7 minutes. We are bringing in a six-year-old male that is zero six-year-old male that was struck by a vehicle at approximately 25 miles an hour. He had [REDACTED]. He did hit his head. There was no damage to the vehicle. We have a collar on him. He's complaining only of he has a abrasion to his right ankle. No deformity. No other injuries or complaints. We just put the collar on due to the mechanism. He's got a heart rate of 124. He's 113 over 77. 98% on room air. He's [REDACTED] and mom is with us. We're gonna see you in about seven minutes. All right you guys get here safely. All right see you then.</t>
  </si>
  <si>
    <t>UITD. It's Cleveland Medic 36, we're en route with a 14 year old female. She has two GSWs, a through and through to the right wrist and a through and through to the right side. Her last pressure is 120 over 80, heart rate is 81. Sign us in the score lead is 200% on room error. [REDACTED] time score will be to you guys by 5.</t>
  </si>
  <si>
    <t>Hey UH, this is Euclid, Medic 1. We're coming at you with a 13 year old female. She was struck by a car. The car was at a complete stop. The driver said the light turned green and he sped up towards her. She now has right knee pain. The knee is slightly swollen but no obvious fractures, breaks or anything. She also has pain around the shin area. Other than that, she denied us giving her IV. She said she's kind of scared of needles. She's [REDACTED]. Last vitals were 165 over 98, 99 on room air and 104 pulse. No medical history. She should be there in 10ish. So how fast does he think he's going? From what I got from it, so the guy was at a complete stop and then he sped up. So I'm sure he got up to maybe, because she was coming through the crosswalk, probably 10, 15, I don't exactly know. But she didn't get smacked to the ground. Okay. She said her knee got hit and then the scooter she was on kind of went up and kept her up. Oh, she was on a scooter? Yes. Alrighty. They're gonna they'll probably make her, yeah, they are going to make her trauma. Yeah. How far are you out? We're going to be about 10 minutes out. Okay. Like I said, we were going to grab an IV. She said she's scared of needles. Okay, that's fine. Okay. We'll see you. Bye. See you. Bye.</t>
  </si>
  <si>
    <t>Hi, this is Cleveland Medic 17 with Patient Care Report. Who is this? Cleveland EMS Medic 17. Oh, okay, I can hear you. Go ahead, 17. All right, so we are en route to you all with a 13-year-old male. He was riding like an ATV-type vehicle, went out of control, and he struck a pole, like a utility pole. He's unsure of how fast he was going. He doesn't know what the top speed was, but he said it was going pretty fast. He is complaining of pain in his left elbow and left knee. The left elbow does appear to be visibly swollen, but I would not call it gross deformity. The left knee is unremarkable in observation. He is guarding his left elbow pretty good, probably the most severe pain. But he's [REDACTED], [REDACTED]. He's got a lot of consciousness. Vitals are stable. He's got blood pressure 119 over 85 with a pulse of 94. Respiration is 24. 96% on-room air. He has no medical history, but his glucose is 171. Our ETA is going to be about 10 minutes. So you're unsure how fast he was going? Yeah, he was. He was riding with... He and his friend were riding it. He does not know what the top speed was. He can't even give an estimate of how fast it was going. I mean, you know, he's 13. Okay, so are we talking like top speed or like first gear? No, no idea. I would say so. This looks like a kid's size ATV. Yeah. I would say at most he might have been going 25 miles an hour. I don't see those things going faster than that. Okay, okay. Okay. Yeah. Okay. Okay. Okay. Okay. Okay. [REDACTED]? That's correct. Okay. No concern for, do you know what his GCS is? I would say his [REDACTED]. Okay. And no signs of, like, paralysis or anything related to the C-spine? That's correct. He was, despite his pain in his knee, he was able to stand and take a few steps, and he denied any pain in his head or neck, and he refused a C-collar. Okay. All right. I will take all this information, sir, and I will relay it to PEDS, and let them know you'll be here in, how soon was your ETA again? Ten minutes. Ten minutes. Okay. Thanks. Thank you.</t>
  </si>
  <si>
    <t>Hello UH. What's up Rich, this is Cleveland Medics 41. I'm bringing you a 14 year old male with a GSW to the right shoulder. Heart rate is 140, blood pressure is 140 over 96, 98% remare. I'll be to you in about 6 minutes. Alright, [REDACTED]. Awaken alert. Thank you.</t>
  </si>
  <si>
    <t>UH. Hey UH, it's Cleveland Medics 6. We are currently coming to you with a two-year-old female. She was under strained, front passenger and a MVA. Moderate front end damage, sir. Heavy front end damage. She was [REDACTED]. She's got a pretty pretty significant contusion to the left side of her head. She is [REDACTED]. She's crying for us vitals currently are 96 heart rate, sinus on the floor 120 over 82 was the last pressure. She's 96 percent. Lung sounds are clear and equal. We've got a 28 respiratory rate. Other than the head contusion, she definitely has some injuries inside her mouth. No deformity to any of the joints. Pupils were equal. We're gonna be there in probably like five, six minutes. Okay, approximately how many? How fast was the car going? Sir, damage wise, how fast do you think the truck, the car was going? 30, 35? 35 miles. She was in the front seat, unrestrained? Correct, yeah. Alright, we'll see you when you get here. Thank you. Thank you.</t>
  </si>
  <si>
    <t>UH Danny. Hey UH, this is Mentor Squad 1132 for report. Hey, what's going on? Bringing UH, three year old male coming from home. Patient fell backwards and that kind of was limp. He was having breathing, kind of breathing patterns of two grunts. We got him on blow by non rebreather right now. Got off to 99% on the blow by. Now he's having a [REDACTED]. His grandmother is riding with us, trying to keep him awake. Let's see, we got a C collar on him just in case. They said he only fell back once there and hit his head. He does have history of epilepsy. 114 over 63 on blood pressure. Heart rate was 110 and blood sugar is 153. He should be there in about 10 minutes. Does Graham have a heart attack? Does grandma think that he had a seizure and then fell back or? No, she says he just has a history. She said that he gets stiff after seizures, but he doesn't seem stiff at this time, so. And right now he's [REDACTED]. How's his breathing now? Because you said he was grunting. Pretty sparse. Getting a little sleep. Yeah, he was having like, it was like two weird breaths. They were both cleared bilaterally. What's his, um, trying to see. All right. Does he respond to painful or verbal or anything or he's just [REDACTED]? He's [REDACTED]. I'm just rubbing him. He [REDACTED]. Oh, okay. Okay. Okay, glaze. All right. I don't know. They might make this a trauma. Just because of he's not acting right. Right. So, and it was just a fall from standing backwards? Yeah, from one step fell back at his head. Oh, he was on, he was one step up? Yes. Okay. One step up. All right. Alrighty. If his condition or anything changes, give us a call back. Okay, I will. How far are you out? About ten minutes. Okay, awesome. We'll see you soon. Bye. Thanks.</t>
  </si>
  <si>
    <t>Children's ER, this is Dr. Weiss. I have a trauma report coming to you guys. I have a 16-year-old female. She was a passenger in an automobile accident. It was a head-on. We did require extrication. Here she's got an obvious broken left arm, some facial laceration. She was [REDACTED]. She's [REDACTED] at this time. Current vital signs is a heart rate of 84, pressure of 99 on 64, respirations of 18, and setting at 97%. [REDACTED]? Yeah, [REDACTED] right now. Has she gotten anything for pain at all? I'm actually just opening up my narcotics right now. I was going to give her some fentanyl and go from there. Okay, sounds good. We are probably 10 to 15. Alright, sounds good. We'll see you when you get here.</t>
  </si>
  <si>
    <t>ER, Dr. Rahman. Hi, Doc. It's Brent, Critical Care with Rapid Jamulands in Lockport. How are you? Hey, what's up? I have a 17-year-old female, unbelted passenger of a two-car motor vehicle accident, T-bone. She got the airbag. Again, was not belted. Positive loss of consciousness. Does have a hematoma to the head and also a hematoma to her foot. Good PMS. Conscious, alert, and oriented right now. Just wondering with the age there, if you're recommending more children's or more ECMC? I mean, you can pick either. Okay. I didn't know. Last time I came in, it was kind of a war, so I just didn't want to get into that again. No, no. You can come here or you can go to ECMC. It's up to you. Whatever's closer. Okay. I mean, we're coming from Oxford, so they're both the same, so... Okay. Yeah, no, other than the obvious head injury there from not being belted and the [REDACTED], I think she definitely warrants a trauma eval. Yeah. What are her vitals? Uh, TECI 120s, blood pressure 132 over 82, SpO2s 97, 98, room air, [REDACTED]. Okay. Hang on a sec. Okay, well... Okay. All right. So you're coming here, right? Yeah, we'll come up to you. Okay. ETA? Uh, from Lockport, probably 25 to 30. 25 to 30. Okay. All right. Thanks. All right. All right. Thank you.</t>
  </si>
  <si>
    <t>ER, Dr. Ruffin. Hi, this is Rachel from City Ambulance. I have a 17-year-old male that was in a motor vehicle accident with front-end damage to the vehicle, airbag deployment, complaining of chest pain, shortness of breath, and belly pain. He is [REDACTED], [REDACTED], asking repetitive questioning. I'm not sure about a flat lung. I can hear lung sounds on both sides, but his lips are white, and he keeps on saying that he has trouble breathing. Anything on the chest exam? I'm sorry? Anything on his chest exam visible? No. Do you have a pulse ox? Yeah, I have 100%. I have him on two liters. What was he without the oxygen? He was at 93. Okay. So not too bad, and he went right up with the oxygen. Blood pressure was initially soft of like 90 over 90, or 47. BP now with fluids is 108 over 71. Heart rate of 70, sinus rhythm on the monitor. Respirations about, I would say, 22. Okay. He was still in the car, right? What? He was still in the car, right? Yeah, he had not self-extricated. Okay. He said that he did lose consciousness, and his brother or his friend said that he did as well. Was there somebody else in the car? There was two others, but they were ambulatory on scene. Okay. Okay. Mom is notified. Her name is Laura, right? What's her phone number? 930-4202. 4602? So 930-4602, if you need that. Her name is Laura. Okay. Does he have any, like, open wounds or bleeding or fractures? Not that I've seen. I've done just an exam through clothes. I'm about to cut off everything. Okay. Okay. His spinal no-albuminization is in place. Okay. He should be there maybe, maybe like 12 minutes. 12 minutes. Okay. Yeah. All right. Sounds good. Thank you. Thanks, man. Bye.</t>
  </si>
  <si>
    <t>Children's ED, this is Josh. Hi, can you hear me? Yep, I can hear you. This is Mercy Plant, we've got a patient coming in. Okay, go ahead. I have a four-year-old male, fell roughly, call it a couple hundred feet, into the Niagara Gorge. He has a pretty significant head injury, looks like it's possible skull fracture on the back of his head, bleeding semi-controlled with jaws and padding. He was pretty much [REDACTED] the whole entire time. We just RSI'd him. Unable to get the tube, but he does have an eye gel in with good readings and good stats. Okay, can you give me his vitals? Sorry, go ahead. His vitals, can you give them to me, please? Last heart rate was 130, pressure was 100 on 70s, and then he's now, we can't get a stat because his hands are so cold. Okay. Now, what's his respiratory rate? We're bagging him with the eye gel. We're going for about 20 right now. Okay, gotcha. And a GCS? Initially, he was probably maybe a four or a five at best. Just kind of [REDACTED], but [REDACTED]. Okay, and we said no tube, correct? He has eye gel only, yes. Okay, the eye gel, gotcha. But we have a great reading with that. What's the rest of the ETA? We're working on getting loaded up. We'll probably be there once we start. About, hi, 15, 20 minutes or so. Okay, and he has pulses? Yes, we have pulses. Okay. All right, anything else you guys have questions on? I don't think so. He's going to be a... Do you guys have any IV access? He's going to be a... Sorry, go ahead. IV access? Yes, 20 in the left AC. Okay. Gotcha. All righty, so 15, 20 minutes. You guys give him a call if he clinically... He changes. Are you flying, driving? How are you getting here? Flying. Flying. They're at the Niagara Gorge? Yeah? Okay. Yeah. All righty, guys, thank you so much. Thank you, bye. Bye.</t>
  </si>
  <si>
    <t>Oh, sorry, emergency department. This is Alana. Hi, this is a paramedic with AMR. I just want to give you guys a heads up. Hey. I have a seven-year-old female. She fell out of a second-story window onto the driveway. No loss of consciousness that we know of. She got up herself and walked inside. She has like a three to four centimeter lack underneath her chin, and she lost three teeth in her mouth before we got there. The [REDACTED]. The vitals are good, 93 over 54. Heart rate is 106, 97%. So improved error. We'll be there in five minutes or so. Perfect. Sounds good. Thank you. Thank you. Bye. Bye.</t>
  </si>
  <si>
    <t>This is Dr. Ruano. Hi, I'm calling for a patient number. Okay. I have a 14-year-old male patient. He's got one GSW to the upper back. He's [REDACTED] right now. There is no exit wound. Bleeding's controlled. Vitals are stable. He's refusing an IV. I'm working on it, but we're like maybe not even 10 minutes away. 10 minutes. Okay, can I get his vitals? Yes, heart rate is 106. Okay. Pressure is 150 over 94. Okay. He's 95% room air. Okay. 22 respirations. Okay. [REDACTED]. 15. Yes. Okay, so GCS upper back without an exit wound? Yep. Okay. He's moving all extremities well. No paralysis. Back? Like is it on the right, the left, midline? It's upper, pretty close to midline. I think a little to the right side. Okay. But it's pretty midline. Okay. Okay. Okay. Are you guys good with that? Do you want me to go to ECM? No, no, no. Okay. Nope. That sounds great. We're just going to page it out as a trauma for when you guys arrive. Okay? Cool. Thank you so much. Like I said, I'm trying to get an IV. He doesn't want me to post him, but. We'll get one here if anything. All right. Cool. Thank you. Bye.</t>
  </si>
  <si>
    <t>ER, Dr. Rahman. Hi, Dr. Rahman. It's MERS Control. How are you this morning? Hey, good. How are you? I'm good. I've got a report from StatMed of Act 12, and since I'm going to end up talking to you anyway, I figured I'd just call you directly. Okay. They are inbound 10 minutes to your roof with a 0-5-year-old female who was involved in a motor vehicle accident. The child did have [REDACTED], is [REDACTED], [REDACTED] at this time. Okay. Large scalp laceration going from the top of the head all the way into the forehead. Okay. Bleeding is controlled. And right now we've got a set of vitals of 96 over 63. Okay. Heart rate's 110 in sinus. Respirations are 18, standing at 97%. And like I said, they'll be on the rooftop in about 10 minutes or so. Okay. Sounds good. All right. Thank you. All right. Thank you. Bye-bye.</t>
  </si>
  <si>
    <t>Jones here, Dr. Chadda. Hi, Dr. Chadda. This is Jeff Medick with Twin City. I was calling ahead to you, and I'm bringing in a [REDACTED]-year-old male with an open compound fracture. Ah, what happened? So he was passing through in a side-by-side ATV when it flipped over, and when he fell out of it, the ATV tipped over to roll bar, came down on his right leg. He has obvious crepitus, and there's a small hole, some slight bleeding, so that's why we're calling it open. There's no bone sticking out or anything like that. What is it of? What bone? The right fibula. Right fibula. Okay. Yeah. Good PMS, good motion, good sensation. Pains like 5 out of 10 right now. Is he helmeted? I don't believe so. Okay. Okay. And, okay. You had vitals, like you mentioned? Yeah, blood pressure currently 143 over 78. Pulse is 80. Okay. And stats are 90% down in room air. 90%. [REDACTED]. [REDACTED], okay. All right. Any other complaints, neck pain, abdominal pain, [REDACTED]. Had a little slight nausea after he got loaded up and started. He's doing okay. So we got split it with a nice pack, and it's kind of helped to just stay in a little bit. Okay. And you mentioned he was in ATV off rollover? Correct. It was a side-by-side ATV. How old is he? [REDACTED]. [REDACTED]. Okay. How far out are you? Just like 20, 25 months. 20 months. Okay. We'll be on the lookout. All right. Thanks. Bye. Thank you. Bye. Bye. Bye.</t>
  </si>
  <si>
    <t>Edie, this is Dr. Vareto. Hi, this is Vareto with TwinCity. What's going on? I have a 13-year-old female who was hit by a car. Hit by a car? Okay. Yes. The business actually had a video of it. Okay. She was crossing the street when the car came. She hit the side of it, and you can see that she rolled, and she was [REDACTED]. Okay. So she has no, like, she didn't tell us her name or anything, and she keeps repeating herself. So, and she has a deformity on her left collarbone. Okay. Can I get her vitals? Heart rate's 106. BP is 125 over 73, and she's 100% on room air. And respiratory rate? Respiratory rate is 20. And GCS? She's [REDACTED] right now. Confused? So maybe 14? 14, yeah. Okay. She's [REDACTED] and everything. She just keeps [REDACTED]. Like, she couldn't even spell her name right. Okay. Okay. Okay. What's your ETA? Probably about 13 minutes. 13 minutes. Okay. We'll see you when you get here. Thank you. All right. Thank you. Thanks. Thanks. Thanks.</t>
  </si>
  <si>
    <t>Hey, it's Ryan. Hey, it's Jeff Abbott with the Mercy Flight. I just took this kid. Okay. You want TXA on him or anything? We gave him 80 a rock at 150 a ketamine. 80 a rock, 150K. What's the vitals? 152. 152 over 92. Sat at 96. And title is 62 right now and a heart rate of 136. I took a quick look with VL, but it was kind of the bougie was just jamming up, so I pulled right out and went right DL on the first pass. What's that, Sue? Seven. All right. How far away are you? Probably about 140 pounds. Give us about 25 by the time we get spun up. 25 minutes? Yeah. Any other obvious injuries? No, I don't see any. It just looks like head. He was [REDACTED] and [REDACTED]. Okay. Even though he has a head injury, I went and put a nasal airway in, but I pulled it right away because he was kind of [REDACTED] and stuff. That's fine. I think it was a quench. You could hold off on him, man. Just keep him sedated. I would try to don't do any more ketamine. You can give him fentanyl and Versed if you need. Yeah, that's where I would go. I'd go fentanyl and Versed. That's fine. Or Procofol. Do you want TXA? No, you could hold off. Go ahead. You could hold off. That's fine. Okay. Hold off on it. All right. Thanks, guys. All right. Thanks, guys. See you in a bit.</t>
  </si>
  <si>
    <t>Hi, it's Dr. Hall, PZD. Hi, how are you? I'm Supervisor 942 for AMR. I'm going to have Truck 549 coming over to you guys with a 15-year-old gunshot victim, one to the upper left chest with what looks like an exit wound. They have it plugged up with an occlusive dressing. They're called up with some further vitals and everything. Just wondering if you guys want to just start TXA. I don't know what the pediatric dose would be for TXA. Gotcha. Where are you guys coming from? We just got a police call about this. Chico, Oaxaca. The same one. Okay, from Chico, Oaxaca. Yes. Probably the same one. How far out are they? Do you know? They'll be leaving here in about five, I would say 15 minutes, 20 at most. Okay. Do you have any vitals on this patient? Let me double check. I can probably get that from you from side to side. 143 for the heart rate. We're cycling the pressure now. 92 or 40 for the initial one. [REDACTED]. He's kind of coming in and out of it a little bit. Okay. All right. Are you guys giving anything in route? So we've got fluids going via 16. Do you want TXA? Do you want TXA for him? Is he like actively exsanguinating? Hello? Can you hear me? Yeah. Is he actively like exsanguinating or is the bleeding well controlled? Bleeding's controlled with the occlusive dressings. I just don't know about anything internally. You should be able to hold off on TXA if you guys are five minutes out. 15 to 20. Oh, sorry. I thought you said five. Yeah. Hold on one second. Let me just double check with my supervisor. Where did he go? Stop. Anyone? What's his T-mass? They want to know if they should get TXA. They want to know if they want to do it in route. He said he's not actively doing that from the outside. He said you can hold off. Yeah, we're okay. Okay. All right. No problem. All right. See you in a little bit. Thank you. Bye. Bye. Bye.</t>
  </si>
  <si>
    <t>Hi, Doc. It's Bob on Medicaid 82. I'm just giving you an early trauma alert. Okay. I got a approximately 15-year-old male who was the operator of a side-by-side, not restrained, no helmet, went off the road, rolled it over like four times. He and his two friends were both ultimately ejected. He's got a significant head injury. He's [REDACTED]. He's got a laceration on his cheek, abrasions on his opposite cheek and his jaw. Not really responsive very much. He's screaming and doesn't listen to us at all. He's had two previous lower arm fractures because he's had casts, but the right side looks like it's broke above it. Chest is good. Belly's good. Pelvis looks good. Caden, relax. Caden, relax. What would you say to him? I would say maybe 10, 11. Okay. Is he opening his eyes for you at all? Occasionally. Okay. Is he [REDACTED] at all? Yes, that he will do. But he's not, like, making any purposeful noises or anything? No, no. All right. Sorry, what other vitals? 166 over 98. Heart rate over 90. 103. Respiratory rate of 42. O2 sat right now. I got him on some O2, O2 sat 95 right now. Okay. We're going to be about 25 minutes to you. 25 minutes? Where are you guys coming from? Attica. Okay. So, like me? Oh, yeah. All right. We'll see you guys soon. All right. Thanks. Thanks. Bye.</t>
  </si>
  <si>
    <t>Dr. Bowden, can I help you? How you doing? It's Chris Ford with Mercy Flight. Hey. Hey, how are you? We're coming up from Olean with that transfer from the ATV with a head injury. Just wanted to give you an update on it. We're about 20 minutes out. Okay. Do you have kind of the rundown? Did you kind of get the rundown on her? Yeah, subdural hematoma, pneumocephalus, skull, or orbital fracture. Yep. Yep. Looks like a pneumo as well. Left apical pneumo. So right now, so she got 500 of Kepa, 600 of Anstap. Well, let's see, 45 milligrams of ketamine while she's in ER total over about an hour, hour and a half. C-collars in place for us. She's been continuously sedated on ketamine, 1.5 mg per kg per hour, and she's been resting comfortably for us. She did have one episode en route of a pretty good amount of emesis for us. From what we heard, that was the first round of emesis that we had throughout the entire process. But she did have that for us. Most recent set of vitals, a heart rate of 85, 114. We're 68. End tidal, we have her on end tidal nasal cannula, 38. So the rest are at 31. Set at 100% on two liters. Other than that... Why is she on two liters? Was she hypoxic or anything? No. It's just we have her on because just because the end tidal nasal cannula, that's the most she was with it. Gotcha. Okay. Yep. I don't know if she, I don't believe she ever had any hypoxic episodes. So even when she was off it doing some swaps, she was still at 100. All right. Is she... Is she arousable? She was. She was very... For the staff, she was [REDACTED]. Anytime she would flail around, she wasn't sitting still. For us, she tries just to get up. She's [REDACTED] and [REDACTED]. Although when we got to her, she was already pretty sedated with some ketamine. But when she'd kind of come out of it, [REDACTED]. So they had her continuously sedated. Okay. Is she getting continuous ketamine now? Yeah. Yep. 1.5 microkits per hour. All right. Yeah, I'd rather... I mean, I would feel better if you turn that off because our neurosurgeons are going to want to get an exam on her. Okay. I mean, if she really gets combative and unmanageable, I mean, we could always bolus her with a dose or something. Okay. But if we're able to get that off and start getting her back to a normal mental status, that would probably be really good. That would be really preferable. All right. Yep. Sounds good. We're just on the 400. We're about 20 minutes out, so that should give us enough time. We'll shut off. Oh, you're not flying. No, no, no. We're on the ground. Yeah. So we've got... We're about an hour into this. Oh, I got you. Okay. All right. We'll see you in a little bit. Thanks. All right. Sounds good. Thank you very much. Bye. Bye.</t>
  </si>
  <si>
    <t>Hey, Doc, how are you? Good, how are you? Good. I just have a quick patient update here for you. Sure. So, I'm coming in about six minutes out. We have an eight-year-old male. He was crossing the street. He got struck by a truck going approximately 20 to 25 miles an hour. Unknown laws of consciousness. He's insane. He doesn't remember what happened. Two pretty significant methamphetamines right above his right eye and on his right temple. He does seem pretty... He's [REDACTED] and rancid, but he doesn't seem kind of [REDACTED]. Okay. And I do have vitals for you when you're ready. Perfect. I am ready. He's been pretty hypertensive throughout. Less pressure was 170 on 100, 115 for heart rate, and 97 on rare. Okay. Are his pupils equal, Henry? Are they equally active? Yes. Pupils are equally active. Full TMS in all extremities. No other complaints. That's out of his head. Okay. All right. You guys are about six minutes out? Yes, ma'am. Okay. I'll see you soon. Thank you, doc. Appreciate it. Thank you.</t>
  </si>
  <si>
    <t>TCD is Dr. Hall. Hi, my name is Aiden. I'm a paramedic student with AMR. I'm on the way to you with a 15-year-old female involved in a motor vehicle accident. LLC for about 10 seconds. Was not wearing a helmet. She does have some bleeding coming from her left ear. Was she in an R? Sorry. No, she was riding an ATV. Oh, I thought you said motor vehicle accident. Okay. Yeah, ATV accident. Sorry. That's okay. Vitals are as followed. She is currently 42 for a heart rate. Sinus break. 100% on room air. Working on a new pressure right now. She was a little soft. What's a little soft? Like what is that? I'll tell you. Just 118 over 74. Okay, that's fine. Yeah, 109 for a blood sugar. She's got an 18 in her right biceps. That's currently and she's got 500 back going through. Okay. What is her mental status? Like what is her GCS right now? [REDACTED]. 15. Okay. And is she in any pain? That's just a really low heart rate. Just want to make sure she's not like. Yeah, she's complaining of a headache and then left over pain. Okay. And that's a true heart rate of 42? Yep. Okay. And she's meditating normally. So you're not concerned about herniation or anything like that. Nope. Okay. How far out are you guys? Uh, about five minutes. Five minutes? Yep. All right. We'll see you then. Thank you. Yep. No problem. Bye-bye. Bye-bye.</t>
  </si>
  <si>
    <t>Children's Air, this is Dr. Weiss. Hi, this is Brittany with AMR. Hey, thank you. Sorry again to make you call this number, but this way it's recorded, so thank you. No problem. So I have an 11-year-old. He was riding his bicycle down the street and was struck by a vehicle going about 30, 35 miles per hour. Okay. He reports positive LLC. He can't really tell me everything that happened. Right now he's just complaining of less leg pain. He cannot move that leg. I do not know any obvious deformity. And I do have his helmet with me. There is some damage to his helmet. Okay. His pressure was 110 over 64. Okay. Heart rate 116. Okay. O2-98 room air. Okay. And we'll be there in about five minutes. Okay. [REDACTED] other than the amnesia? Yeah. He's [REDACTED]. Okay. Sounds good. And has he needed anything for pain or anything yet? At this point? No. We're BLS. Okay. Sounds good. When you guys get here, we're going to have you guys start in the trauma room. Okay. Sounds good. Thank you. Awesome. Thanks. Thanks. Thanks.</t>
  </si>
  <si>
    <t>Children's Emergency Department, this is Dr. Ruano. Hey, this is the paramedic with AMR. Is this the ER? Yes, it is. How are you doing? Doc? Yeah. I've got a beautiful, I'm not saying you're false. I have a, I had a pediatric trauma code. Ten years old, possibly 11. Riding her bicycle, hit by a car. She was underneath the car. We're looking at about a 15 to 20 minute extrication time. She's got abrasions all over her body. She was found as physical. Found as physically. Okay. Yeah, found as physical. She looks like she's got a huge skull fracture. Looks like a report style right across the bridge of her nose. She was pinned between concrete and the bottom of the car. I currently, she's [REDACTED], six tube. I got two lines. I got some fluids running. Right now, bolus of 150. I currently have a heart rate of 172. Standing at 100% with occasional [REDACTED] at this time. Entitled CO2, we're holding at 35 to 36. And the last blood pressure is 129 over 66. And I'm currently on Grand Island, so I'm still probably maybe 10 to 15 from you. 10 to 15. And [REDACTED] with bagging? Yes. Like, she'll take that gas full of breath and suck the bag down a little bit. It's only about four breaths a minute right now. Okay. We got active bleeding out of the left nostril down. Bleeding. Okay. Bleeding from left nostril. And it looks like there's a skull fracture as well. Oh, yeah. It looks like it. She's got a hemiformal beginning between her eyes. Okay. Her nose is completely depressed between her eyes. Nose is depressed. Okay. Eyes are slightly bulged out. She did have some blood in the back of the throat when I did intubate her. Okay. The bleeding from her nostril, I did a halo test. I did a 83-volt spinal fluid in it at this time. Okay. No other obvious deformities other than scrapes and abrasions all over her body. So it was a 20 to 30-minute extrication. She didn't have pulses when you got to her. How long did it take before you got ROSC? The fireman did great CPR. Once we got her out, three minutes, and I had sinus attacks. Three minutes. Okay. And did she get any epi? No epi. Just CPR. No epi. Just CPR. CPR. Yes. Okay. Okay. Let me just see if my attending needs any questions. Give me one second. No. Okay. We're good. I got time. Okay. 10 to 15 minutes out. You have two IVs, and you said she's [REDACTED], being bagged. Any just normal saline? Saline fluids going right now? Yes. I got about a 150 bolus. Do you want me to give anything more? No, that's fine. That's fine. All right. I got no seizure activity. Okay. Her pupils are better. They were fixed and dilated. Now they're mildly reactive and beginning to constrict with the light. Okay. So now they're somewhat reactive? Yes. Very sluggish, but I'm bouncing down the road here. Okay. That's okay. That's okay. Okay. And so [REDACTED]? Yes. Absolutely. Okay. She was pale, slightly mottled under the car even. Okay. Okay. Okay. So it was probably from impact to extrication a solid 30, 35 minutes. 30 and 35 minutes. Okay. From impact to extrication time, three more minutes with good CPR, and we got false effects. Okay. Okay. Okay. So you're 10 to 15 minutes out. You're at Grand Island right now. We'll see you guys when you arrive. If you need anything in the interim, please don't hesitate to call. Okay? All right. Thanks, Doc. We'll see you in a little bit. Thank you. Thank you. Bye.</t>
  </si>
  <si>
    <t>ED, it's Dr. Petrosky. Hi, Dr. Petrosky. This is Dave Monroe, paramedic with the town of Tonawanda. I'm just calling you, updating you on a patient. I'm bringing in the trauma alert. Oh, I didn't know about this. Okay. So, yeah, we're still on scene. My partner's just about to transport you. We have a 16-year-old male patient that was hit by a truck, a Ford F-150, and was dragged. He was on a bicycle. Oh, wow. He was dragged probably about 50 yards. Okay. He's complaining of [REDACTED]. He was wearing a helmet. He's got an unstable pelvis. He's got road rash all on the left side of his body. His vitals are 115 over 74. His heart rate's 110. He's 94%, 95% on room air. He's [REDACTED] right now, and we're just packaging him up to transport. We'll probably be there in about 10 to 15 minutes. 10 to 15 minutes, and he's 16 years old? Yes, doc. Okay, sounds good. Thank you. All right. All right. Bye-bye. Bye-bye.</t>
  </si>
  <si>
    <t>Hey, it's Kyle here. I'm at Equal Link. How are you? Hi. We're talking to a 12-year-old male who was involved in an ATV accident. He was riding an ATV with no helmet. He hit a bunch of big rocks, maybe like bowling ball-sized rocks, and it flew off the ATV, landed in the grass on his face. He's got some brush burns on his face, brush burns on his leg. He's complaining of right wrist pain. He is [REDACTED]. He does not remember the event itself. He thought he was, when we got him into the ambulance, he said he [REDACTED]. All his vitals are stable and we're excited to find out. What are his vitals? 123 over 71. Heart rate's 100. 97% in remit. Okay. And he's GCS. What would you give him? I'm sorry, did you get that? No, I'm sorry. What did you say his GCS was? 15. Just the only thing he doesn't remember is the event itself. Okay. How far out are you? I didn't catch you again. How far out? Like five or ten minutes. Okay. Thanks. All right. Thanks. Bye. Bye.</t>
  </si>
  <si>
    <t>PCD is Dr. Hall. Hi, Doc. It's City of Lockport Paramedics calling about a patient that I'm bringing in to you guys. All right. I'm ready. All right. An eight-year-old female. She's [REDACTED] and breathing. She was involved in a single vehicle accident, MVC. The vehicle collided with a stationary object, a tree. Estimated speed was about 55 miles an hour for the road that they were traveling on. The victim was self-extricated when we got there by the police officers. She's complaining of abdominal and back pain mostly. She does have some bruising along the abdomen, what we believe is the seat belt. She was in, like, a regular lap-shoulder belt type, you all know, car seat or anything. We do have a seat collar on her. Her [REDACTED]. Most recent set of vitals, heart rate, 124. Okay. Her blood pressure is 124 over 82. She's 98% on room air. Pupils are equal and reactive to light. So I'm just letting you know we're coming in. EPA, for us, goes probably like 15, 20 minutes. Okay. Did the airbags go off? I do have a name date of birth. It's in my phone. No, sorry. Did the airbags in the car go off? Oh, I'm sorry. The airbags. I thought you said info. Yes. There was airbag deployment, side curtain airbags, and front airbags. Okay. All right. Well, we'll see you guys in about 20 minutes. Sounds good. Thank you. Thank you.</t>
  </si>
  <si>
    <t>Dr. Belton, can I help you? Hi, this is Dana Scott, Advanced with AMR. I am bringing you guys a 14-year-old male that was run over by a car on Niagara Falls Boulevard, dragged roughly 20 feet underneath the car. We don't know how fast the car was going at the time of impact. He's got minimal lung sounds on the right side, clear lung sounds on the left. The [REDACTED]. He's tail diaphoretic. His pressure was 110 over 40. Current heart rate is 148. He was at 81% on room air. We have him on O2 now, non-rebreather. He's up to 85%. We're coming from the fall, so we'll be there in about 25 minutes. Hello? Yep, thanks. We'll see when you get here. All right, thank you. Bye. Bye.</t>
  </si>
  <si>
    <t>Children's Emergency Department, this is Dr. Ruano. Hey, this is Michaela with OVEC calling in patient report. Okay. I have a 14-year-old female attacked by a pit bull. We do have a tourniquet applied to the left arm with reported tendon exposure. She also has injuries to her face, a puncture wound to her neck. I believe it is just superficial soft tissue. She has injuries to her right arm and right thigh. She is [REDACTED]. [REDACTED]. Vitals are stable, 137 over 90, heart rate 106. She has 95% room air. Respirations are about 20 and regular. Like I said, she's [REDACTED], answering all my questions appropriately. Okay. And you said the tourniquet is on the left arm. Did it look like a pulsatile? I didn't see it. Police applied before I got there, and then the fire department applied the splint and the bandages prior to my arrival, and I didn't want to uncover them. I tried to evaluate it. I just left it all on. Okay. Did they say how it looked? Yeah. There was a volunteer paramedic on scene, but there was tendon exposure. Tendon exposure. Okay. Possible fracture? Yes. Okay. Okay. How far out are you guys? How far out are we? About 20 minutes. 20 minutes? Okay. Yes. Okay. I'm going to be able to get ID access. Perfect. How long has the tourniquet been on? The tourniquet was applied at around 1745. 1745. Okay. So about like 10 minutes? Yes. Try to take it off if you can, and like that we can assess it when they get here, because especially if there's like potentially an open fracture, if it's not spurting, that's okay. Okay. Yeah. Okay. Just because we don't want to risk further injury. Okay. Okay. And if it's spurting, I'm going to reapply it. Exactly. Do you want me to call back with another report? Up to you. Up to you. If it's definitely spurting, you can feel free to call me back, but otherwise you can just leave it as is. Okay. Sounds good. We'll see you then. Okay. Oh, just leave it. Oh, okay. My attending said you could just leave it. Do you want me to do it while you're on the phone? Wait, what's that? Yeah. Nope. Sorry. Sorry. Yep. You're good to remove it. Okay. Okay. Thank you so much. We'll see you guys soon. Bye. Bye. Bye.</t>
  </si>
  <si>
    <t>Children's ER, this is Dr. Weiss. Hi, this is Joe, paramedic on Lake Q8 with a potential trauma notification. Okay, what do you got? I have a 12-year-old male who's riding an electric skateboard and took a header off of it. He was wearing a helmet, but he's pretty [REDACTED], [REDACTED]. Okay. His blood sugar is 87. His vitals are 124 over 69, 99% of room air, 65 on the heart rate. Like I said, he's [REDACTED]. We can wake him up and kind of acknowledge that we're here, but [REDACTED] and won't tell me what to eat like that. Okay. What's his GCS? Is he moving spontaneously? Is he moaning spontaneously? Is he moving spontaneously? Yeah. Okay. Is he opening his eyes spontaneously or only to voice or only to pain? He [REDACTED]. Okay. And then is he able to, when he's talking, is he incoherent? Is he mumbling? Is he [REDACTED]? Mumbles. I asked him what year he said no and things like that. I haven't really gotten much out of him besides knowing. Okay. All right. Sounds good. And then... Okay. So how far away are you guys? We're just coming down Elm, so probably around five or ten minutes. Awesome. If you don't mind, if you haven't already, if you just wouldn't mind, would be able to throw him in a collar before you guys get here, that'd be great. Yep. He's got one. Awesome. Thanks. We'll see you guys when you get here. Thank you. Bye. Bye. Bye.</t>
  </si>
  <si>
    <t>Children's ER. Hi, it's Rob on Mercy Flight 9. How are you? All right. I've got a child from an MVA. She looks like she's about three, but we're unsure because both her parents were [REDACTED]. She was in a car seat. She was in a car seat in the back seat. It was a T-bone collision, 55. Impact was right behind her door. There was about a 12-inch intrusion. The car seat was intact. On presentation, the [REDACTED]. Then she goes right back out again. Her blood pressure is 111 over 71. Her heart rate is 120. She's standing at 98% on room air. Respiratory rate of about 28. She's got a little bit of blood coming from the nose, but her head is unremarkable. Lungs are clear. Endometriosis is soft. No obvious signs of long bone fractures. Unknown on history, meds, or allergies. We'll put her in the helicopter now, and we'll probably need you in about 22 to 23 minutes. From a GCS perspective, like the rest, you said [REDACTED] like eyes and other stuff? That's right. What would you do? She [REDACTED]. She starts screaming to painful stimuli. She does open her eyes, but she [REDACTED]. She [REDACTED], and then once we stop stimulating her, she [REDACTED]. Okay. I'll have to come up with a score if you guys... You feel very equal and reactive. Her blood sugar is 186. We've got two IVs established, and like I said, we'll be there in about 22 minutes. And she was in the car seat in the car still? Like she wasn't rejected or anything like that, correct? No, she was not. She was still intact in the car seat, correct? Okay. All right. Sounds like we'll see you in about 20 minutes or so. Thanks. Thanks. Okay. Bye.</t>
  </si>
  <si>
    <t>Here is Dr. Ramon. Hey, Doctor. How are you doing? I have a 15-year-old female who was on the hood of a car partying where the driver of the car had to brake where she fell onto the street and her right ankle got rolled over by one of the tires. She's got a pretty gnarly abrasion to the right ankle and swelling, but no real significant injury. I didn't know if you wanted to page that out as a trauma, so I'm calling you guys out of curiosity. Did she have any other injury? Besides that ankle itself, she's not complaining of anything else, but she's also intoxicated, I'm pretty sure. Do you have any idea how fast they were going? It actually doesn't really matter. Nothing. The police officers on scene said nothing fast. It was 15 to 20 miles an hour before she hit the brake and kind of just rolled over the ankle. The driver of the car. Do you have vitals? Yeah. 122 for the heart rates. 100% room air. 133 over 87 with the pressure. Okay. And no signs of head injury. [REDACTED] to the best you can get. Yeah, yeah. With what we're dealing with, there's alcohol containers everywhere and she's kind of [REDACTED]. But [REDACTED]. I'm not seeing any real obvious signs of head injury. Yeah. What would be your ETA? 10-15 minutes. Okay. All right. We'll talk it over, but thanks for the heads up. Sorry, what's that? Yeah, we'll talk it over, but thanks for the heads up. Yeah, yeah. I get you. Okay. All right. Appreciate it. Bye. Bye.</t>
  </si>
  <si>
    <t>You are Dr. Rahman. Hey, Doc. This is Mercy. I got a patient coming in. Okay. I got a 16-year-old male driving an ATV at high speed, estimated on 70 miles an hour, not wearing a helmet, sorbed, missed a deer, got thrown off the quad. He claims he probably ejected maybe 15, 20 feet. [REDACTED], [REDACTED], [REDACTED]. Vitals are absolutely dutiful, complaining of less rib pain, less femur pain, less hip pain. Can move everything, PMS times four. I got Zofran on board along with some fentanyl. Okay. [REDACTED]. Vitals, what are his vitals? Less pressure was 116 and 75, heart rate 78, 100% on room air. Okay. [REDACTED], [REDACTED]. You said just left rib pain, left hip pain. What else? And left femur pain as well. Okay. Okay. He's breathing okay? Yeah, lungs are clear and bilateral, no diminished breathing at all. Okay. All right. He'll probably be at your roof in like 25, a year or so. Okay. All right. All right, thanks. Thanks, Doug. Bye.</t>
  </si>
  <si>
    <t>Children's stat line, it's Dr. Bradfield. Hi, Doctor. This is Barry calling with Monroe Ambulance. I'm giving you a trauma alert on a patient we're bringing in. Can I give a report? Sure, what's up? I have a 13-year-old that was riding a four-wheeler 40 to 50 miles an hour, did a sharp turn and got ejected off of the four-wheeler. He got ejected off into the soft ground mud. He's got a severe laceration down in the femoral artery area. Going around his leg down by his groin in that area. The bleeding is controlled. It's probably a 10-inch deep open laceration. There was [REDACTED] with the patient. He has no other complaints at this time. Was not wearing a helmet. Has no neck pain. Neurologically is intact. I have an ID of 18 days started. He's had fentanyl and delfran, [REDACTED]. He's been treated with about a 10 to 12 minute ETA. Do you have vitals for me? Yes, I do. Sorry. Blood pressure 135 over 82. Heart rate is 70. Normal sinus rhythm. 17 for respirations and 100% set on room air. [REDACTED]. Okay. All right. We'll see you when you get here. We'll be there in about 10. Thank you. Thanks. Bye-bye. Bye. Bye. Bye. Bye. Bye.</t>
  </si>
  <si>
    <t>Children's ER, Dr. Rahman. Hi, this is Basic EMT with AMR. I have a 14-year-old male, minor, TSW, not through and through. Upper left shoulder. Vital when you're ready. Upper left shoulder? Yep. Okay, not into the chest cavity? No. Okay. No head injury, no neck injury? Nope. Okay. All right, what is it? Pressure, 160 over 90. Okay. Heart rate of 62. Okay. He was 95 on Ramirez. Okay. Sorry, [REDACTED]. Okay, is the bullet still inside, or did it just go through? Yes, there's no exit wound. So there's a penetrating bullet inside? Yep. Okay, all right, sounds good. What's your ETA? Five minutes. Five minutes, okay. Yep. All right, thanks. Five. Five.</t>
  </si>
  <si>
    <t>Hi, this is Nick with Mercy Play. Just wanted to pre-notify for a trauma we're applying on. Yeah. We're going to be inbound with a 13-year-old male who was in a go-kart type motor vehicle. He was hit by a pickup truck in a 55-mile-an-hour road zone. Unknown how fast the truck was going. There was pretty significant damage to the go-kart. Right now he has [REDACTED]. We're in [REDACTED]. He was wearing a helmet. He did have constipal LOSD because he cannot remember the entire event. It's unsure. He has obvious right wrist deformity, injury to the left femur, and an avalanche into the left knee, and various abrasions throughout his body. Currently vitals are 135 over 80. Heart rate of 90. SpO2 is 100% on room air. He's got a total of 150 of fentanyl for pain. Management, we're loading the aircraft now. We should be on your rooftop in about 20 minutes. Sounds good. We'll see you when you get here. All right. Thanks. Thanks.</t>
  </si>
  <si>
    <t>E.D., this is Susanna. Dr. Veruano. Hi, my name's Maddie. I just wanted to give an alert for an incoming patient. Yeah. So I have a 17-year-old male. Was in a car with his dad. The car flipped over. They were going about 30 miles an hour. He seat belted. He self-exercised. Vitals are stable. 81 heart rate. 110 over 67. 100% on room air. Currently has an 18 in the left AC. Is collared. Only injury is an abrasion to right above the left eye. Right below the left eye. He's a little [REDACTED]. Might have hit his head. Pupils are equal in responses. He's just 15. And can I get his heart rate? Heart rate? It was 63. 63 in his stats? 100% on room air. Respirators are 18. Okay. Okay. How far out are you guys? We're about 10 out. 10 minutes. Okay. Sounds good. Thank you very much. We're coming from the city of Lac Fort. Oh, okay. Sounds good. Thank you. Bye. Bye. Bye. Bye.</t>
  </si>
  <si>
    <t>Emergency Department, this is Dr. DePalma. Hi, good evening. This is Firefighter Pizek with Fredonia Fire. We're coming in with a patient to your facility, just looking for a patient to pass down to you guys. Okay. How old is the patient? She is 16. And what's his story? So she was involved in an ATV accident down by us this evening. There was multiple patients. We got her. When we arrived on scene, she was already immobilized with a C-collar. She has a left wrist fracture. We happened to mobilize the SAM roller bandage. Do you know how fast the ATV was going? Unknown speed to us. Okay. Any head injury? She's complaining of being tired, but her pupils are perla. In terms of her head, she has a lot of pain in her head. She has a lot of pain in her head. She has a left temple laceration. We have bleeding control with a 4x4 roller guard. Was she wearing a helmet? No. Okay. And you said [REDACTED]? Say that again? Did she have loss of consciousness? No loss of consciousness. No vomiting after? Correct. Okay. She remembers the event entirely. She's consistently [REDACTED]. So would you say her [REDACTED]? Like her [REDACTED]. She's [REDACTED] and [REDACTED]. Okay. And do you have some vital signs for me? Yeah. Let's see. The last that I have is 141 over 96. Prior to that, it was almost textbook. She's currently standing 99, 100 room air. Current pulse is 101, 102. And respiratory rate? It's about a 16. Okay. And how far away are you guys? We're about 20 minutes. Okay. Thank you. All right. We will see you when you get here. Wonderful. Thank you for the help this evening. We'll see you. All right. Bye. Bye. Bye.</t>
  </si>
  <si>
    <t>Oshawa Emergency Department, Dr. Sellish. Hello, this is Sean Bush with AT&amp;T with AMR. We're going to be bringing you a 12-year-old male struck by a motor vehicle going approximately 30-35 miles an hour. Caused a velocity on the impact. He's breathing. He's repeating a lot of the things that he's saying he is. He's superficial cuts to his arms, legs, and to the back of his head. Also potentially a broken right leg. We haven't splinted up as is right now. I got that vital if you want. Yes, please. 136 over 83 for a pressure. 97% on room air. Heart rate of 119. And you got, we're [REDACTED]. Just [REDACTED]. Doesn't really remember much what happened. Otherwise, [REDACTED]. Sorry. Respiratory rate. He's breathing a good 24. Okay. All righty. And how far away are you guys? We're about, how far? We're about eight minutes out from you guys. Eight? Okay. All right. Thanks so much. Yep. Thank you. Bye.</t>
  </si>
  <si>
    <t>Hi, it's Dr. Amborski. What can I do for you? Hello, this is Maya, paramedic with AMR. I am bringing you what I am told is a 14-year-old female who was struck by a vehicle going approximately 40 to 50 miles per hour. I would give her [REDACTED] at this point. She's [REDACTED]. She [REDACTED]. Hello, I've got vitals of 118 for a heart rate, 100% on Lumare, 123 over 85 for a blood pressure, and 135 for a BG. She's got bilateral 18s, and I am on the way to you. You'll be there in approximately 7 to 10 minutes. Okay, thank you. Thank you. Yep, thanks.</t>
  </si>
  <si>
    <t>PPD, Dr. Hall. Hi, I am calling with a trauma with Arcade Fire Department. All right. I have an 11-year-old male who has extreme hip pain. We do have it splinted at this time. He is missing a left pedopulse, and he does not have – or the left side is where the pain is. He's got some collarbone pain. He's got some neck pain. We do have his wrist splinted as well because we suspect that might be broken. What happened? Do you know? Car accident. Car accident. Head on. Head on. We've got more patients coming. More pediatric patients coming? You have his brother coming. Okay. So you should be getting a call about that one too. Okay. Do they have any idea? Like, was anyone ejected from the car? Did anyone die at the scene? Anything like that? We do have a patient being flown from the scene, but no DOAs. Okay. Any idea how fast the car was going? Does anyone have any suggestions? About 50. 55. This is a 55-mile-per-hour road. Okay. And was he seat belted? I'm sorry? Was he seat belted? Do you know? Were you in a seat belt? Yes. Okay. And what are his vitals? What are his vitals? So we have been splinting, so we haven't had a chance. Okay. But he is [REDACTED]. His pupils are responsive and equal. His O2 was at 95, I believe. Okay. Okay. Okay. Just because I'm going to page this out and they'll ask for it, I'll give, can I just hold on the phone while someone gets at least like a heart rate and a blood pressure, that would be? Yes, of course. We can work on that right now for you. Thank you. And how old is his brother? Got to get her to find out. I'm going to put something on your finger. Are you okay? Five, four, six, seven. Put something on your finger. Do I have your finger? I'm not seeing a problem. I got it. I'll be back. And putCL photos on that. Yeah. And will we get pPoSüm that one out? True. But when are the school gonna relax there. Okay. Good. And so my son-in-law. Well you know, I love my baby though. Yeah. God. Is your father. Your father. Yes, he's�er. Oh. All right, we've got a CO2 of 96 and a pulse rate of 97. Okay. Any blood pressure on him yet? Did you catch that? Yes, heart rate of 97, pulse ox in 96. Just waiting on the blood pressure. Okay. She's currently trying to get blood pressure. How old is his brother? I believe the brother is nine years old. Okay. And does he seem just as sick or injured or less so, or do you know? He's not in this ambulance, so I don't really care. That's fine. That's no problem. They should be receiving a call about him. Yeah, you should be getting a call about him shortly. Thank you. It's in your arm, okay? Can you move it out for me a little bit? There it is. That's his brother. Could you? I'm just telling him to hold. Okay. And your mama's going to see you at the hospital, okay? And mother should be en route to the hospital also. They're flying in. I'm sorry, did you say anything, Sarah? I wasn't paying attention. Yeah. Yeah. Yeah. Yeah. Yeah. Yeah. Yeah. Yeah. Yeah. Yeah. Yeah. Yeah. Yeah. Yeah. Yeah. Yeah. Yeah. Yeah. Yeah. Yeah. Yeah. Yeah. Yeah. Yeah. Yeah. Yeah. will you write the blood pressure that they give you down 110 over 70 110 over 70 110 over 70 all right thank you okay what's your eta uh we are in our cage so i'm going to say probably 45 to 50 minutes 45 to 50 minutes okay all right yeah and they will probably be running hot okay because of uh nighttime traffic okay okay thanks all right all right bye</t>
  </si>
  <si>
    <t>Children's Mercy Department, this is Dr. Ruano. Hey, it's Rachel from town. How are you? Yeah, good. Thanks. How are you? Good. We're going to be having him shortly. Perfect. I just want to give you a set of vitals. Perfect. He's like 124 heart rate, 115 over 80, 100% on room air. I do have a C collar on him. I haven't established any kind of ALS. I don't know if you want me to or just pulled off. No, that's fine. He's got a little bit of belly pain. Yeah, I was like, and then [REDACTED]. And you said no loss of consciousness, wasn't in a car seat. Was he wearing like a lap belt or like just the one across? It was like the lap across the shoulder and about perfect, perfect. So like a normal seatbelt. And what's your ETA? We're all the way in Kenmore. So you probably give me like 10 minutes. 10 minutes. Yeah, just because of the belly pain, we'll probably end up activating as a trauma. So I appreciate you giving us a call back. Also, his mom's coming with us. She told the EMTs before I got in here that she had neck pain. So she is walk it wounded with a collar on. Okay. I put it on her before I could. Just to give you a heads up if you see this. Sounds good. Thank you. Thank you. Bye. Okay. Bye.</t>
  </si>
  <si>
    <t>Hey, Doc. I'm coming here with a 16-year-old male, post-MBC, with positive LLC, [REDACTED]. Okay. What did you take off for? I'm sorry? The [REDACTED]. What did you take off for? For [REDACTED]. For [REDACTED]? Yes. Okay. Was he belted? Correct. Positive LLC. Was he belted? Yes. Okay. About 50 to 60 miles an hour with a rollover and a box truck. Rollover and what was that? And a box truck. Oh, a box truck. Okay. Do you have a set of vitals? Yep. Heart rate of 130, 130. Restorative rate of 20. Life pressure 142. Okay. 93. 98% on Romare. 98%? Correct. Okay. How far out? About 10. All right. We'll see what you get there. Thanks. Bye. Bye. Bye. Bye.</t>
  </si>
  <si>
    <t>Hello, Dr. Reeves. Hi, Dr. Reeves. This is Jeremy with AMR. I didn't have another number but you. I'm coming in with an 8-year-old from Niagara Falls that got struck by a vehicle going about 30 miles an hour in the road. Witnesses said that he did go underneath the vehicle, complaining of abdominal pain, head pain. He does have some minor abrasions. Lung stones are clear. Vitals are stable. There's a questionable LLC at the scene. He's got a collar on. BP is 126 over 64. Heart rate of 86. SpO2 is 100%. And we're probably like 10, 15 minutes out. And then you said he went under? Yeah, that's what the witnesses said that saw it. And the troopers are saying probably about 30 miles an hour for the car. There's cars. I didn't have a stop sign. And he ran out in front of it. Okay. All right. And then what was that blood pressure again? 126 over 64. His heart rate is 80 feet. And then he's 100% right over there. And [REDACTED]. 15. Okay. All right. Yeah, we'll see when you get here. Okay. All right. Cool. All right. Thanks. Thank you. Bye. Bye.</t>
  </si>
  <si>
    <t>Dr. Boughton, can I help you? Thank you. Hello, Timothy from Paramedics with AMR, giving you a further update on the trial. Traum coming in? Yep. So, MVA, head injury, has a head wound bleeding out of the right ear. Heart rate is 64, blood pressure is 118 on 67. He is in respiratory arrest at this point, working on intubation at this point. So, he's got a pulse, heart rate is 118, or blood pressure is 118 over 67? Yes. Heart rate is 64? Okay. And you're trying to evade him now? Correct. All right. I have an ER physician that was on scene on board with me, and also a pediatric ER nurse on board with me. You have an EM doc on board with you? I have an ER doc on board with me that was on scene bypassing. Okay. What's your ETA? Still probably 15 minutes out. Or what are his pupils doing? What were his pupils doing? Fixing dilators. Okay. Are we moving on his legs? Move his legs around. Is he moving? Yeah. Okay. So, you said he has a pulse? Yes. Strong pulse. He's [REDACTED] over it, but he's [REDACTED]. Okay. Who's the ER doc that's with you? She's from downstate. Here on vacation, driving by. Oh, somebody on scene, not one of the EM residents. Okay. Yeah. All right. All right. This is the . Oh, . All right. Thanks. Any other injuries? All right. Is that there? That's unnoted now. ET tube's in. Okay. Thanks so very much. Okay. So, yes. About 15 minutes out. All right. You guys got the tube? He's got good breath?</t>
  </si>
  <si>
    <t>Hi, this is Dr. Pathros. Hi, doctor. This is Eric Barkey, paramedic on Mercy Flight 8. We're going to be inbound shortly with a 15-year-old female involved in an e-bike accident, not wearing a helmet. She appears to be bleeding with some CFS fluid coming from her left ear. Her vitals right now are about 110 on 80 is her blood pressure. Yeah, 128 on 68 is her blood pressure. She's at 97%. Her pulse right now is 54. End title is about 32 right now on a nasal end title. We had to give her two and a half of Versed as she was [REDACTED] and starting to grab at everybody. She's not intubated right now. She is maintaining her own airway. We're going to closely monitor, but we're just loading up now. If you're ready to go to you, we have about a 15-minute ETA. If you have any questions for me. Unknown allergies, unknown meds. She was found by pedestrians. What would you say her GCS is? Her [REDACTED]. But [REDACTED]. Okay. Before the Versed. Okay. She's [REDACTED]. But she is crying. So maybe [REDACTED]. And then do you have IV access? Yes, we have IV access. We're going to have our innovation stuff ready if needed. Okay. We'll see you in about 15. Okay. Bye.</t>
  </si>
  <si>
    <t>OSHA Emergency Department, Dr. Selish. Hey, this is Joe with OSHA CMS. Did PDAC or Urgent Care contact you? They might have contacted somebody else. I didn't speak to them, though. Okay. So I am coming to you with a 15-year-old male, fell about seven to eight feet off of a fence, onto the ground, hit his head, complaining of left side abdominal pain, guarding it a lot. It is definitely a lot more rigid and descended than the right side. [REDACTED], but then hit his head. I put him in a C-collar. Vitals were good when I got there. Now he's sitting, finest rhythm at 88. What pressure is 60 over 43? So 150 over 40? Sorry, you said 150 over 43? No, 60 over 43. 50 over 43. Okay. Yes, that's why I'm calling you now. Yeah, yeah, yeah. Okay. Okay. Rest of his vitals, please. FBO 2 is 100% on room air, showing a finest rhythm at 90 on the monitor. Yeah. And I have turned him on fluids for now. Okay. I just kind of want you guys to be ready for me when I get there. Awake alert, otherwise okay? Yes, [REDACTED]. Lung sounds are good. I'm going to check them again, and we'll be with you in probably like five minutes. Five minutes? Okay. Yeah. All right. We will see you in five minutes then. All right. Thank you. Thanks. Bye.</t>
  </si>
  <si>
    <t>Hello, Dr. Reif. Hey, Dr. Reif. This is Denise Sherald, paramedic on Mercy Playdate. How are you? I'm doing all right. And you? Was wearing a helmet. Helmet? You were in a helmet? What? You were not wearing a helmet. Okay. We're coming in with a five-year-old involved in an ATO rollover. Let me know when you're ready. An ATV rollover, you said? Yeah. Yeah. Okay. All right. Go for it. Okay. I've got a five-year-old male patient was involved in an AT rollover. He felt that he was not wearing a helmet. I don't know how fast they were going, but the ATV landed on him, and when mom got to him, he was [REDACTED] and not breathing, and he was underneath the ATV. Once she knocked the ATV off of him, shook him, he did become conscious again. He threw up all over her, and he's been [REDACTED] since then. Conscious, alert, and orientated, but, you know, clearly very upset. Airway's clear. Breathing is good. Sounds are clear bilaterally. Belly is fine. He's complaining of pain in his left hip, and I've got some external rotation of the left lower extremities with good distal pulses, motor, and sensation. I've got a blood pressure of 144 over 90. Got a heart rate of 131 with sinus attack on the monitor. He's got a respiratory rate of 34. He needs chatting at 100%. They've got him on an on-rebreather right now. Blood glucose level is 139. He does have a history of ASD, and he's got a device separating. His septum right now, so he is not a candidate for MRI, and he's on platypus. Okay. History of ASD. No MRIs. All right. And a big hematoma on the forehead. Hematoma on the forehead. Okay. And then, so, how long was he out for, do you think? I'm going to say probably maybe about a minute. Okay. It sounds like she was right there. Ran. Got him. Got the ATV off of him, and then was able to revive him. All right. GCS, which you say is like 15 right now, or? I'm sorry? Yeah, [REDACTED]. I mean, as close as it gets. I know he has fetal alcohol syndrome. I don't know, like, what his baseline is. Okay. But he's crying. He just keeps telling, you know, he's looking at me, makes eye contact. He keeps telling me he wants to go home. I told him so do I. He didn't really feel my pain. Yeah. Fair enough. All right. And then you said you've got IV access. Yeah. He's got a collar on IV access. He's got, like, they used a sheet for a pelvic binder. Worked out pretty well. We just gave him 30 mics of fentanyl, and it looks like that's calmed him down pretty good. So we'll keep a good eye on him as he's on the way out. Okay. And how far out are you? We'll be airborne, I'm going to say, in eight minutes, probably an 18-minute flight. So let's say 20 minutes to the rooftop. All right. All right. Awesome. Thanks so much. Okay. I'll see you then. Yep. Bye.</t>
  </si>
  <si>
    <t>Hi, Emergency Department, Dr. Salish. Hey, Doc, how you doing? This is Paramount Ship with AMR. Okay. I am inbound to you with a 14-year-old female. She was hit by a Silverado truck. It was a low speed. What happened was she was running across like on the street, like a driveway type of thing on a busy street coming out of a commercial place. And the guy didn't see her, and he rolled over her with his truck. Okay. She's got a lot of road rash, things like that. The only significant injuries I can find is on her right knee area. It's an open wound. And I also see from her right shoulder area, she's got a wound in the back of her, you know, penetration instead of back of her right shoulder. But she has a lot of road rash from head to toe. And it was small. And it was a little bit of a rash ratio on top. There was [REDACTED]. Yes. I was going to say, can I have the vitals, but finish. Go for it. Oh, absolutely. 114 over 70. She's got a heart rate of 120. Respirations are 18, 95% on room air. [REDACTED]. I do have an IV excess. I do have a C collar. And we're going to be there probably within seven minutes. Seven minutes. Okay. Fabulous. We will see you then. Okay. Okay. Thank you, Doc. Thank you. Bye-bye.</t>
  </si>
  <si>
    <t>Hey, this is Dr. Penella Children's. Hi, Doc. It's Tom Ritter, paramedic with AMR here. I got an ambulance going to you, paramedic level there, with a 12-year-old. Got struck by a vehicle. Got positive bilateral femur fractures. Don't know anything else at this time. Unsure of loss of consciousness. He is [REDACTED] now. He's crying in pain. Vital is 116 over 69 for pressure. Pulse rate is 80. Set 99 on 2 liters. Right now working on ALS, and they're leaving now. We're right under the Peace Bridge in Niagara. Probably about seven to eight minutes. We'll be there. How old did you say he was? One, two, 12. 12. Thank you. You're welcome. We're going to get here. Bye. Bye. Bye.</t>
  </si>
  <si>
    <t>Children's Air, this is Dr. Reese. Hi, Dr. Reese. This is Joy from AMR. I'm coming in with you with a pediatric trauma. I have a 15-year-old male that was an unrestrained passenger of a vehicle, [REDACTED], injuries to the left forearm as well as jaw and face with fluid coming out of his ear. Bloody fluid or? Bloody fluid coming out of his ear. Bloody fluid, okay. All right. What are his vitals right now? Last set of vitals was 172 over 96. Heart rate is currently 87. SpO2 is 95 on the air. And [REDACTED]? Yes, [REDACTED]. He's just really, really freaked out right now. Sorry, he's really, really what? Sorry. He's just freaked out right now. Okay. He was unrestrained and he did pass out. Okay. That's the biggest thing. That's the biggest thing for you here. Sounds good. He's in a collar? Yep, in a collar, all bandaged up, full trauma assessment done already for you. Awesome. We're, I think, five minutes out. Okay. And does he have an IV? Just for? No, we're BLS only. Okay. There are three passengers in this vehicle that all got. Okay. Are the other passengers adults? Do we expect him? They're adults. So he's the only pediatric. Okay. Sounds good. We'll see you in about five minutes. All right. Thank you. Yep. Bye.</t>
  </si>
  <si>
    <t>Hello, this is Dr. Reeve. Hello? Hello? Hello, can you hear me? Yeah, now I can hear you. This is Dr. Reeve. Oh, hi. What can I do for you? This is Mercy Flight Number 6. We're going to be launching in about five minutes with an ET to your helipad in about 30 minutes. I have a 13-year-old gentleman who went down into a 10-foot creek off his ATV, [REDACTED]. His helmet's actually intact pretty good. He's looking like he has a left ankle, right ankle, and left wrist fracture. There was [REDACTED], no bouts of hypotension. He's doing okay right now. He's just in a lot of pain. He also has a lot of mid to lower back pain. Neurologically, he's intact. Everything sounds good. He's [REDACTED] and everything. Like I said, we're going to be there in 30 minutes. Do you want a set of vitals? Yeah, that'd be great. All right, last set of vitals on this young man was... We got stats are 94. He's 112 over 62 for blood pressure. His respiratory effort is about 14 and normal. He's been on a lot of medications for a long time. He's been on a lot of medications for a long time. What was the heart rate? Heart rate was 84. 84, and then how old is he? He's 1313. Okay. All right. And then, so, we've got back and abdominal pain? No, just mid to lower back pain. So, like lower to lumbar back pain. Right. Right ankle. Right ankle. Looks like fracture left. Ankle or left wrist fracture. Okay. And that's... Deformities? Oh, yeah, it's deformities. They have them all splinted up. Okay. And [REDACTED]? He's 15. There was [REDACTED], [REDACTED] or anything. There was somebody with him when this all happened. Okay. It just took forever. This happened like around 12 o'clock. It took forever for them to get him out of the ditch to extricate him. So, we actually... We waited almost 25 minutes for them to bring him back. We waited almost 25 minutes for them to bring him to the LZ, so... Okay. All right. All right. So, about 35 minutes. Yeah, three, 35 minutes we should be at your pad. All right. Cool. All right. Thank you. Bye. Thank you. Bye. Bye. Bye. Bye. Bye. Bye. Bye. Bye. Bye. Bye. Bye. Bye. Bye. Bye. Bye. Bye. Bye. Bye.</t>
  </si>
  <si>
    <t>Children's Statline, it's Dr. Bradfield. Hi, this is Thomas A. Amar. I'm bringing you a 10- or 11-month-old child, infant, involved in a motor vehicle accident at unknown speed. Airbags were deployed. A bystander told police that they saw the baby laying in the street, unable to verify if the child was ejected or carried out and put on the street, or if the child was actually in the street at all. But that's the story we got. So far, I've just found one tiny laceration at the bottom of his foot. Alert and oriented, he's been crying the whole time. Also, 112, 99% on room air, 133 over 89. So the baby looks good overall, though. Yeah, he seems to be [REDACTED]. Is this with the same accident that we just got a call about that somebody brought in? Bailey and Delavan? I don't know. Was that a Bailey and Delavan, this one? I'm just making sure because we have a lot of MVCs coming in right now, and I don't know if they're all related or not related. Yeah. I don't know if anybody came to Children's or not from this one. I was, like, the last call called in. Okay. All right. Okay, thank you. All right. We'll see you. How far out are you? All right. About 10. 10. Okay. All right. Thank you. Thank you. Bye-bye. Bye. Bye. Bye. Bye. Bye. Bye. Bye. Bye. Bye. Bye. Bye. Bye. Bye. Bye. Bye. Bye. Bye. Bye. Bye. Bye. Bye. Bye. Bye. Bye. Bye. Bye.</t>
  </si>
  <si>
    <t>Dr. Belton, can I help you? Hey, doctor. I'm a paramedic with AMR. I just got an update for a patient coming in for you guys. We got an 8-year-old female. She was involved in a car accident. She does have a minor head injury, hematoma to her forehead, [REDACTED]. Parents are unsure if she was belted in the vehicle. Pretty significant damage to the vehicle. Right now, she's pretty [REDACTED], [REDACTED]. She does have current vital signs of 143 over 92 for pressure. She is 100 for a heart rate. She had 129 for sugar. She's 20 for respiration. We should be rolling in to you guys in probably 6 to 7 minutes, and you guys will have multiple pediatric patients coming in for you. How many patients are coming in from this? I want to say right now it's going to be around a total of four at this time. Okay. Are they all trauma sort of patients? For this patient, yes. The other ones, I want to say at least two of them are going to be considered trauma patients, yes. Okay. I assume we'll get a call for them separately. Most likely, yes. Most likely, yes. Okay. All right. Thanks. All right. Thank you. All right. Bye-bye. Bye.</t>
  </si>
  <si>
    <t>ED, Dr. Petrowski. This is Eric Murphy, paramedic on Mercy Flight 6. Okay. With a 12-year-old male struck by a vehicle, unknown when he was struck by a vehicle, found in the roadway. He has a kind of a 50 degrees to the left of Little Susky where assisting ventilation is now. Current vitals are as follows. I didn't hear. I'm sorry. Hold on, hold on. I didn't hear what you said. He was struck by a vehicle. Is he awake? Is he alert? No. His [REDACTED]. 9. Okay. Sorry. I couldn't hear you. You were clicking. Okay. To the left. All right. His vitals are as follows. 65 and a normal sinus rhythm. His last blood pressure was 155. His stomach is cycling now. He's dead. 57%. We loaded him. We loaded him. He's got an eye on the road. I'm hearing every other word. Okay. His [REDACTED]. What's his stats? All right. How far are you guys? Hello? Hello? I lost him. We have to do a level one. Sarah, we got to do a level one.</t>
  </si>
  <si>
    <t>Hi, this is Michael Hever, AMR Paramedic 549. I'm bringing in to you an 8-year-old boy who fell about 10 to 15 feet out of a tree, has a left elbow dislocation, [REDACTED], [REDACTED], [REDACTED], and not complaining of any other pain other than the elbow. His last set of vitals is 111 over 73, 94 in the heart rate, and 100% on room air. He's got a cervical collar placed, and we should be there in about 10 to 15 minutes. All right. Thank you so much. Okay. Thank you. Mm-hmm.</t>
  </si>
  <si>
    <t>Hi, Doc. It's Seth, Advanced Namer, 280. I got a 14-year-old male who was struck by a vehicle while riding a bicycle. He has a head injury, positive LOC, some minor controlled bleeding of the nose, and road rash everywhere else. We're about nine minutes out, and vitals are ready. Let's have him. I'm sorry? Vitals, you got him? Yeah, 107 over 71. Okay. Heart rate, 64. All right. SPO, 299 on room air. All right. You got a GCS? Yeah, it's about 14. He's kind of [REDACTED] at this time. So, taking off for orientation, you think, or commands? Yeah, orientation. Okay. And was he hominid? Yeah. No, no helmet. Okay. They can't give us a speed for the vehicle, but I guess he was, as they said, slightly bumped by the car and fell off his bike. But... Okay. We will be on the on-lookup for you guys. We'll have to reach in the trauma. All right. Thank you. Thanks.</t>
  </si>
  <si>
    <t>Jones here, Dr. Shadow. Hey, this is Betsy. I'm just calling from UCM Cicicoco with the four-month-old. Okay. Intubated. Palsas and perfusion are good. He is intubated with a 3-0 at 11. They said the tube looked good. I'm going to have one of the nurses bring in the x-ray just so we can double-check. He does have bilateral breath sounds, though. They were bagging him when we came in, so we just put him on some settings. What did you put him on, Jen? PEEP of 5, rate of 30, tidal volume of 45, 40%. He's setting 100. Blood pressure is 101 over 51, heart rate 135, respiratory rate 30. They've just been spot-dosing him with PRN fentanyl for sedation, like, as needed. He's, like, [REDACTED]. Like, he kind of, like, bugs on me. He [REDACTED]. But then I really got to, like, pinch down on his fingers. And it seems almost a little [REDACTED] to me. Pupils are still pinpoint. Fontanel feels a little full to me. He does have the bilateral. They found bilateral bleeds on his head CT. The rest of the scans they said were fine. They have not given any seizure prophylaxis. I was going to see if you wanted anything. Yeah, give 60 per kilo of Keppra. Okay. I'm just finishing up an ISAT, just finishing up running. I did an initial one. His gas looked okay. He was 729. But his CO2 is 50. His potassium is reading 7.8. And his glucose is reading 54. So I am just repeating it just to make sure, like, it wasn't. So the new gas, sorry, 7.20 CO2. Okay. Okay. Okay. Okay. Base excess negative for bicarb 22.4. CCO2 24. O2 percent is 80. Sodium 139. Potassium 4.4. ICAL is 5.8. Glucose 63. Hemoglobin 8.8. And hematocrit 26. Okay. I would. So. Generally, I would just grab him and go. So. Okay. Whatever he's got now, just pack him up and get up, moving with him. Okay. If you can run the cap right in route, I would start him on some D10F maintenance in route. Okay. And then if, because they did all the imaging anyway, if we can get those images so that we don't have to repeat all of them here, that'd be ideal. Yeah, I have a deck. Awesome. Then do you have a pressure for him? Like a blood pressure? Yeah. 101 over 51. Okay. And what do you anticipate ETA? The flight back is like 30. The flight back is 15 minutes, so probably we'll be back in less than 30 minutes. So 25. Okay. Yeah. I can. I'll call charge to like right as we're loading up to just so we have a better ETA, but. Easy. And then I'll have them let you know. He's here next to me, so 25 is good. Okay. We'll just go with that. Cool. Thanks. All right. Sounds good. All right. Bye. Bye. Bye.</t>
  </si>
  <si>
    <t>Children's Department, this is Dr. Ruano. Alice, don't go anywhere yet. Hi, Doc. JJ with Lincoln Ambulance A&amp;T. I have a 16-year-old female involved in what looks to be like a head-on accident at about 45 to 50 miles an hour. She's complaining of abdominal pain in all four quadrants. I'm sorry, in those two lower quadrants, possibly a left broken ankle and some neck and other abdominal pain from the seatbelt. The vitals are, what is it again, Alex? 83 over 55 for the blood pressure. 83 over 55 for the blood pressure. 84 for the heart rate. 98 room there. And [REDACTED]? Yep. [REDACTED]. She's probably working on an IV. Okay. Does she have, like, anything on her abdomen, like any bruising, seatbelt signs? I don't see. I don't see any bruising, but it's soft and tender. But when I press on it, she tries to jump off the gurney on the lower abdomen. Because the upper abdomen feels like it's just on fire. Okay. Okay. And what's your ETA? 15, 20 minutes. Okay. Sounds good. We'll see you when you get here. All right. Thanks. Thank you.</t>
  </si>
  <si>
    <t>Children's Emergency Department, this is Dr. Ruano. Doctor, this is Bob McLean. I'm a paramedic with AMR. Hi, how are you? We're in your, well, not well. We're in your facility with a, we believe, 17-year-old male who was run over by a garbage truck. Okay. The patient has obvious pelvis and lower extremity deformities, [REDACTED]. He does have a heat C collar in place. He's tacky on the monitor, rated 180s. Okay. I am attempting a blood pressure and do what I can in route. We're probably four to five. Four to five minutes out. Can I get a GCS? Yeah. Let's say seven. Seven, [REDACTED]. Okay. And I do need a blood pressure just to page it out as a trauma. Okay. We're attempting it. I'm attempting it. Yes. I'm just going to have to try it again. But hit the button. Just we've got some involuntary movement going on. Okay. So I'm having a difficult time getting a blood pressure. Can I pass it? Is that going? Like that you can give her the blood pressure when you get it while I put the page out? Thank you. Sure. Oh. Hi, this is Crystal. It's Brian. Hey. I can try a manual. Nope. Just. Olivia, I need you guys in there getting set up for a 17 year old trauma. And we need the airway box because the [REDACTED]. Yeah. He's got. Obvious belly. It's not. It looks like it ran over him. Well, all this and upper extremities. So is he currently currently being bagged right now? No, he's not currently breathing on his own. Currently breathing on his own. Belly's very low. Yep. Rate of 24. Rate of 24. No obvious chest injuries. The injuries are right at his. Navel area and down. Below her for the injury. She's attempting right now. Heart rate's 59. Blood pressure's still there. Heart rate's 59 or 69? No, it was 180. It fell off his finger. That's all. Okay. All right. No, it just fell off. No. 180. Yeah. Who the hell is that? Sorry. That's my wife. She's a nurse. She's a nurse. She's a nurse. She's a nurse. She's a nurse. She's a nurse. She's a nurse. She's a nurse. She's a nurse. She's a nurse. Good morning. Heart rate's still there. Hi. Everybody. Okay. Okay. Okay. Okay. 17-year-olds with a [REDACTED]. I need everybody back there. So, sorry. Yep. We need the airway box. So, oh, my God. Okay. We're going with a blood pressure. The rate of pressure is 90 over 60, let's say. Okay. Pulses are what? I mean, uppers are okay. Okay. Okay. Okay. Okay. Okay. Okay. The pulses? Yeah. His pulse is 180. Okay. No, no. I meant, like, physically feeling pulses. Like, does he have pulses in his lower? Yes. Okay. Yes. Yes. Yes. Well, no, not in his lower extremities. I'm having a difficult time going to. We're here. Okay. Okay. All right. I'll meet you at the door. All right. Bye. Bye. Bye. Bye. Bye. Bye. Bye. Bye. Bye. Bye. Bye. Bye. Bye. Bye. Bye. Bye. Bye. Bye. Bye.</t>
  </si>
  <si>
    <t>Children's stat line is Dr. Bradfield-McGee. Hi, Deb. Dr. Sorgeberg, EMS. We're coming in with an 11-year-old female. Patient was found in the basement, was with her brother. She was [REDACTED]. She had been hanging on a piece of cord. Family thinks she was playing and fell. Rescue breaths were given. She did vomit blood. She is currently breathing on her own, but she's still [REDACTED]. We're coming in probably about 20 minutes out, you guys. So we don't know exactly kind of what happened? I'm not sure. The little brother was down playing with her, and he came upstairs and grabbed his dad. I'm not sure. The downtime doesn't make it very much. Dad did give two rescue breaths, and she vomited blood. Family says she does have some GI issues. Okay. Good job, buddy. Good job. Okay. Do you have a set of vitals right now? Did you say a male or a female? A female. She's 11 years old. Okay. Yeah. Okay. We're just packaging her up, but we're going to let her go. Okay. If you'd like to call back, I can see about the ins and outs of the fucking route. But she's breathing on her own. We are in rescue breaths right now, but she's breathing on her own, and she has [REDACTED]. Okay. Okay. Okay. Sure. Yeah. I mean, if there's anything else that changes, let us know. But you said about 20 minutes? Correct. Yep. Okay. All right. Thank you. All right. Thank you, Dad.</t>
  </si>
  <si>
    <t>Children's Medical Direction, this is Dr. Doan. Hey, this is AMR Dispatch. I'm calling in at pre-alert for a crew coming into the air. Okay. So they have a 17-year-old male, has a stab wound to the left anterior thigh, trying to get applied as of 1657. Current vital signs, blood pressure 140 over 82, heart rate of 115, SVO 299, [REDACTED]. They have approximately seven minute EPA. Okay. Sorry, can you just give me those labels again? Sure. BPA 140 over 82, heart rate 115, SVO 299 on room air, and [REDACTED]. And do you know why the tourniquet's on? I would assume bleeding control. It was a stab wound. It was a stab wound to the thigh. Okay. Okay. All right. We'll see them when they get here. All right. Thank you. Thanks. Oh, sorry. Do you know how far out that crew is? They were about nine minutes when they called me. It's been about two minutes, 1267. Okay. They're definitely coming here, too, not ECMC. They are. Okay. Sounds good. Okay. Thanks. Bye. Bye. Bye. Bye.</t>
  </si>
  <si>
    <t>Hello, Dr. Reeves. Hi, this is Shannon Melnick, a paramedic with Twin City Ambulance. I'm just calling about a patient that we're bringing to you. Okay. So I have a 15-year-old male. He was riding his bike along the side of the street when he was struck by a vehicle going approximately 30 to 35 miles per hour. He did fall off his bike. He hit his head. He [REDACTED]. He currently has a [REDACTED]. He has some abrasions on the side of his face, some elbow pain, and some leg pain. His vitals are stable, 128 over 76. Heart rate 98, 97% room air. But we're bringing him over to you. What's the stomach again? 128 over 76. 76. Respiratory rate was what? Our respiratory is 18 currently. 18. And then it says bicycle versus car. And he's... How old was he? 15. 15. No vomiting, no loss of consciousness. No, he's pretty with it. He's just [REDACTED] on some of the questions. Like he told me to at St. Patrick's Day. He told me it was Saturday. That sort of thing. But then he kind of remembers and answers correctly after a little bit. But from the point he [REDACTED], we have a C-Con as a precaution. Pupils are equal and reactive by allowed. And then any difficulty breathing, any other things going on? No. Chest pain or anything like that? No, mainly just [REDACTED]. He's talking and all of a sudden... Okay. All right. How far out are you? We're about 12 minutes. 12 minutes. All right. Any medicine given or anything? No. I'm going to try to get IV access on the way, but I don't see any indication from the lab side of the knee. Okay. We'll let the team know. Okay. Sounds good. Thank you. Yeah. All right. Bye. All right. Bye.</t>
  </si>
  <si>
    <t>Hello, this is Sean Bush, Advanced CMT with AMR. I'm calling because we're bringing you a 15-year-old female that was in a motor vehicle accident on the thruway, was in the back passenger, did not appear to be belted. She has a large gash across her forehead. It appears that you can see her skull underneath, and she also has some skull deformity on the front. Right now, she's [REDACTED]. She's with us. She's [REDACTED], feeling very white-headed, having some head and neck pain. Her vitals at this time are stable. We got a last pressure was 116 on 71. We're cycling a fresh one right now. Heart rate 100. She's 100% on room air. She's got a 20 in her left AC for you guys. On that, we're maybe about 2, 3. She's almost a week. She does have a C-collar applied. Unknown if there's loss of consciousness on impact. On that, how about that? What did you call the deformity? It looks like it's indented on the front. There's a gash. You can see the bone underneath, and then to the side of that, it's indented as well. How old is she? 15. Okay. We'll see what you do. Sounds good. Thank you. Thanks. Bye. Bye.</t>
  </si>
  <si>
    <t>Dr. Bowden, can I help you? Good evening. This is Eligible Ambulance. And we are in... What's that? Go ahead. This is Eligible Ambulance. And we are inbound with a 16-year-old female patient who fell while skiing this evening and has a fractured left hip. Possible pelvis involvement. There's also head trauma, significant head trauma where she doesn't remember entero and retrograde amnesia. She's a little delirious. She's in quite a lot of pain. I gave her 200 mics of fentanyl. Last set of vitals. Heart rate 124 on regular. Blood pressure 129 over 88. Respirations about 24. Lungs clear. SpO2 99. I got her in four liters. I did give her out. Have I established a neighbor or leader? ETH in about five to ten minutes. Any questions or orders at this time? There's quite a lot of things. Her [REDACTED]. [REDACTED]. Okay. [REDACTED]. Okay. 13, 14. Okay. See you in a couple. Thanks. All right. Bye.</t>
  </si>
  <si>
    <t>Hello, this is Dr. Reeve. Hi, Doctor. This is Eritani Parames, a seven-year-old male who was riding a dirt bike and got struck by another dirt bike. Possible loss of consciousness. He's [REDACTED]. He has a laceration above his right eye. His eye is swollen. He's also complaining pain in the orbit area, complaining pain in the lower abdominal right area, and he's got what looks like an avulsion near his penis on the right side. He is boarded and collared at this time. His vitals are all stable. We'll be there in about seven, eight minutes. Can I get his [REDACTED]? Oh, yeah. Right now, he's [REDACTED], so I'll give him [REDACTED]. Okay. And then... Vitals are 137 over 97. Pulse rate is... Pulse rate is between 70 and 115. He's tightening at 100%. We're calming his breathing down because he is hyperventilating. So I put it around 22. Okay. All right? All right. Thank you. You're welcome. Bye. Bye.</t>
  </si>
  <si>
    <t>Dr. Wiest. Hi, Dr. Wiest. This is Eric Barkey, paramedic on Mercy Flight 9. We are inbound with a 14-year-old male patient involved in a downhill skiing injury at Holiday Valley. Hit a tree at unknown speed, wearing his helmet, has a fractured jaw, no missing teeth, airways clear, [REDACTED]. He currently has a [REDACTED]. His vitals are as follows. Heart rate is 78, an abnormal sinus rhythm. Blood pressure is 123 on 72. Respiratory rate is 20. Debt 98% on Romare. He's got a total of 100 in fentanyl given prior to our arrival by ground EMS, and has 4 milligrams of Zolpamine, and also given prior to our arrival. He has no other injuries, no other complaints other than the jaw pain from his fractured jaw. We will be to your facility in about... 14 minutes. Do you have any questions for me? The only question, was he, did he, like, walk at all or anything? This or you guys, he was just pulled right off the slope? He was pulled right off the slope. Okay. He was [REDACTED]. Okay. Sounds good. Thanks. All right. We'll see when you guys get here. Okay. See you in a bit. Thanks. All right. Bye-bye.</t>
  </si>
  <si>
    <t>Dr. Otto's paramedic on AMR 292. Got a bit of a trauma alert for you. Neck, possible spinal injury. I had a 13-year-old male that was goaltending in a soccer tournament out in East Aurora. Had a collision with another player trying to score. Got elbowed hard in the neck. Went down hard and appeared to have a [REDACTED]. When he came to, he complained that he could not move his feet or feel anything from the chest down. Since that time when I first arrived, he was like that. Very minimal movement in his upper extremities. A bit of a decortic and kind of posturing of his hands. That has since relaxed and seems to be gaining some sensation and feeling back in his arms and legs. Still generally weak, more so on the left side of the body than the right. He is [REDACTED] at this time. Current vital signs. Pulse rate is 98. O2 stats 96% on room. Blood pressure is 139 over 85. Blood sugar is normal. Father is with us. He actually videotaped the collision. Did look like he had a [REDACTED]. Lung fields are clear. No other injuries felt. I didn't feel any crepitus in his neck. He is fully immobilized with cervical collar and backboard. IVs established. Coming from East Aurora and our ETA to you guys now is going to be about 10 to 12 minutes. Okay. GCS, what would you give him? I'm sorry, what? His GCS? His [REDACTED]. 15. Okay. He's been [REDACTED] since I've had him. Like I said, the main thing is the sensation and motor deficits of his extremities. They seem to be improving, but he's still pretty diminished. Okay. All right. And he is complaining of sharp pain in his neck. I didn't feel any crepitus or deformity when we put the collar on him. Okay. Sounds good. All right. We'll see you when you get here. Thank you. All right. Thank you. Bye. Bye. Bye. Bye. Bye.</t>
  </si>
  <si>
    <t>TTI, this is Dr. Kohler. Hi, Doc. This is Paramedic A. Morgan. I have a one-year-old male who was belted in a car seat, passenger, rear seat passenger of a car, involved in a rollover MDA, like a lot of runs and passenger side damage. Was taken out of the vehicle by a father before we got there. His [REDACTED]. Looks like he has an eye injury, a little contusion, a little blutter on the eye. But other than that, no other obvious deficits or deformity. Heart rate was 160, 100% room air. Where can I get my blood pressure? It'll be there in like three minutes. Perfect. And I'm sorry, what was the age? One. Just a little over one. 11, 27, 20, 21 was the birth rate. Okay. Perfect. We'll see him soon. Thank you so much. All right. Thank you.</t>
  </si>
  <si>
    <t>Children's here, Dr. Kenyon. Hi, Dr. Kenyon, Daniel from Mercy Flight Number 6. I think I have a dead report. Yes. Go ahead. I have a transfer from only a general 10-year-old female, ATDX, with a head injury. She's [REDACTED], large hematoma over her left eye. We're [REDACTED]. We call the defense. Looks like a broken collarbone, an x-ray. My mother's are glitched at a heart rate of 116, blood pressure 114 over 75, pulse oxy, I remember it was 100%. Currently getting salivate potassium. Also got a dose of HEPRA. And we have about a seven minute VGA. Any questions? No. We'll see you when you get here. Thanks. Happy to. Thank you. Bye-bye.</t>
  </si>
  <si>
    <t>Oshai Children's Hospital, this is Dr. Thalish. Hi, Doc, paramedic, Nielsen Mercy Flight 6. Hi. Can you hear me okay? I can, yep. Okay, perfect. 19-month-old female who was, hang on a second. We might have a, hang on. Mm-hmm. You there, Doc? Yeah, I'm still here. Okay, okay, 19-year-old female, under strain in an Amish buggy that went off the road and rolled over. Mother landed on her, reported to be [REDACTED]. Currently she's conscious. She's vomited now three times. Conscious and crying now. Blood pressure is 98 over 56. Heart rate is 110. FPO2 is 99, and we're about 15 minutes to the rooftop, and we do have the mother with us, too. She refused EMS, but she, she got some bumps and bruises, but she signed off with the MSM team. Okay, sorry, what was your ETA? About 15 minutes. 15 minutes, okay. Yep. And what would you give her for a GCS right now? Right now she's a 15. She's a 15, okay. Yeah, [REDACTED]. She was unrestrained, NBC, that rolled over? It was an Amish buggy. Oh, with the buggy. She was in the mother's arms. Okay. Yeah, the horse spoke, and they went off the road and rolled the buggy over. Okay. Do we know if... Like, if the buggy fell on her or anything like that, or...? They said the mother fell on her. I don't... I think the buggy remained intact, but it's like they remained inside the patient compartment of the buggy, but the mother did land on top of her. Okay. Inside the buggy, so... All righty. All right, thanks so much. All right. See you soon. Bye. Bye.</t>
  </si>
  <si>
    <t>Dr. Salish, PZD. Hi, it's Kramer, my colleague. How are you doing? Good. What's going on? So, I'm bringing you guys a six-year-old female that was involved in an 18-year-old over. Unknown to the deck of health badge she was going when it rolled. Was wearing her helmet. Parked her father. She was [REDACTED], but once she came to, was [REDACTED]. Mm-hmm. She's playing a mid-back pain, a palm palpation in general. Got multiple abrasions throughout. Mm-hmm. No pain anywhere else I've palpated. Her vitals are stable. I got a heart rate of 92, 96 over 57 for her pressure. Getting 100% on room air. I got a C-tiller on her, and cry for an IV, but couldn't get it. We're about 40 or so minutes out. 40 minutes out? Okay. And [REDACTED]? Yes. Okay. Pulse ox normal, respiratory normal? Yep. Okay. All righty. And did it roll on top of her? Did she get flung from it, or do we not know that? From what her father described, it sounds like it rolled on top of her, but wasn't on top of her very long. Okay. As soon as it rolled on top of her, it was more or less off her as it finished rolling. Okay. Gotcha, gotcha. All righty. Sounds good. So, yeah, give us a call back if anything changes, if she starts mentating not normally or anything like that. Okay? All right. Will do. All right. Thanks so much. Bye. Thanks. Bye.</t>
  </si>
  <si>
    <t>Oshai Emergency Department, Dr. Sellish. Hi, this is Nate Osborne of Paramedicals for Donia Firehouse. How are you doing? Good. What's going on? I have a 16-year-old male. I'm just calling basically just kind of to make sure I get him to the right facility. Obviously, 16 is kind of just on that borderline of whether I come to you guys or if I go to ECMC. Okay. I got a 16-year-old male. He was involved in an ATV accident tonight. [REDACTED], no neck or back pain. The only real injuries that we have are ankle injuries to both ankles. On the right, on the inside of his ankle, it's pretty deep abrasion down to tendons and ligaments and all that. Not sure if it's swollen up. I'm not sure if it's 100% broken. I think it's more so just a super deep gash. Does he have a hole set below that area or distal to it? Yes, yes. Okay. And then I just... On the way up here, I looked at his other ankle and he's got... I'm assuming that... I'm thinking that one's more broken. I think that one's more of an open fracture on his left ankle. Mm-hmm. Bleeding. I just got him comfortable. We had to take a break while I was trying to get him bleeding controlled and all that stuff. So I wanted to make sure I got him to you or to ECMC. Well, which facility are you guys closer to? Because you can bring him to either. We're on the 90 coming from Fredonia. So it's... It's... It's six, one-half dozen, the other. It's just whatever's the best for him, honestly. I mean, you know, we'll take him here. They'll take him there. So that's perfectly fine, either one. Okay. But can I just have the rest of his vitals from you? Yep. Blood pressure 136 over 83. Heart rate at 70. Sinus on the monitor. Mm-hmm. I've given him 50 of fentanyl and four of Zolprain right now. Okay. Stabbing 100% on room air. Yep. Okay. And UCS has been 15 the whole time for you guys? Yep. Yep. [REDACTED] and everything like that. No LLC, nothing. Okay. The only issues are the vehicles. Okay. Yeah. If you guys are coming this way, what's your ETA, roughly? Adam, where are we at? We're not even at Silver Creek yet, so probably 30-plus minutes at this point. 30 minutes. Okay. Yeah. You guys are welcome to bring him here. That's fine. We'll just bring him. I already gave you the report, so we'll just come right and talk to you. All righty. Sounds good. Thank you. All right. See you in a bit. Do you want me to call and get a little closer, or are you all set? If there's clinical concerns or changes, you can always call back, but otherwise, it's fine. Okay. All righty. We'll see you when we get there. Thanks. Bye. Bye. Bye. Bye.</t>
  </si>
  <si>
    <t>Children's area, this is Dr. Weiss. Hey, Doctor, this is Adam on Mercy Flight 8. Can you hear me okay? Yep. I've got an 11-month-old female, fall from unknown heights. Ever since then, she's been kind of an [REDACTED], [REDACTED]. At first, she [REDACTED] or anything, but when I just closed the doors to the helicopter, the slamming actually startled her, but that's the first real reaction I've had from her. We're probably at about an hour now since she fell. That's the best guess. Her vitals are pretty stable. Blood pressure is 131 over 79. Heart rate's 162. Respiratory rate's 40. Pulse ox is 100, but that's on a pediatric non-rebreather. She de-sets pretty quickly if we take her off the oxygen. And we've probably got about a 10- to 12-minute ETA to the rooftop. Okay, so where are you guys coming from? Billboard, New York, so down Allegheny County area. Okay, and were they seen at a hospital, or did you guys get involved right away? No, this is a call for an eye. This is an on-scene. She hasn't been evaluated at all yet. Okay, so her GCS right now, you're kind of saying [REDACTED] type of thing. That gives me kind of a three. What is she doing motor-wise? Motor-wise, she hasn't really done any. I mean, she's got tone. Does she withdraw to pain? Is she posturing at all? She did not. I started an IV on her, and I stuck her twice, and she [REDACTED] for either one of them. Okay. Like I said, she just started reacting a little bit now, and she was stuttered by the noise. Okay. Before that, almost nothing. All right, and was she moaning at all with the IV? Has she done any sorts of vocalizations at all for you? I guess not. I guess not. It doesn't matter. Are you still there, Doc? Yes. Sorry I lost you. I was just trying to figure out what her [REDACTED], especially with kind of fall from unknown height. I'd give her, I'd probably give her like. I don't know if you can still hear me or not, Doc, but I'd give her like. You'd [REDACTED]? Is that what I heard, an eight? Yeah. I'm not sure. Yeah. Okay. All right. I think you're saying eight, but I can't fully hear you. I know you're kind of in the air. Okay. I would, again. All right. I would, if she is, if you can hear me, if she is not in a collar, I'd put her in a collar. I would have a low threshold to kind of supplement her oxygen by bagging her, and we'll be here when you get here. We'll be ready when you get here. Yeah. You can't hear. I don't think I'm saying. All right. So. Okay.</t>
  </si>
  <si>
    <t>PPD, it's Dr. Hall. Mar, I just wanted to give you an update about a trauma patient we're going to be bringing in. Okay, I'm ready. Eight-year-old male struck by a train. [REDACTED]. [REDACTED]. She has abdominal evisceration, injuries to the lower legs, possible pelvis injuries. [REDACTED]. Okay. Heart rate of, like, 120. Blood pressure was 127 over 76. 98% O2. Respiratory rate of about 22. Okay. And 15. Eight-year-old male. He's an eight-year-old male. Okay, and how far out are you guys? About 10. Okay, and any obvious deformities to the lower extremities of the pelvis? Hello? Can you hear me? Hello? All right, I think I may have lost them. Okay. Can you hear me? Yes. Any obvious? Yeah, I know I can hear you. Is there any obvious deformities to the lower extremity or the pelvis? Okay. Yeah. Okay, I can't hear you, but we're going to page. We're going to finish this out now, okay? We'll see you guys in a few minutes. Okay. Bye. Okay, thank you so much. Bye. Bye. Bye. Bye. Bye.</t>
  </si>
  <si>
    <t> Jones here, Dr. Shada. Hey, Dr. Jake Paramak, AMR. Just give me a preliminary. We're working up with a – we're just extricating out a five-year-old stabbed in the back. Center of the back, roughly on the right side of the back, has fired quite a few of the dressing before we got here. She's [REDACTED]. That's why she's trouble breathing. We're loading him now. He'll be eight minutes to live. Yes. My nose is hot now yet. I'm sorry? Do you have vitals or not yet? I don't yet. I'll give you a call back in a minute. Okay. I'm just trying to get you up over there. How far out are you guys? I'll be about five minutes. Okay. Give us a call. Yeah, we'll do. Thanks. Bye-bye.</t>
  </si>
  <si>
    <t>PPD, it's Dr. Oh, yes. Hi, this is Phil O'Shea at Paramedic Twin City Andoans. How you doing? Good. How are you? Hey, I'm doing okay. I wanted to give you a heads up. I'm inbound with a nine-year-old boy who was hit by a vehicle out in Clarence. The vehicle reportedly doing about 45, 50 miles an hour, clipped him on the front driver's side. Reported of airborne about three to four feet. No reported loss of consciousness. He's got a small abrasion on the back of the head. No massive bleeding. He's got abrasions on both elbows, both knees, and also on the left flank going into the back. Those are the most problematic areas. Stable pelvis, stable hips. No flail chest. He's got good lung movement, good air movement. No distension in the abdomen. It's soft, not tender. He's got good PMS in all extremities. Current vitals right now, 130 for heart rate. 108 over 60. 47 for blood pressure. He's sat in right now at 100% on a non-rebreather. Initially he was a little bit low in type of a non-rebreather and he was sitting around 88. But all lung sounds were clear. I had no signs of like a pneumothorax or anything. Okay. Okie doke. And his GCS? [REDACTED]. He seems to be [REDACTED] and [REDACTED] at this point. Okay. And what is your EPA? Okay. Give us probably about going, we're going to say about 15. 15. All right. About 15 minutes out. Soon. Okay. Thank you very much. Thanks. All right. Thank you. Bye.</t>
  </si>
  <si>
    <t>O'Shea Emergency Department, this is Dr. Kohler. Dr. Kohler, I am Mercy Flight Dispatcher. I have an inbound report from the crew. Yeah, go ahead. I have a crew in Bounty Resilient. They're coming this way. They have an 11-year-old female. She was involved in an NBC with very moderate damage. She was a restrained passenger in the front seat. She has [REDACTED]. She has a gash above the left eye, small abrasion on the nose, possible broken nose. She complains of neck pain. She is collared. She was extricated with assistance. She has a blood pressure of 112 over 66, heart rate is 108, 100% at room air. Her [REDACTED], and the vehicle is going approximately 45 miles per hour, and airbags did deploy. Anybody in the, you might not know, and that's totally fine, but do you know if anyone in the car was, killed or was ejected? Killed? No. Ejected? I don't think so. That's okay. I can't confirm that, but I know that myself. That's okay. To the best of your knowledge. Awesome. Okay, we will see her soon. What's her ETA? Ten minutes. Thank you. Appreciate it. No worries. Bye.</t>
  </si>
  <si>
    <t>So shy, this is Dr. Pathers. Hi, Doc. This is Ian Stone, paramedic with Mercy Flight. I'm coming in by ground with your transfer from Lockport. Okay. The five-year-old male talking to mom, it sounds like he was trying to climb up the tree. Initially, I guess, Timmy might have told you guys five feet. Now that we're talking, we believe it was at least eight feet up the tree, and he fell backwards onto a cement paver that was around the base of the tree. We don't believe there was any loss of consciousness. He's [REDACTED], and his family found him. He's definitely having [REDACTED], and he comes back and starts crying. When he does come back, he is [REDACTED], but then he just kind of has a [REDACTED] again. Okay. His rate is anywhere from 80 to 120, depending on whether he's minimally responsible or crying. His last pressure was 136 over 86. His O2 stat is 98 on two liters currently. I also have him on a nasal end tidal. His end tidal is anywhere from like 38 to 44. It's still kind of in the, you know, permissible range. I've been unable to get a blood sugar or anything on him that way, even though I don't think that's an issue. Okay. Is that a thought-towering? Did you repeat that part? Did you? Sorry. Sorry. Sorry. Sorry. Sorry. Did you get any, like, IV access, kiddo? No. They were unable to get an IV access, and I haven't been trying. I've been trying to just keep them calm on the way there. This is the 110 walkport. And I guess they were able to do a chest x-ray, but they weren't able to do any imaging as well. So it's not like he got a dry, pesky period or anything like that before he walked in. Okay. All right. And then what would you say the GCS is right now? Right now, when he's awake, anywhere from 13 to 15. When he goes out, I would say maybe 11 or 12. Okay. Okay. All right. And our EPA view is probably eight minutes, if that. Okay. All right. We will see you when you get here. All right. Thanks, Doc. Bye. Bye. Bye. Bye. Bye.</t>
  </si>
  <si>
    <t>Hi, this is Lewis and Chu calling to give a report for a patient we're bringing in. Sure. Okay. I have a 10-year-old female involved in a motor vehicle accident. Okay. Right now, her vitals are 148 over 110. Heart rate is about 100, and the rest are 25. She has a couple of scuffs on her knees, [REDACTED], no neck pain, she does have deformity in the lower right leg. Okay. What was the, like, how fast was the car going? Was she in the car or was she hit by a car? She was in the passenger side front with airbag deployment. Okay. Do they have any idea how fast the car was going? No, nobody knows. She was riding with her grandma, and her grandma went unresponsive, and they hit a tree. Oh, okay. Okay, okay. What is her GPS? Probably about 10, maybe 10 minutes. Oh, sorry, her GCS, like her... Oh, 15, 15. Yeah, she's [REDACTED] and all that. And her staff are okay? Yeah, yeah, she seems like she's doing okay. She's got good movement and pulses in her extremity that has obvious deformity. Okay. All right. We will see you in about 10 minutes. Anything else I can do for you right now? No, that's it. All right, thank you. All right. See you soon.</t>
  </si>
  <si>
    <t>Children's area, this is Dr. Weiss. Hi, Chicago County Paramedics. I'm in or out with a 15-year-old snowmobile accident. Just want to give you a report. I don't think that they need that control. Okay, snowmobile was going 45 to 55. She hit a tree head-on and was thrown into the tree. No loss of consciousness, no other injuries except isolated right femur, obvious deformity. That's true. She was snowmobiling with a group. She did not lose consciousness. They got her out of the tree right away and then called 911 right away. We have good movement pulses in the right foot, and we're hemodynamically stable. We had one round of fentanyl, and we're still about 30 minutes out. Do you have her current vitals? Yeah, do you have her current vitals? Yes, 118, sinus on the monitor, BP 130 over 65, Botox is 96%, and I have an 18 in the left AC. Okay, [REDACTED]. She has no history, no meds, no allergies, and she's 15. Okay, and her GCS is 15 as well. I'm sorry, what? Yeah. [REDACTED]. Okay, all right, we'll see you when she gets here. Yes, [REDACTED]. Okay, see you in about 30 minutes. Bye. Yep.</t>
  </si>
  <si>
    <t>Hello, this is Dr. Sridharan, Oshai Children's ER. Hi, this is Nate Douglas. I'm a paramedic with Trans-An. I was supposed to give you guys a trauma alert when I got close with a transfer out of Olin General. Yeah. Coming in with Larissa Bird, 11-year-old female. Okay. She was in a sledding accident today. She was brought to Olin General and evaluated. They diagnosed her with a grade 3 splenic laceration. Okay. She's stable at this time. Last set of vitals, heart rate 75, O2 is 97. Last pressure is 105 over 63. Okay. She was treated prior to my arrival with morphine zofran. She had TXA rum in. No, same, same, same. And we initiated our transport. Yeah. And we got about a 15-minute EPA. 15 minutes EPA? Okay. And how is her GCS? [REDACTED]. 15. And no other injuries, right? Like other than the splenic laceration? Nope. Is she on a C-collar? She was not. She was heading an XCT at Olin General and she was cleared there. Gotcha. So she got an XCT and then she was cleared. Okay. Yep. So she got morphine and zofran and no fluids, right? She does have LR running at 150. Okay. Okay. And she did get TXA before we left. Oh, she got TXA. Okay. Sounds good. And she's [REDACTED] right now? Yes. Okay. Thank you. We'll see you when you get here, yeah? Alrighty. Thank you. Okay. Thanks. Bye-bye.</t>
  </si>
  <si>
    <t>Hello, this is Dr. Sridharan, OSHA Children's ER. Hi, good afternoon. This is at Elk Hill Ambulance, and we are inbound with a 15-year-old female patient who is skiing on a very steep ski run and lost control and hit a tree head-on. She's got marked bruising and pain in her face, primarily her nose, and she's complaining of upper left abdomen, upper left quadrant of her abdomen pain in one of the ribs and along the spleen. She's also complaining of pain in her left wrist as well as her right. How far out are you? We're about 10 minutes out. 10 minutes, okay. Sure. And her left. Her left is 95% vitals. Heart rate is 95 in regular. Blood pressure is 105 over 65. SpO2 is 99 in room air. Respiration is around 12, 12 to 14 in normal. And her GCS is okay? Her GCS, I would say, is around 14. 14? Okay. Yeah, she's [REDACTED] still. Oh, she's [REDACTED]. Yeah, I've given her 500. I'm still giving her a drip now. I can still tell if she's in the way. She's still taking 500. Her blood pressure is still pretty low. So you're giving 500 of NS? Yes. Okay. Of saline. Okay. So far. Okay. I'm just trying to keep the drip open for now. Okay. Okay. Okay. Okay. Okay. Okay. Okay. Okay. Okay. Okay. Okay. Okay. Sorry? We'll see you in five. Five to ten. Sorry, I missed the last part. Okay. We'll see you in five to ten. Yeah. Okay. Five to ten. Okay. That sounds good.</t>
  </si>
  <si>
    <t>Children's here, Dr. Catton. Hey, Doc. It's Kevin with AMR. Yeah. We're coming in with a 14-year-old female struck by a car, probably 35 miles an hour or so. Positive loss of consciousness. She's got hematoma on the back of her head, a lot of lower back pain, lower right leg pain, road rash all over. Vitals now, respirations are about 20, heart rate 100. Blood pressure is 95 over 57. Okay. She's [REDACTED]. Do you have access? Do you have an IV? Yep. I got an 18 in. Cool. I gave her some fentanyl for the pain. Cool. Okay. Did you give her any fluids yet? Just a little bit. We just got it running. Cool. Yeah. So just keep that running. Okay. Cool. What's your ETA? Yeah. Let me look up. Okay. 16 minutes. 15. Cool. And then her GCS, is that good? 15? Yeah. We're at 15 right now. Okay. Where are you guys coming from? Waxanaca. Okay. Cool. We'll see you when you get here. All right. Thank you. Thank you. Thank you.</t>
  </si>
  <si>
    <t>So, Shiedi, this is Dr. Jimenez. Hi, this is Stryker's Delay. We're just calling in a trauma. Uh-huh. Are you ready? Yeah, go ahead. Okay, nine-year-old male involved in a four-wheeler accident. Roughly going about 10 miles an hour, four-wheeler rolled over on his leg, and it looks like he has an obvious low femur fracture just above his right knee. He's [REDACTED], [REDACTED]. Sorry, you said left femur fracture? Nope, right, just above the knee. And there's a lot of swelling. We do have some ice on it. It is secured as best we could. BLS rigs bringing him in. He was given three 160-tubule Tylenol, taken prior to my arrival, for pain. He seems to be doing pretty well right now. He's got a collar on. Vitals are 122 and 62, heart rates 103 and regular. Respirations are 18. Pupils are equal and regular. He's very active. He does have quite a bruised hip fusion on his other upper leg, but he said it does not hurt. Pedal pulses are both intact. I x where the pedal pulse is on the other extremity that is injured. Mom is on board, and we are roughly 10 minutes from your facility. Okay, GCS? [REDACTED]. And then I'm sorry, I missed his heart rate. Could you do that again? Heart rate is 103. Okay, and what's your ETS? ETA. ETA is 10 minutes. Okay, we'll see you guys shortly. Okay, thank you. All right, thanks. Bye.</t>
  </si>
  <si>
    <t>Okay, emergency department, this is Dr. Petty. We're trying to help you. Hi, my name is Allison. I'm a paramedic with the City of Toronto Fire Department. We are on our way to you with an 8-year-old that was struck by a car. Oh, okay. What's going on? She's being [REDACTED] right now, so it's hard for us to get vital. She's bleeding from the nose, and she's [REDACTED]. Okay, what's her current GCS? Four. Four? Okay. What's her respiratory rate? Respiratory rate is probably 14. 14. Okay. Is her airway intact? For now, yes. She's maintaining her own airway. Yeah, okay. What's her pulse ox? I'm sorry? What's her current vitals? What's her heart rate? What's her blood pressure? Her pulse ox? We're working on getting that right now. She's being combative every time we try to go for any type of vital. Okay, do we know if that's the car? How far is it going? 30 miles an hour. 30 miles an hour. She was wearing a helmet that's relatively intact. Okay. How far away are you guys from O'Shea? 16 minutes. 15 minutes? Is the kid like baggable? Or is she just at it for you that you can't like? She's really fighting us now. It's okay sweetheart, put your hand down. But we'll continue to monitor her FDL2 and bag of mucocaries. So what is she getting for for the GCS? I guess if she's fighting you, right? Because [REDACTED]. So it's like spontaneous movement. She's [REDACTED]. She's just kind of like flailing her arms and legs. Okay. Okay. Is she speaking at all? No. No. Okay. So [REDACTED]. Any, is her eyes open? No, she's not opening her eyes. Eyes not open. Okay. Okay. And she's not doing anything when you sternal rubber? She's just flailing? Nothing. No. No. Maybe a little motion of her hands, but nothing noteworthy. She's [REDACTED]. Okay. Any signs of obvious injury? Other than the bleeding from the nose, she's just got minor abrasions on her legs and hands. We just got a pressure of 120 over 59. Okay. Okay. Did you get a heart rate yet? Sorry. I'm sorry. I'm sorry. I'm sorry. I'm sorry. I'm sorry. I'm sorry. I'm sorry. It's 71. Heart rate is 71. Heart rate is 71. Okay. Does she have a c-calor on? Yes, there is. Okay. C-calor is one. Okay. All right. She can be at one. You said you guys are about 15 minutes out? Yeah. She's at 80 for G. Okay. She's 98% FCO2. We just got that as well. Sounds good. Okay. Yeah. I mean, I was just saying. I mean, it's not that I'm not sure. I was just like, well, I can't do that. I can't do that. I can't do that. I'm not sure if that's the right word that I'm using. Get a line in, bag her so she's like saturated and good. Keep monitoring her vitals. We'll see you guys as soon as you get here. Yes, sir. Thank you. Yeah. All right. Thank you.</t>
  </si>
  <si>
    <t>Hello, this is Sean Bush, Advancing C with AMR. I'm going to be bringing you guys a 7-year-old male that was struck by a motor vehicle about 15 minutes ago. The vehicle was going roughly 40 miles an hour. Negative LOC. The patient is [REDACTED] at this time, but [REDACTED] otherwise. Why are we knocking down a point for the GCS? He's been [REDACTED] and kind of [REDACTED]. So, either [REDACTED] for, you can, he's oriented, is he oriented to, like, person, place, and time? Person and time, but place and event, not so much. Will he follow commands for you? Yes. And was he walking on his bicycle, or? I believe he was walking. So, it seemed like he was walking. He was hitting children. This is like the 80th, 50th week. Sad. Okay. How far out are you guys? We're about probably 10 minutes from a guy. 10 minutes. Okay. What's the heart rate? Yeah, vitals are stable. We're 126 for a heart rate. What's the heart rate? We're 97, oh, 138 on 76. All righty. And we're 99% on room air. Got anything for a respiratory rate by chance? I can tell you about, read that a little quick. Okay. You probably had it. Had it. I think it was like 28. 28? Okay. Yeah. Yeah. On labor, though. Okay. Does he have a line in, or did you have to give meds or anything? Nope and nope for advanced level, so. Okay. And it's a line on teeth. Sounds good. Thank you. We'll see you soon. We're going to go back to the trauma bay when you get here just so you know. Sounds good. Thanks very much. All right. Thanks. Bye.</t>
  </si>
  <si>
    <t>Hello, Dr. Reeve. Hi, this is Kevin from NTF coming in with a transfer from Jones Memorial. 11-year-old female, traumatic injury from an APB accident. Yeah. Okay, just calling in to report. Current heart rate is 77. S-202-99 in room air blast. What pressure is 150 or 71? I'm sorry, I didn't catch that last part. What you got? About 15 minutes out. 15 minutes out. [REDACTED]. Sore cold when we get to get in? And then what was the blood pressure again? What was the blood pressure? Yeah. 115 over 71. Awesome. And then how is she acting for you guys? How is she acting? She's been [REDACTED] the whole way. I don't know if she's asleep, but she's been [REDACTED] the entire time. I'm sorry. I didn't catch that. I didn't catch that last part. It broke up on me, unfortunately. She's been [REDACTED] the entire way up. She has not actually probably fallen asleep, but she's been just kind of rolling around here trying to, but she hasn't. Okay. All right. Any complaints of pain? Pain? No increase in pain. Last I knew it was about a four over that eye that they snipped up for. The right eye. Okay. All right. 15 minutes out. Okay. I'm sorry. What was that last thing you said? All right. We'll see you in 15. Okay. All right.</t>
  </si>
  <si>
    <t>Children's ER, it's Dr. Killian. Hi, Dr. Killian. Paramedic AMR coming in with a child, one-year-old. Multiple bite marks to the face from a large dog. I have injuries including severe lacerations on the entire right side of the cheek, right lower orbital, working on vitals. I'm sorry. Go ahead. She does seem to have some lacerations in the interior of the mouth as well. As you can hear, airway is patent. She does have peripheral movement in all hands. I cannot get a visual on the right eye. I have a severe laceration to the direct corner of the right eye. I'm trying to control bleeding at the moment, still active bleeding. Do you have a set of vitals you can give me? I'm working on that. I'm sorry. She's moving around too much. Is her GCS okay, like her mental status? She's [REDACTED]? Yes. Okay. She's active. She's asking for mom. She's able to give me everything. She's [REDACTED]. I got a heart rate 146. Pulse ox, 99. Pressure, unable to get a pressure. She's moving around too much. Okay. Respiratory rate? She's not getting any proper. Okay. Respiratory rate, I'm going to shoot in like, yeah, it's about 40, 40, 50. Okay. What's your ETA? Five minutes now. Okay. All right. Thanks. Yep. Bye. Bye.</t>
  </si>
  <si>
    <t>I'm Shai E.D. This is Dr. Jimenez. Hey, Doctor. This is Anthony Reyes with AMR. I'm coming to your facility with an 18-year-old female that was involved in one singular motorcycle accident, specifically a dirt bike, no helmet, about 30 miles an hour, blood glucose 126, 160 over 110. [REDACTED] room air, 108 for pulse. She has right now, before I got to her, Buffalo Fire stated that she has a big open gash right above her left eye. It's wrapped right now. She's in a T collar. I'm on your way about 10 minutes. Okay. And then she's sat in good normal. Yeah, she's sat in good. She just said that she doesn't remember what happened, but right now she is [REDACTED]. Okay. Yeah. Yeah. Her mom wants her to go to O'Shea. She's 18 years old, so. Sure. I mean, at 18, she can definitely head to ECFC. Yeah. Yeah, we're literally down the street from ECFC, but she wants her to go to Children's. Okay. All right. No problem, Doc. I'll see you in 10. Thank you. No problem.</t>
  </si>
  <si>
    <t>Children's Emergency Department, this is Dr. Ruano. Hey, Doctor. This is Mercy Flight Paramedic Sanders. I've got a five-year-old male who was trapped underneath a car for probably five to ten minutes. His left arm was definitely trapped under the car. His head, I guess, was at an odd angle at the time. He was [REDACTED] when the fire got here. They'd placed an airlift airway, but by the time I got here, he's [REDACTED]. He's at least [REDACTED] once. But the best that I can tell is just the arm. Everything else seems okay. He's 15 right now, then? I mean, hard to tell because he's [REDACTED], and I haven't really been able to tell what he's responding to, honestly. But they said that they heard him literally call for his dad. Okay. He's gotten 20 of fentanyl and nothing else. That doesn't seem to have made a difference yet, so I'll probably end up giving him some more on the way. Sounds good. Can I get his last set of vitals? Yeah. His pressure was, I think, 118 over 73. Heart rate, 119. Who is... Oh, I hear him [REDACTED]. Yeah. That was my mother. I'm not sure what the actual number is for the oxygen, but he's on 10 liters. They said he was doing okay on room air. Okay. He left the oxygen for the situation. He's got a C-collar. Is he moving all extremities spontaneously other than the injured one? Yeah. So maybe a [REDACTED] just because he's kind of difficult to control again. That seems reasonable, yeah. How far out are you guys? It's about a 10-minute flight. We're just about unloading him, so... Yeah. Where are you guys coming from? 1215. Lake Northern Niagara County. Niagara County. Okay. And you said it was his left arm that looks pretty crushed. Left arm was definitely trapped. Yeah. It's got a lot of bruising on it. Okay. Okay. Sounds good. We'll see you guys when you get here. By all means, if you need to get more functional... Perfect. Let us know if you need anything. We'll page it out as a trauma now. Okay. Thank you, Jackie. Thank you. Thank you. Bye. We'll see you shortly.</t>
  </si>
  <si>
    <t>This is your doctor. Hi, this is Taze Amar. I'm bringing a four-year-old patient. She's a four, struck by a car. She is [REDACTED] and this time screaming, which is good. She's on sinus rhythm 146, 99% on room air 113 over 83. She had a small laceration to her upper lip, and that's the only obvious injury. She's moving all extremities. Okay. Any idea how fast the car was going? About 40. 40, okay. About a five-minute EPA. [REDACTED]? [REDACTED]. Okay. Yeah. All right. See you soon. See you later.</t>
  </si>
  <si>
    <t>Hello, Shai. It's Dr. Pathers. Hi, my name is Morgan. I'm an advanced EMT with North Carolina Emergency Squad. I'm calling in a pediatric trauma. Okay. So I'm currently en route to you. I'm about 30 minutes out, probably 30, 40 minutes out. I'm in Eden with a 17-year-old male who fell about 10, 15 feet from the very, very tippy-top of a playground set. He lost his balance, slipped, fell backwards, fell, hit his head on the ground of the playground. It's like a wood ground, I guess. Hit the left side of his face. He has not a lot of swelling or anything on his face, but he has a [REDACTED]. He came to us about an hour and a half after the incident occurred. He said that he was vomiting. His friends brought him to us. He was vomiting. And he started to act. He acted funny, they said. And we got him into the truck. He was acting okay. He was [REDACTED]. He's now [REDACTED]. I would say his [REDACTED]. He was [REDACTED]. His pupils were reactive to light. They're now sluggish. And his left pupil is rolling back. His eye is, like, rolling backwards in his head when I try to check it. And it was not reacting very well at all. Okay. His heart rate is 82 right now. His blood pressure is 115 on 74. And his FPO2 is 99. He just keeps saying he's trying to sleep. I'm trying to keep him awake. He's [REDACTED]. Okay. Okay. Have we given any meds? I haven't. There's nothing really to give. I'm an advanced EMT, so I can't give pain meds or anything. I don't have anything like that. I don't really have anything that I can give him. I could give him some saline, but I... Is there anything you suggest? I would... Yeah. I would give him a fluid bullet. A bullet. I was going to just start with a fluid bullet as long as it was okay with you. Yeah. But I called you as soon as his GCS changed, so... Yeah. And then he's in a C-collar, yes, of course? What was that? And yes, absolutely. Okay. Yes, and since the start. Yep, absolutely. Yeah. Call us if anything changes back. Like, if his GCS continues to decline, or his vitals are shifting any more than where they are right now. Okay. Yeah. The vitals haven't shifted at all. Okay. But yeah, he's in the C-collar and everything. He hasn't vomited since I got in. Like I said, I was about to start a fluid bullet, but I called you right away. Okay. And at this point, there's really nothing more I can do. I would get a paramedic, but I don't think there's anything really they can do either. Okay. So I think he just needs a CT scanner. Yep. Sounds good. Thank you. I'm a CT tech, but obviously I can't do it on here, so... Yep. Thank you. All right. We'll see you in about half an hour. Sure. Okay. Thanks. Bye. Okay. Thank you. Bye.</t>
  </si>
  <si>
    <t>Heidi, this is Dr. Jimenez. Hey, Doc. My name's Matt. I'm in advance of that. I've got a pre-arrival for a cyclist struck. Oh, hey. Tell me about the skiddo. Twelve-year-old male, cyclist, wasn't wearing a helmet, struck by a vehicle on a side street traveling at a significant seven miles an hour. Seven? Yep, seven miles an hour. What a very specific number. Keep going. Very. I concur. Vehicle, sun to the ground, had to strike on concrete. Vehicle was reported to have ran over both of his legs. Oh, my gosh. No obvious crepitus for my evaluation. Just he had some decent swelling to his left ankle and left knee with generalized head pain and neck pain. [REDACTED], heart rate 114, saturation 99% remer. He's got a pressure of 136 over 93. He's got a pressure of 136 over 94. No past medical history. Okay. And you said he was unhelmeted? Unhelmeted. Of course. Mm-hmm. Okay. What's your EPA? We're coming from borderline Kenmore at this point, so I'd give a 10. Sorry, say that again. How long? Ten minutes. Ten? All right. Perfect. I can discharge this good really quick. Okay. We'll see you in ten. All right. Thank you. Yep. Bye.</t>
  </si>
  <si>
    <t>Hello, this is Dr. Reeves. Hello, this is Joy Plant, and I'm a PAM medic. Hey, what's up? Hey, I got a kid, a 7-year-old, 7-year-old female who fell approximately 15 feet out of a window after jumping off the couch. Parents did get up and move her, picked her up, carried her up the stairs. She's got an obvious humeral fracture on the left side, pain on the left leg, no deformity. She has a backboard in a comment right now. We're working on vitals for you. She looks like 141 over 80. 7-year-old? A 7-year-old. Okay. 7-year-old female. Okay. 15 feet out of a window, obvious deformity of which leg? Right arm, I mean left arm. Left arm. And pain in the left leg, unknown deformity. I haven't really been able to see so much. They do speak, what did they just say they speak? What? Rohingya. They speak Rohingya. Parents both don't speak English. There was a sibling one team that could translate for us. Okay. [REDACTED] We're going to go with a 15 for now, but the neighbors did say that when they saw the child fall that the child was under the sock. Okay. Okay. How far out are you? We are like five minutes down the road. I'm just getting all hooked up to them on our day right now. Yeah. Anything you want me to do? Any pain meds or anything? I mean, definitely can do if she seems to be in obvious distress. We're going to go right in the back. I don't have room with her because of the height of the fall. Correct. So you want us to just go? Yeah. I mean, just a fentanyl will probably be good. She's seven. How much? Yeah. What's her approximate weight? Can you get any weight for her? I mean, looking at her, I mean, I think if she's less than 50 pounds. But honestly, I don't. Ask him if he knows how much he weighs. How much do you weigh? Does he have to be in the first? I don't know. I'm sorry. Yeah. So that'd probably be like. You want going? Who's going then? Is mom going? No. Okay. Is mom taking the car or coming with us? The van is. I don't know. The van is. She's taking the car. Okay. So you're following us there. Okay. You're going to want to park in the emergency room parking lot. Does he know how much he weighs? I don't know. I don't know. Oh, my. You know what? You know what? Just. Yeah. Just. I would just probably roll with her. She's probably going to be. It's probably going to be like one mic per kilo. Yeah. I'd probably. Probably. You could probably do 20 mics of fentanyl if you really want to. But otherwise, just head on over and we'll get her taken care of. What you got for her vitals? One. 41. 41 over 88. I got 99% of room air and 103 for heart rate. 103. And then what was her respiratory? About 24. Okay. And then what would you say was the post-ox? Post-ox is 99% room air. Fantastic. And you said 20 mics IM? Yeah. You could do that. Okay. We'll work on that. Thank you. Thank you. And if you were probably about five. Yep. Bye. All right. Thank you. Bye. Bye. Bye. Bye. Bye.</t>
  </si>
  <si>
    <t>Hi, it's Dr. Catherine. Hey, this is Maddie Jesse with BigTree. I have a 16-year-old who fell from a train trestle through it. No other intent. Probably, I want to say, close to 50 feet. I'm sorry, say that how many feet again? Probably about 50 feet. He's [REDACTED]. He [REDACTED] at least. But he's, we did give him, I got an 18-star Sentinel. I want to make sure you guys are okay with me bringing him to you is basically the big thing. How old is he again? 15? 15. And how much, he probably, how much do you weigh, Santino? How much do you weigh? 180. Okay. How much do you weigh? 201. I'm sorry, I was trying to, I got 100% going. So he fell 50 feet? Yes. Onto a train track. Okay. All right. I mean, I just wanted to be sure if you guys were either or EMC. Whichever one is closer, it's either one. Okay. You're about the same distance, but his mother preferred him going to you guys. Okay. We can do that. We can do that. All right. Thank you so much. We will see. Do you need anything else from me? Yep. I need a full set of vitals, please. Okay. Okay. 136 over 54. The CO, the CO capnography is 38. He is, I'm not getting a very good reading on my pulse. I'm on the phone. 118 sinus attack on the monitor. He's got an 18 left AC. I'll work on access on the other side for you. I have fluids running currently and he had 100 of fentanyl. Okay. Blood sugar was 129. Okay. Does he have any deformity? No. I'm sorry, ma'am. Does he have any deformities anywhere? His left is hurting him horribly, but I don't see any deformity. He's got some cuts and bruises otherwise, but he's been, he's got good fetals, able to move everything exceptionally. Okay. And then how far? And we're leaving Hamburg now. So we are probably at least 20 minutes. Okay. All right. We will see. All right. Thank you. Okay. Bye. Thanks. Bye-bye. Bye-bye.</t>
  </si>
  <si>
    <t>I was shy. It's Dr. Pathrose. Hi, this is Rob with Woodbom. I have a 13-year-old male ATV accident, approximately 20 mile an hour. He did have his helmet on. His blood pressure is 122 over 64, pulse is 93, oxygen is at 97. He has left leg pain in the proximity of his hip, a bump on his head. Doesn't know how long his nose is bleeding, but he does have dried up blood in his nostrils. Okay. Now, do you want us to come hot, cold? We'll be about 15 minutes if we come cold. I mean, if he's [REDACTED] and all those things, you don't have to come in super hot or anything. Okay, yep. No problem. Sorry, can you tell me the heart rate one more time? Pulse is 93. Okay. All righty. And then LSC or no? I'm sorry? Did he have loss of consciousness? He says he remembers everything. Uh-huh. And that's the best. He doesn't know how long his nose bled for. He doesn't know how long it was from the time he wrecked until somebody found him there because he was riding alone. Okay. All righty. We'll see you when you get here. All right. Sounds good. Thank you. Bye.</t>
  </si>
  <si>
    <t>Hi, this is Selena Moreno. I'm a basic with AMR. I'm bringing you guys a 15-year-old female who was attacked by multiple dogs. She currently has multiple bite wounds to the left leg with some fat hanging out. She is unable to feel. She has complete numbness in her right arm, unable to wiggle her fingers. I can't get a good radio call. She has multiple bite wounds in that as well, but no obvious deformities besides the bite wounds. And then she has a couple on her back and a couple on the left arm. Does she have, like, from that right arm, she has bites on that right arm as well? Yes, she does. Unknown if the dog is vaccinated. The owner said that they are, but there's no, like, proof. We didn't get proof. Do you have vitals? Yeah, vitals are good. Last pressure I got was... I can't get a pulse ox on her because mine is currently not working. Okay. She's [REDACTED]. She's just complaining of pain in that right arm and the leg. Okay. Is there any, like, evidence of arterial bleeding or pulsatile bleeding from that right arm that she's having a decreased sensation in? From the lung? No, no, no, no, from the right arm. Okay. There's no, there's no, there's no, no. You're not concerned? You're not concerned for arterial bleeding at all, correct? No, the bleeding's not severe. We got a bandage dog. They're pretty deep white. Yeah. All right. How far away are you guys? We are about, I would say, like, five-ish minutes. Okay. So you, and I apologize, one five or one six-year-old? One five. Okay. So one five-year-old female attacked by multiple dogs has bites to the left leg, right arm, and the back. The right arm is the most concerning to her because she's having, you're having difficulty finding a pulse. And... Yeah. She feels she, she is having trouble sensation. You guys are about five minutes away. Okay. We are going to have you guys start out back in the trauma bay when you guys get here. Okay. All right. Thank you. No problem. Bye-bye.</t>
  </si>
  <si>
    <t>University. Hey, UAH, it's Cleveland 36. Hey, what do you got? I got a [REDACTED] struck male. He did have some head trauma, unknown if he's LOC. He's pretty upset, so it's hard to get any info. Looks like some deformity to the right lower leg. He's got some linear right leg pain with some abrasion. Blood pressure is 134 over 76, heart rate 100. The rest of his are 18. He's 98% under a mirror. And we're going to be there probably in about five to six. Okay. How fast is the car going by chance? Maybe like 25, 30, unsure. We're not really able to get much information from everybody on scene. Okay, no worries. I have a lot of PDFs. I don't know. All right, thank you so much. No problem. Bye. Bye.</t>
  </si>
  <si>
    <t>University. Hey, UAH, it's Cleveland 36. Hey, what do you got? I got a 13-year-old pedestrian struck male. He did have some head trauma, unknown if he's LOC. He's pretty upset, so it's hard to get any info. Looks like some deformity to the right lower leg. He's got some linear right leg pain with some abrasion. Blood pressure is 134 over 76, heart rate 100. [REDACTED]. He's 98% under a mirror. And we're going to be there probably in about five to six. Okay. How fast is the car going by chance? Maybe like 25, 30, unsure. We're not really able to get much information from everybody on scene. Okay, no worries. I have a lot of PDFs. I don't know. All right, thank you so much. No problem. Bye. Bye.</t>
  </si>
  <si>
    <t>Hello, CUH. Hi, UH. This is the Shaker Heights Fire Department. What you got? We're coming in with a 16-year-old male. He was a driver of a car at a high rate of speed, struck a pole. We have severe front-end damage to the automobile. We have airbag deployments. He was ambulatory and in police custody when we arrived on scene. He's still handcuffed at this time. Hospital stolen vehicle. He's oriented appropriate following commands. Unknown loss of consciousness. But right now his mental status is intact. He's only complaining of right knee discomfort. He's got some bleeding around his mouth. There was no pain or discomfort of his head, neck, and back. We have him immobilized with a cervical collar, position of comfort on the stretcher. Vital signs are all normal. I have a heart rate of 100, adding 98%. [REDACTED] and quality. Blood pressure was 128 over 70. Denying any significant medical history. Trauma exam. There's no significant findings other than the bleeding around the mouth and that right knee pain. Okay. Yeah, he's 16 years old. So do you want him adult? If there was no passenger intrusion, if he's going to be a rainbows and lemonades. Okay. All right. So there was no intrusion, right? There was no intrusion. Okay. But it's severe and at high rate of speed. Yeah, they'll make it a... Okay, they'll make it one. How far out? We're about 10 minutes. All right. Thank you. See you then. Thank you. Bye-bye.</t>
  </si>
  <si>
    <t>QH Danny. Hey, I'm 36. Hey. I have a 15-year-old female. She had a fall while playing basketball. Since the fall, [REDACTED]. [REDACTED] and blink and, like, kind of, like, look at her and everything, but [REDACTED]. We do have her C-collar. Her vitals are 143 over 88, 18 respires, 97% on remanent, and a heart rate of 78. Well, did she fall and hit her head? Yeah, they said she fell and hit her head pretty hard on the floor. It's just like, you know, like a traditional wooden basketball floor. Yeah. What's her GCS for you guys? Well, [REDACTED], like, to a – you know, I got to look at the numbers here. I mean, I guess if I do it according to – I guess it will be a 10. How about a 10? Okay. Yeah. I mean, [REDACTED]. [REDACTED]. Okay. And then, like, [REDACTED], and she's actually squeezing her hand and stuff. Did she have positive LOC, I'm assuming? Yeah, that's what they said pretty much. Yeah. Okay. All righty. How far are you out? Maybe, like, 10. 10. And you said how long ago was it that she had fell? They said – when we got there, they said, like, they were on the phone, so, like, for a while, so, like, 15 minutes, like, when we got there. Oh, okay. So probably, like, 5 o'clock or something like that, maybe? Yeah, yeah. Okay, gotcha. All right. Okay. We'll see you soon. All right. Okay, bye. Bye. Bye.</t>
  </si>
  <si>
    <t>He weighed... Hey, Cleveland Heights 241. Call for a patient report. What do you got? I got a [REDACTED]. Parents said that [REDACTED] actually fell off the couch and bumped its head. We got to see if [REDACTED] was kind of unconscious, lethargic, severe lethargic. Baby is aroused by papal stimuli. Does have a bruise on her head. Right now, respirations are 30 respirations per minute. Heart rate is 149. Blood pressure is 141 over 86. We're assisting some ventilations because we kind of lose the tracks on the ventilations with her. Really? We're assisting her ventilations at this current time. We're going to try to start her in line here. So she's still lethargic and out of it? Yeah, she's pretty lethargic. Okay. Some kind of head trauma. Okay. How far out? Okay. Yeah. About five? Hello? Yeah. I'd say about five to seven minutes. All right. I'll let them know. Thank you. All right. Thank you. Thank you.</t>
  </si>
  <si>
    <t>He weighed... Hey, Cleveland Heights 241. Call for a patient report. What do you got? I got a one-year-old female. Parents said that the baby actually fell off the couch and bumped its head. We got to see if the baby was [REDACTED]. [REDACTED]. Does have a bruise on her head. Right now, respirations are 30 respirations per minute. Heart rate is 149. Blood pressure is 141 over 86. We're assisting some ventilations because we kind of lose the tracks on the ventilations with her. Really? We're assisting her ventilations at this current time. We're going to try to start her in line here. So [REDACTED]? Yeah, [REDACTED]. Okay. Some kind of head trauma. Okay. How far out? Okay. Yeah. About five? Hello? Yeah. I'd say about five to seven minutes. All right. I'll let them know. Thank you. All right. Thank you. Thank you.</t>
  </si>
  <si>
    <t>He weighed... Hey, Cleveland Heights 241. Call for a patient report. What do you got? I got a one-year-old female. Parents said that the baby actually [REDACTED]. We got to see if the baby was kind of unconscious, lethargic, severe lethargic. Baby is aroused by papal stimuli. Does have a bruise on her head. Right now, respirations are 30 respirations per minute. Heart rate is 149. Blood pressure is 141 over 86. We're assisting some ventilations because we kind of lose the tracks on the ventilations with her. Really? We're assisting her ventilations at this current time. We're going to try to start her in line here. So she's still lethargic and out of it? Yeah, she's pretty lethargic. Okay. [REDACTED]. Okay. How far out? Okay. Yeah. About five? Hello? Yeah. I'd say about five to seven minutes. All right. I'll let them know. Thank you. All right. Thank you. Thank you.</t>
  </si>
  <si>
    <t>Hi UH, this is Euclid SWAT 1342. We have a trauma alert. We have a 17 year old driver and a 6 year old passenger who was [REDACTED], [REDACTED] and [REDACTED]. The only complaint is from the 17 year old, complaints of left wrist pain and left leg pain. The 6 year old girl has no complaints, doesn't seem to be injured. She should be there in about 10 minutes. Was there an [REDACTED]? There was about a [REDACTED]. Okay. You said there was an intrusion? Yes. Okay. About [REDACTED]. 65 and they were both restrained? One was. Was she restrained? Did she have a seat belt on? Both seemed like they had their seat belts on. Okay. Is the 17 a male or a female? 17 year old male, 6 year old female. Okay. Was the 6 year old in the back or in the front? Back. In the back. Okay. Yeah, you got it. Okay. All right. How far are you out? About 10 minutes. All righty. See you soon. Yep. Okay. Bye. Bye. Bye.</t>
  </si>
  <si>
    <t>Hi UH, this is University Hive Squad 1141. We are in route to your location with a 13 year old female that was struck by a vehicle. She got hit, significant damage to the front of the vehicle, flew over the vehicle probably a good 20 feet away from where she was struck. Currently only complaint of neck, back and hip pain. Does have some abrasions on her left side and chest. No other visible decay at BTOS. We do have an IV established. Vitals are blood pressure of 147 over 59. SpO2 is 98 on room wear with a heart rate of 82. ET at your facility is approximately 6 minutes. Okay, you said she's 13, correct? Correct. And do they, does the person know how fast they were going when they hit her? What was that? Do they know how fast they were going when they hit her? No. No, like I said, the patient flew about 20 feet and went over the vehicle. Okay, is she [REDACTED]? The road there is a 35. Oh, gotcha. Is she [REDACTED]? Yes. Okay. Yeah, [REDACTED]. [REDACTED]. Okay. I said only complaint at this point is pain. Okay, she'll still be a trauma, so you guys go to the trauma room when she gets here. Copy. Alright, see you soon. Bye. Thank you.</t>
  </si>
  <si>
    <t>Hi UH, this is University Hive Squad 1141. We are in route to your location with a 13 year old female that was [REDACTED]. She [REDACTED], [REDACTED], [REDACTED]. Currently only complaint of neck, back and hip pain. Does have some abrasions on her left side and chest. No other visible decay at BTOS. We do have an IV established. Vitals are blood pressure of 147 over 59. SpO2 is 98 on room wear with a heart rate of 82. ET at your facility is approximately 6 minutes. Okay, you said she's 13, correct? Correct. And do they, does the person know how fast they were going when they hit her? What was that? Do they know how fast they were going when they hit her? No. No, like I said, the [REDACTED]. Okay, is she alert and oriented? The road there is a 35. Oh, gotcha. Is she alert and oriented? Yes. Okay. Yeah, no loss of consciousness. She remembers everything. Okay. I said only complaint at this point is pain. Okay, she'll still be a trauma, so you guys go to the trauma room when she gets here. Copy. Alright, see you soon. Bye. Thank you.</t>
  </si>
  <si>
    <t>UH is the day. Hey, Cleveland Medec 31. All right. Cleveland Medec 31. Yep. We're coming to you guys with a [REDACTED]. He was unrestrained passenger in the back. He did hit his head, no LOC. He's just got some, like, a cut to his lip. So he is tacky, about 120s to 130s. Blood pressure is 105 over 72. He's got a C collar on him. And we're leaving in 30 seconds. So how much damage was done to this car? It's minor to moderate, no signs of intrusion. We're just going to IV in, put him on a C collar. So this is going to be a PEDS trauma, just to let you know. Okay. All right. So what's the EPA? Give us about two minutes. We're right at 105 in Chester. Okay. Yeah. Okay. [REDACTED].</t>
  </si>
  <si>
    <t>UH is the day. Hey, Cleveland Medec 31. All right. Cleveland Medec 31. Yep. We're coming to you guys with a 16-mile Evolving [REDACTED]. He was [REDACTED]. He did [REDACTED], no LOC. He's just got some, like, a cut to his lip. So he is tacky, about 120s to 130s. Blood pressure is 105 over 72. He's got a C collar on him. And we're leaving in 30 seconds. So how much damage was done to this car? It's minor to moderate, no signs of intrusion. We're just going to IV in, put him on a C collar. So this is going to be a PEDS trauma, just to let you know. Okay. All right. So what's the EPA? Give us about two minutes. We're right at 105 in Chester. Okay. Yeah. Okay. 45-year-old.</t>
  </si>
  <si>
    <t>U-H, Dani. Hey, Dani. It's Cleveland 13. Hello. Bringing you guys up. Pediatric trauma. Okay. We have a [REDACTED], pedestrian struck. Vehicle said they were going about 30 miles an hour, braked, and then struck the [REDACTED]. Positive LOC, no obvious injuries or trauma that we can see, just abrasion of the extremities. Vitals are all fine at this time. Pressure is 100 over 74. Heart rate is 104, sinus pack on the monitor. Three weeks just sinus pack, and respires are 20. He's 100% on room air. We'll be there in like eight minutes. Eight minutes. Okay, bye. Bye.</t>
  </si>
  <si>
    <t>Hello, CUH. Hey, UH. It's Lee with the Medic 7. We have a 10-year-old female. She was unrestrained backseat passenger in a car versus whole MVA. Heavy front-end damage. She's got a lot of damage to her face and mouth. She is alert and oriented talking. Now she's got pain on palpation all over her body. The vitals are stable. We have a [REDACTED] sinus on the monitor. Blood pressure 130 over 76. 16 respirators, 98%. We have a 22 for access. We will probably be there in about five minutes. Do you have any questions? Do you know how fast? Not based on the damage. I'm estimating, you know, 40s, 50s. 40 to 50. Okay. Unrestrained backseat. Unknown LOC. Unknown. Unknown LOC. Facial, mouth, body pain. And currently AMO4. Okay. She'll be a trauma over there in a minute. All right. See you in a few. Bye. Thanks. Bye-bye.</t>
  </si>
  <si>
    <t>U.H. Hey, U.H., I got a trauma activation for rainbow babies and children. Go ahead. All right, we have an 8-year-old male involved in an MVC or pedestrian. He was playing kind of in the street and got hit by what appears to be the side of an SUV. It's unknown if he got run over or if he just hit the side of the car, but there is obvious deformity to the left leg and distal to the knee. Like the shinbone, he obviously is in pain. [REDACTED]. [REDACTED]. Right now we do have the legs pointed up. We attempted an IV, but he was fighting pretty good. Last set of vitals for us were 164 over 99 for a pressure, 99% on room air, heart rate of 114. We just let the scene. He should be there in about seven minutes. How long, sorry? About seven minutes. And what unit are you? University of the Ice, 11. 4-1. 11. Perfect. We'll see you in about seven. Okay. All right. Thank you.</t>
  </si>
  <si>
    <t>We have a seven-year-old male, multiple dog bite, three inch squared of bulging to the scalp, about a, I'd say, two inch deep bite wound to the right calf, or the left calf, sorry, and then another bite wound to the left bicep. These [REDACTED] vitals are stable at 99 heart rate, 100 on the numeric, what was the pressure? 148 over 90 for the pressure. We gave 34 micrograms of fentanyl, and I'd say we'll be there in about five minutes. Okay, we'll see you guys when you get here. Good, thank you. Bye.</t>
  </si>
  <si>
    <t>We have a seven-year-old male, [REDACTED], three inch squared of bulging to the scalp, about a, I'd say, two inch deep [REDACTED], or the left calf, sorry, and then another [REDACTED]. These anal times three vitals are stable at 99 heart rate, 100 on the numeric, what was the pressure? 148 over 90 for the pressure. We gave 34 micrograms of fentanyl, and I'd say we'll be there in about five minutes. Okay, we'll see you guys when you get here. Good, thank you. Bye.</t>
  </si>
  <si>
    <t>Hello, UH. Hey, it's Medic 10. What do you got? We have an 11-year-old male with a [REDACTED]. It's [REDACTED]. [REDACTED]. So he's okay. Vitals are good. We have a heart rate of 84. Blood pressure 125 over 86. Breastfus are 20 and normal. And he's 99% remanded. Okay. How far out? About 510. This is [REDACTED], right? 100%. Okay. Thank you. Bye. Bye. Thank you.</t>
  </si>
  <si>
    <t>Hey Danny, it's 41 with two PEDS traumas. Alright, gotcha. Okay, so we got a one-year-old and a two-year-old female approximately. They were [REDACTED]. The one-year-old was [REDACTED], probably [REDACTED]. The two-year-old was [REDACTED], however was [REDACTED]. [REDACTED]. They're both interactive with kind of weak cries. The two-year-old's heart rate is 100 right now, pressure is 120 over 80, 98% room air. No other like palpable injuries or fractures or anything like that. Okay, gotcha. So both vitals were pretty much stable besides the weak cries? Yeah. Okay. How far are you out? Right five minutes. All right, see you, bye. Okay.</t>
  </si>
  <si>
    <t>Hello, this is UH. Hi, UH, this is UB What you got? We're bringing you a 15-year-old male. He has [REDACTED]. It looks like [REDACTED]. Bleeding is controlled at this time. We have one leg splinted. We have one 18-gauge IV in the left AC. He is conscious alert breathing with us. He's cool, clammy to the touch. We got him on oxygen. He does have a radial pulse of at least 90 spallet. We still haven't gotten a pressure yet. But he's got a strong radial pulse. How far out? About 8 minutes, 8 to 10 minutes. So one in each femur both appear fractured. Any tourniquets or anything? No tourniquets. Bleeding is controlled at this time. Alright, we'll see you in 8. Alright, bye. Thank you.</t>
  </si>
  <si>
    <t>Hey, it's 30. We are in route with a 1515 female walking to school was hit by a car. Unknown rate of speed. This happened about an hour ago. She says the car did not go over her any part of her body, but it did put her up in the air and she fell to the ground. She's complaining of some left arm pain. She's got abrasions to her left elbow and her left knuckle as well. Has some back pain. MSPs are all good. We got her collar just in case. Um, got mom on board. She's showing [REDACTED]. Got a BP of 104 over 70. Respirators are 16. She's 100% on room air. We'll probably be there in like eight to 10 minutes. Eight to 10 minutes. Unknown speed. No OC though. No OC, no. But she does have an abrasion to her chin. So she did, her head did hit the ground. Head hit the ground. Okay. Awesome. All right. Yep.</t>
  </si>
  <si>
    <t>Hey, it's 30. We are in route with a 1515 female [REDACTED]. Unknown rate of speed. This happened about an hour ago. She says the [REDACTED]. She's complaining of some left arm pain. She's got abrasions to her left elbow and her left knuckle as well. Has some back pain. MSPs are all good. We got her collar just in case. Um, got mom on board. She's showing sinus at 90. Got a BP of 104 over 70. Respirators are 16. She's 100% on room air. We'll probably be there in like eight to 10 minutes. Eight to 10 minutes. Unknown speed. No OC though. No OC, no. But she does have an abrasion to her chin. So she did, her [REDACTED]. Head hit the ground. Okay. Awesome. All right. Yep.</t>
  </si>
  <si>
    <t>Hi, it's Kim at UH Transfer Center. Can you send out a full trauma activation for a [REDACTED] being flown in from a scene by Cleveland Clinic? [REDACTED]. What's the trauma? I mean, what is it? Fell out of a second story window. Okay. That's all I know about him. Okay. They already talked to Dingle Dine. She said it's a full trauma. Okay. Thanks. Thank you.</t>
  </si>
  <si>
    <t>What year were I? U.H. Hey, U.H., Cleveland Medical Center Report. Got a two-year-old female. She was actually shot in her left foot. We're not unsure if it was through and through. It was already wrapped in gauze before we got there. She is alert, oriented, age appropriate. No active bleeding right now. Pressure is 113 over 77. She is signed up on the monitor at [REDACTED]. Respirations are 28. Lungs are clear bilateral. Boom stat is at about 100%. We'll be at your doorsteps in about five to six minutes. Okay. Sounds good. I'll let him know. Thanks. All right. Thanks. Bye.</t>
  </si>
  <si>
    <t>UH. UH, this is Youthwood medic 43, as they should care for. What you got? Coming in with a pediatric trauma, 14 year old female, anal times four, unconscious. She got [REDACTED], sounds like it was a [REDACTED]. Unknown how deep it went in, but probably about 2-3 millimeters in diameter in the [REDACTED]. Heart rate is 116, 99% on room air, blood pressure is 138 over 68, 18 gauge in the left AC, and will be there in about 10 minutes or so. Okay, that's the only wound, right? Yeah, she only had one. You said what part of the head? Front left lobe. Front left, okay, thank you. Unknown how deep. Okay, bye.</t>
  </si>
  <si>
    <t>UH. Hey, UH, this is Seth, you get 341 with patient report. This is going to go to pediatrics. Pediatrics? Yep. Go ahead. This is going to be a trauma alert for a fall, possibly from the second floor of a house, possibly onto the ground, hitting some boxes on the way down. A neighbor found him sitting up in an alert and was crying in the driveway, alerted the mother. When we got there, he was crying in her arms but was consolable. He is [REDACTED]. Vital signs are as follows, BP of 114 over 72, 90 on the pulse. He was 96% on room air. [REDACTED]. [REDACTED]. No visible outer injuries that we can tell, even when patients are in the room, and we can't see them. If you're picking him up and palpating anything on him, like I said, [REDACTED]. Be at you guys in about two minutes. Two minutes? Yep. Got you. Thank you.</t>
  </si>
  <si>
    <t>New Age. New Age, 242. We're coming with a 16-year-old male. He was at the park going down a hill to follow his scooter. Pumped his head pretty good, has a pretty good golf ball bump above his right eye. He was kind of knocked out when we were there. [REDACTED]. [REDACTED]. Is [REDACTED], [REDACTED]. He [REDACTED]. Vitals are all stable and we should be there in about three to four minutes. You said he fell, lost consciousness? Off a scooter and bumps his head on some concrete. Like what kind of scooter? Like a Razor scooter, like a non-electric, non-motorized scooter. It was a pretty steep hill, so we're guessing it was a pretty good rate of speed that he fell at. It was unwitnessed. Okay. He was out of control. He wasn't responding at all when you got to him. Yeah, he wasn't responding at all when we were there. Just kind of spontaneous eye movement. And now he's talking with us, just [REDACTED], but [REDACTED] and all that, but [REDACTED]. He [REDACTED] as well. 16-year-old, right? Yep. All right, thanks. Yep.</t>
  </si>
  <si>
    <t>This is Cleveland Medics 17. I got a 15 female. [REDACTED]. I'm sorry. It looks... stupid allergies. It looks like it went all the way through, but I can't tell for sure. But there's definitely a [REDACTED]. Bleeding is controlled. We have an Israeli bandage on it. Her vitals are stable. And we'll be there in about five minutes or so. All right. I'll let Pete know you guys are coming. Okay. Thank you. Bye.</t>
  </si>
  <si>
    <t>Hello? Can you hear me? Yeah, go ahead. Two male, unrestrained passenger of the NBA, 8-0-4, does have crush injuries, yeah, crush injuries to both of his legs, his left leg. You said how old is he? [REDACTED]. [REDACTED]. Crush injuries to legs, okay. He was pinned for an elongated period of time. Vitals are as follows, pressures 100 over 62, heart rate 108, rest force 30, 100 center of the air, GCS 15. All right, how far? Well, a couple minutes. All right, see you, bye. Yeah, bye.</t>
  </si>
  <si>
    <t>Hello? Can you hear me? Yeah, go ahead. Two male, [REDACTED], 8-0-4, does have [REDACTED], yeah, [REDACTED], his left leg. You said how old is he? Approximately two. Approximately two, okay. [REDACTED] to legs, okay. He was [REDACTED]. Vitals are as follows, pressures 100 over 62, heart rate 108, rest force 30, 100 center of the air, GCS 15. All right, how far? Well, a couple minutes. All right, see you, bye. Yeah, bye.</t>
  </si>
  <si>
    <t>Hey, this is Medic 10. I got a doozy for you. Sorry, say that again. You got a what? I have a doozy for you. So we have four pediatric patients coming in from an MBS. Oh, geez. They're all stable. We have one here who's [REDACTED]. He's got kind of a fat lip. He maybe busted his head on the front seat. We have a real pediatric. Was he in a car seat? Oh, yes. Yes, he was in a car seat that was not strapped in. Okay. We have a [REDACTED] here who looks like he busted his lip as well. Maybe on the front seat of the car. [REDACTED], busted his lip on the front car. A [REDACTED] with a little bit of mouth pain. And then the other one is... Are they all males? Yes. Sorry, I'm trying to write all this down. No, you're good. Okay, so it's a [REDACTED]. Was the [REDACTED]... [REDACTED]... Was just complaining of fat lip, too? No, leg pain. Oh, leg pain. Yeah. Okay, and then what about the [REDACTED]? Oh, sorry. [REDACTED] with mouth. [REDACTED] is nothing. He's good. Oh, but he's still coming in to be seen? Yes. Yeah, we're bringing them all in just because of the nature of the accident. Okay. What is the fourth one? [REDACTED], [REDACTED]. And a [REDACTED], he's pretty good, too. Oh, wait. So the fourth one is a [REDACTED]? Yes. Okay, sorry. And then no complaint on that one, either? No. And then how fast was the car going? It was highway speeds. Okay. And they made contact with the other car. I think you might have the other patient there already with Medic 31. Okay. Sarah, can you answer this? Sorry. I just, Pete's trauma criteria is a lot different than ours. No, you're okay. I'm pretty sure they're all going to be traumas. They, were any of, so, I know the two-year-old was in a car seat, but it wasn't strapped in. Were all of them wearing seatbelts? Not that we know of. Okay. And all acting age-appropriate? Yes. Okay. How was damage to the car, or where was the damage? To the car? Moderate. Yeah, it's pretty moderate. All airbags were deployed. Okay. All right. What's your ETA? About 10, 15. We're going to go slow. Okay. I'm going to walk down to Pete's and give them all this information. Do you want to be seen as well? All right. And how old are you? A [REDACTED] was driving. Okay. Where are you hurting at? Hurting in her face. No. No obvious injuries. Okay. All right. We'll see you guys when you get here. All right. Thank you.</t>
  </si>
  <si>
    <t>Hey, this is Medic 10. I got a doozy for you. Sorry, say that again. You got a what? I have a doozy for you. So we have four pediatric patients coming in from an [REDACTED]. Oh, geez. They're all stable. We have one here who's two, almost two. He's got kind of a fat lip. He maybe [REDACTED]. We have a real pediatric. Was he in a car seat? Oh, yes. Yes, he was in a [REDACTED]. Okay. We have a three-year-old here who looks like he [REDACTED]. Maybe on the front seat of the car. Logan's five years old, [REDACTED]. A six-year-old with a little bit of [REDACTED]. And then the other one is... Are they all males? Yes. Sorry, I'm trying to write all this down. No, you're good. Okay, so it's a two-year-old male. Was the five-year-old... Five-year-old... Was just complaining of fat lip, too? No, [REDACTED]. Oh, [REDACTED]. Yeah. Okay, and then what about the six-year-old? Oh, sorry. Six-year-old with mouth. Five-year-old is nothing. He's good. Oh, but he's still coming in to be seen? Yes. Yeah, we're bringing them all in just because of the [REDACTED]. Okay. What is the fourth one? Six-year-old, five-year-old. And a three-year-old, he's pretty good, too. Oh, wait. So the fourth one is a three-year-old? Yes. Okay, sorry. And then no complaint on that one, either? No. And then how fast was the car going? It was [REDACTED]. Okay. And they made [REDACTED]. I think you might have the other patient there already with Medic 31. Okay. Sarah, can you answer this? Sorry. I just, Pete's trauma criteria is a lot different than ours. No, you're okay. I'm pretty sure they're all going to be traumas. They, were any of, so, I know the two-year-old was in a car seat, but it wasn't strapped in. Were all of them wearing seatbelts? Not that we know of. Okay. And all acting age-appropriate? Yes. Okay. How was damage to the car, or where was the damage? To the car? Moderate. Yeah, it's pretty moderate. [REDACTED]. Okay. All right. What's your ETA? About 10, 15. We're going to go slow. Okay. I'm going to walk down to Pete's and give them all this information. Do you want to be seen as well? All right. And how old are you? A 25-year-old female was driving. Okay. Where are you hurting at? Hurting in her face. No. No obvious injuries. Okay. All right. We'll see you guys when you get here. All right. Thank you.</t>
  </si>
  <si>
    <t>Hello, it's Q8. Hey, it's 17. We're going to have three people from this NBA. Stay mild. [REDACTED]. They got side plates [REDACTED] there. No starting the windshield. [REDACTED]. Everyone was wearing their seatbelt. We're going to have a 34 female. Everyone's stable. Her 34 female has left arm pain and she does have a decent goose egg on the top of her forehead. [REDACTED]. A three-year-old female. She just has a little cut on her right below her lip. Stable as well. An 18 female probably just got costly glass in her eye. I haven't seen any, but left eye pain and left-sided body pain. Everyone was self-executive prior to our arrival. No blood thinners. I'm going to say no LLC. She said she was out for a minute, but I'm going to say no. The kid was in the car seat? Yeah, everyone was restrained. How fast do you think this car was going? I said 60. They may end up making the Peds look trauma. She was in the car seat. They got [REDACTED] and they [REDACTED]. That's what I said. Yeah, there's [REDACTED], but [REDACTED]. I'll see what they say. And one of these mom, I assume? Yes. So an 18-year-old or a 34-year-old? What's that? Which one's the mom? The 34? Mom of the baby, correct? The 34-year-old. You think she's going to be able to follow the baby? Yeah. Okay. All right. How far? Five out? The 34-year-old's the one with the goose egg, but I think she should be more concerned about the baby. Right. Five out? Ten out? Somewhere. We're on, yeah, we're on like 60th and Chester, so probably five. Okay. Thank you. All righty. Thank you.</t>
  </si>
  <si>
    <t>UH. Hi UH, we're calling for Rainbows bringing up pediatric trauma. Alright, who is this? Willoughby 1452. Okay. Ready for report? Yep, go ahead. We're bringing you a [REDACTED], ANO times 4, [REDACTED]. Rode his bike down a fairly steep incline, went over a small ledge and landed on a beach on a bicycle. Friends on scene state that he never lost consciousness. He says that he never lost consciousness. We do have heavy bruising on the left or right side. We have two splints. Right side of what? Right side thigh. Okay, okay. Yeah, right side. Right side of the body. Okay. Correct. Two splints on each forearm. There is no instability but there is heavy bruising. Patient states that there is a significant amount of pain. Again, no deformity. We do have a C-collar. We've tried for two IVs unsuccessfully. Current vitals, we have four lead on with normal sinus. Pulse of 86. SpO2 is 100% room air. First blood pressure was 160 over the first. Okay. And we tried for two IVs unsuccessfully. We're going to give him fentanyl by weight. ETA is approximately 10 minutes. Okay. Family said he's not on blood thinners. Okay. How far from over the ledge to the beach? It was about 10 feet and he said that he landed on the bicycle and the bike sort of tilted forward. There is kind of a steering wheel in like a brutal way. Okay. And he's not on the bike. He's on the bike. Okay. So, he's not on the bike. Okay. So, he's not on the bike. Okay. So, he's not on the bike. Okay. So, he's not on the bike. Okay. So, he's not on the bike. Okay. So, he's not on the bike. There is kind of a steering wheel in like bruising on his chest. Okay. There was no instability and he did lose one tooth. He's got slight bruising and cuts around his mouth. Okay. But again, no blood thinners as the parents said. Okay. I'll let him know. See you in about 10 minutes. Sounds good. Thank you. Thank you. Bye. Yep. Bye.</t>
  </si>
  <si>
    <t>UH. Hi UH, we're calling for Rainbows bringing up pediatric trauma. Alright, who is this? Willoughby 1452. Okay. Ready for report? Yep, go ahead. We're bringing you a 12 year old, [REDACTED], 12 year old male. Rode his bike down a fairly steep incline, went over a small ledge and landed on a beach on a bicycle. Friends on scene state that he never lost consciousness. He says that he never lost consciousness. We do have heavy bruising on the left or right side. We have two splints. Right side of what? Right side thigh. Okay, okay. Yeah, right side. Right side of the body. Okay. Correct. Two splints on each forearm. There is no instability but there is heavy bruising. Patient states that there is a significant amount of pain. Again, no deformity. We do have a C-collar. We've tried for two IVs unsuccessfully. Current vitals, we have four lead on with normal sinus. Pulse of 86. SpO2 is 100% room air. First blood pressure was 160 over the first. Okay. And we tried for two IVs unsuccessfully. We're going to give him fentanyl by weight. ETA is approximately 10 minutes. Okay. Family said he's not on blood thinners. Okay. How far from over the ledge to the beach? It was about 10 feet and he said that he landed on the bicycle and the bike sort of tilted forward. There is kind of a steering wheel in like a brutal way. Okay. And he's not on the bike. He's on the bike. Okay. So, he's not on the bike. Okay. So, he's not on the bike. Okay. So, he's not on the bike. Okay. So, he's not on the bike. Okay. So, he's not on the bike. Okay. So, he's not on the bike. There is kind of a steering wheel in like bruising on his chest. Okay. There was no instability and he did lose one tooth. He's got slight bruising and cuts around his mouth. Okay. But again, no blood thinners as the parents said. Okay. I'll let him know. See you in about 10 minutes. Sounds good. Thank you. Thank you. Bye. Yep. Bye.</t>
  </si>
  <si>
    <t>UH. Hi UH, we're calling for Rainbows bringing up pediatric trauma. Alright, who is this? Willoughby 1452. Okay. Ready for report? Yep, go ahead. We're bringing you a 12 year old, ANO times 4, 12 year old male. [REDACTED]. Friends on scene state that he never lost consciousness. He says that he never lost consciousness. We do have heavy bruising on the left or right side. We have two splints. Right side of what? Right side thigh. Okay, okay. Yeah, right side. Right side of the body. Okay. Correct. Two splints on each forearm. There is no instability but there is heavy bruising. Patient states that there is a significant amount of pain. Again, no deformity. We do have a C-collar. We've tried for two IVs unsuccessfully. Current vitals, we have four lead on with normal sinus. Pulse of 86. SpO2 is 100% room air. First blood pressure was 160 over the first. Okay. And we tried for two IVs unsuccessfully. We're going to give him fentanyl by weight. ETA is approximately 10 minutes. Okay. Family said he's not on blood thinners. Okay. How far from over the ledge to the beach? It was about 10 feet and he said that he [REDACTED]. There is kind of a steering wheel in like a brutal way. Okay. And he's not on the bike. He's on the bike. Okay. So, he's not on the bike. Okay. So, he's not on the bike. Okay. So, he's not on the bike. Okay. So, he's not on the bike. Okay. So, he's not on the bike. Okay. So, he's not on the bike. There is kind of a steering wheel in like bruising on his chest. Okay. There was no instability and he did lose one tooth. He's got slight bruising and cuts around his mouth. Okay. But again, no blood thinners as the parents said. Okay. I'll let him know. See you in about 10 minutes. Sounds good. Thank you. Thank you. Bye. Yep. Bye.</t>
  </si>
  <si>
    <t>Hello, it's UH. Hey UH, this is Peter on Euclid Medic 42 calling in a patient report. Go ahead. We're going to be en route with a 10 year old male. The male was a [REDACTED]. We have his mom on the way too, as well as the third patient. There's three patients coming. We have the 10 year old male. He's just complaining of some pain in his finger and in his right elbow. No other deformities that we can see of now. There's no other consciousness. The patient did say he was asleep when the accident happened. He does not remember anything else. Current heart rate is 120. He's 100 on room air. My blood pressure is still cycling. We'll be at your facility in about seven minutes. Questions or orders for us? How fast do they believe they were going? [REDACTED]. There was [REDACTED]. He was restrained in the back seat? [REDACTED]. Unrestrained back seat. They're going to probably make him a limited. All right. We'll see you in a few. Thank you, sir.</t>
  </si>
  <si>
    <t>Hello, SUH. Yeah, this is Whitworth Squad of 1532. I'm looking for Rainbows. Okay, what you got, Whitworth? We're going to come to your facility with a 12-year-old male. [REDACTED]. [REDACTED]. [REDACTED]. He lost consciousness. [REDACTED]. He is 8.04 right now. We do have him in a C-collar. He's on a reef stretcher. He's got about a two-inch laceration to the back of his head. Bleeding is controlled. He looks like a broken nose and just a few creasing on the left leg. I have vitals, blood pressure 135 over 86. Heart rate is 107. Rest area is 18. 99% are remaining. We tried two IV attempts. We were unsuccessful. We do have mom with us in the squad. We're going to have an ETA of about probably 10 to 12 years. Okay. Just the left leg you said was just bruised? Yeah, just bruised on the left side. Okay. We'll see you at 12. I'll let Rainbows know. It'll probably be a limited trauma there. Okay. All right. Thank you. Bye.</t>
  </si>
  <si>
    <t>New ATR. New ATR, how we doing? Cleveland 21 here. Go ahead, 21. Alright, we're coming at you with a three-bagger. We have an [REDACTED], [REDACTED]. Three patients, 53-year-old female driver and two minor 10-year-old male and a 4-year-old male. 10-year-old male is complaining of right knee pain. The 53-year-old female has got head and also knee pain. A couple of abrasions. The 4-year-old is the one we're concerned the most about. He's got kind of lethargic, distended abdomen a little bit. Everybody's got stable vitals all the way around. Trying for an IV on the 4-year-old right now. Everybody was self-executed on scene. No LLC or blood thinners or anything. So, were they going really fast when they hit this pole? Was there any intrusion or any other reason to activate a trauma? Because I'm not hearing one from you. Okay, man. It's got [REDACTED]. Very major damage. Okay, I wasn't picking that up. So, I guess I'll page out a limited trauma on the 53-year-old with the head injury? Yeah. The 4-year-old is the one I'm concerned the most about. I'll call pediatrics and talk to them. Okay. Alright, thanks.</t>
  </si>
  <si>
    <t>UAPS, this is Zach. Hey Zach, what information you got on this trauma? What is what? The pediatric trauma. Oh, what was the question? What information you got on it? I don't know nothing. Okay, 13 male, ATV rollover, or UTV, one of those. Okay. The scene plate coming from Geauga County. He was unrestrained and landed on his head. [REDACTED], no noted deformities or other injuries. Reports bilateral head pain, no other complaints. GCF's at 15. I got vitals if you want. No, I don't need all that, but you know over here they don't tell us anything. Yeah, they're fine. How y'all do? Be like, oh it's a trauma, we don't be knowing, we just be saying, huh? They be in there working on the trauma, we didn't even know it was here. I mean, he's chilling. Oh, he's chilling? He's really only a trauma because he's flying in. Oh, okay. So he, it's a transfer. No, it's not. It happened over there in Geauga. So I mean, it's a transfer. Yeah, he, like [REDACTED] should be able to tell you his information. I don't know if there's like a guardian coming with him or not. Uh huh. Because, you know. Alrighty. I don't know if they can like wedge him in the helicopter or not. Alright. So they might be driving up later. Driving up later. Okay. As far as consent, I'm not sure where you're stuck there. Alright. Well, I appreciate it. Thank you. If anyone else has questions, just don't call me. Alrighty. Bye. Bye. Bye.</t>
  </si>
  <si>
    <t>UH, this is Zach. Hi, this is Becker Squad bringing you a trauma. Is this Rainbow CR or same number? Yeah. Hold on a second. Yeah, yeah. Yeah, we're bringing you an 8-year-old who was unseat belted in the back seat. He has obvious deformity to his left femur and high tibia area with a severe laceration to the high tibia right below the knee area. We have it all just padded in place because he has it bent, and we have a position of comfort for him right now in that position. We have an IV established, a 20-gauge. Multiple traumas on this. This is four patients. But we're just bringing you one. I think the other ones are going downtown metro. Okay. Blood pressure, 121 over 82. Pulse of 125 on the monoclonal. We have a monitor showing normal sinus rhythm for him, sinus attack. Like I said, we have an IV established. We're just giving him fluids slowly. No medical history, no meds, [REDACTED]. It was airbag deployment. Two cars, very heavy damage head-on. That's his only complaint right now. Like I said, [REDACTED]. And our EPA is about 15 minutes. Okay. Rear passenger, I'm assuming? Correct. All right. Sounds good. We'll see you in 15. All right. Thanks. Bye. Bye.</t>
  </si>
  <si>
    <t>UH, this is Zach. Hi, this is Becker Squad bringing you a trauma. Is this Rainbow CR or same number? Yeah. Hold on a second. Yeah, yeah. Yeah, we're bringing you an 8-year-old who was [REDACTED]. He has [REDACTED]. We have it all just padded in place because he has it bent, and we have a position of comfort for him right now in that position. We have an IV established, a 20-gauge. Multiple traumas on this. This is four patients. But we're just bringing you one. I think the other ones are going downtown metro. Okay. Blood pressure, 121 over 82. Pulse of 125 on the monoclonal. We have a monitor showing normal sinus rhythm for him, sinus attack. Like I said, we have an IV established. We're just giving him fluids slowly. No medical history, no meds, no loss of consciousness. It was [REDACTED]. [REDACTED]. That's his only complaint right now. Like I said, no loss of consciousness, nothing like that. And our EPA is about 15 minutes. Okay. [REDACTED], I'm assuming? Correct. All right. Sounds good. We'll see you in 15. All right. Thanks. Bye. Bye.</t>
  </si>
  <si>
    <t>Okay. UH. UH Cleveland Heights 241 with patient report. We're bringing you a six-year-old male, six-year-old male who is presenting as bradycardic right now. He was reported initially to have been pulseless and apneic. He is breathing on his own. We are supporting his respirations with a bag valve mask, and we are currently performing CPR and giving 2.5 of epi to bring up his heart rate. He has good perfusion, 100% SpO2, and will be in route to your facility. He has a 20-gauge in his right arm. What's his circumstances? I don't know. He vomited. Mother found him after he [REDACTED]. He does have a [REDACTED]. We don't really have details. Mother was hysterical. What are you seeing now? We'll be there in five to seven. All right.</t>
  </si>
  <si>
    <t>UATD. Hey, this is East Cleveland Fire. All right, what's going on, guys? Hey, I got a 17-year-old male [REDACTED]. [REDACTED]. There's no other bullet holes anywhere else. [REDACTED]? Yeah, it's in his left calf. PD put on a tourniquet at 11.03 before EMS arrival. Vitals are 151 over 93. And he still has the tourniquet on? Yeah, he still has the tourniquet on. 99% on room air. Pulse rate is 117. Okay. So vitals are all stable? Yeah, vitals are all stable. All right. 17-year-old male, what's the ETA? Six minutes. All right. All right.</t>
  </si>
  <si>
    <t>UHD? Hey, it's East Cleveland Squad 145. What's up? We're inbound with a minor. He's autistic and nonverbal. He jumped off the third floor of a house. He's A-04. You know, ABCs are intact and everything like that, no bleeding. There's a possibility he has a broken leg. He's not sitting still for us to do anything with him. No vitals, no, yeah. How old is he? [REDACTED]. He's [REDACTED]. Okay. He's autistic and nonverbal. [REDACTED], so basically a fall from three stories? Yeah. That's got to be a full trauma. Yeah, but he's A-04. Like, what? When we put him on the cot, he, like, threw himself off. All right. So no vitals or anything like that? No, he won't sit still for anything. He's fighting us. All righty. All right. Yeah, we'll be there in five. Five minutes, okay. Yep. Bye. Bye.</t>
  </si>
  <si>
    <t>UHD? Hey, it's East Cleveland Squad 145. What's up? We're inbound with a minor. He's [REDACTED]. He jumped off the third floor of a house. He's A-04. You know, ABCs are intact and everything like that, no bleeding. There's a possibility he has a broken leg. He's not sitting still for us to do anything with him. No vitals, no, yeah. How old is he? 13. He's 13. Okay. He's [REDACTED]. 13-year-old male, so basically a fall from three stories? Yeah. That's got to be a full trauma. Yeah, but he's A-04. Like, what? When we put him on the cot, he, like, threw himself off. All right. So no vitals or anything like that? No, [REDACTED]. [REDACTED]. All righty. All right. Yeah, we'll be there in five. Five minutes, okay. Yep. Bye. Bye.</t>
  </si>
  <si>
    <t>UHED. Hey, UH, Cleveland Medic 1. I got one for Rainbows. Okay, just give me a quick thing. I got to page out a trauma. Okay. What you got? I have a 17 female front seat passenger in a low speed rollover. Okay. She was restrained, [REDACTED], [REDACTED]. Actually doesn't meet any announce criteria, believe it or not. She's complaining of pain in the both lower legs, pain in both forearms. There's no deformities, no abnormalities to gait or ambulation or anything like that. Mom has been advised she's actually probably going to beat us there. But otherwise, we're coming in with traffic. It's going to be a low priority non-trauma activation. All right. So a 17 female MVA stable, right? You got it. Great. Thank you. Yep.</t>
  </si>
  <si>
    <t>Hello, UH. UH Maple Heights Squad 2. We're going to be bringing you a pediatric trauma, five-year-old male involved in a [REDACTED]. He was [REDACTED]. We see obvious head injuries right now. He's got some swelling to the back of his head. He's alert and oriented about one, very lethargic. We got a pulse ox 97%. Heart rate's 114. BP was 86 over 40. We do have an IV, 20 gauge in his right AC. We do not have any parents coming with us because they were all ejected and being transported by multiple agencies. All right. How far away? We're going to be about 10 minutes out here. Thank you. See you. All right. Thank you. Bye.</t>
  </si>
  <si>
    <t>UH. Hi, this is Lake West Emergency Department calling ahead for Willoughby. Hi, Michelle. Hi, who is this? Morgan. Hi, hey, Morgan. Hey, I need to call ahead to Rainbows. You can give it to me. I can give it to you? Yeah. All right, Willoughby gave us a heads up on a pediatric trauma alert. Okay, what is that? A 15-minute ETA for a 5-year-old, 5-foot unwitnessed fall, top bunk of a bed, [REDACTED], [REDACTED], [REDACTED], there's notable blood coming from the left ear, they're stating no CNS fluid noted, he has C-collar, equal and reactive pupils, dad is with them. Okay. He has no medical history. Okay. No allergies, no meds. Okay. All right, vitals are as followed, 125 over 65, heart rate 110, 98% on room air. Okay. Sinus attack. Okay. All right, I love it. Anything else? No. All right, thanks, Morris. Bye-bye. Oh.</t>
  </si>
  <si>
    <t>UH. Hi, this is Lake West Emergency Department calling ahead for Willoughby. Hi, Michelle. Hi, who is this? Morgan. Hi, hey, Morgan. Hey, I need to call ahead to Rainbows. You can give it to me. I can give it to you? Yeah. All right, Willoughby gave us a heads up on a pediatric trauma alert. Okay, what is that? A 15-minute ETA for a 5-year-old, 5-foot [REDACTED], positive loss of consciousness, patient is tired, they're having difficulty keeping them aroused, there's notable blood coming from the left ear, they're stating no CNS fluid noted, he has C-collar, equal and reactive pupils, dad is with them. Okay. He has no medical history. Okay. No allergies, no meds. Okay. All right, vitals are as followed, 125 over 65, heart rate 110, 98% on room air. Okay. Sinus attack. Okay. All right, I love it. Anything else? No. All right, thanks, Morris. Bye-bye. Oh.</t>
  </si>
  <si>
    <t>Hello, it's Cleveland 41. What do you got? Hey, we got a rainbow patient, 13 female coming to you. She's going to be a trauma. She was [REDACTED]. [REDACTED]. She has some back pain. She does have movement over extremities. She's fully immobilized, A and O4, no loss of consciousness, 148 over 94, 110 sinus tech. 100%, 20 respirations, no meds or allergies or anything, and we're like 15 out. Fifteen? Yep. All right, thank you. All right, bye. Bye. Bye.</t>
  </si>
  <si>
    <t>UH, Danny. Hey, UH, for the Medic 40. 14-year-old male, stab wounds to the right forearm. That's the only one that really looks significant. She has another one to her left upper shoulder. That looks pretty superficial in her right leg. A and O3, GCS of 15, 114, 72, 118, sinus attack on the monitor, clear lungs, [REDACTED], 100%. Is there any tourniquets or anything like that? No, no, there's no active bleeding. They're pretty superficial. And what about the leg one? Is it like upper leg? That's not even, it's right upper leg. It's the upper leg? Right upper leg, it almost looks, that one's really superficial. That one looks like a scratch. The right forearm's more significant, and then the left upper shoulder looks pretty superficial, but there is a puncture. Okay, and you said he's 14, correct? Correct. All right, how far are you out? About seven, eight minutes. All right, see you soon, bye. Yep, bye.</t>
  </si>
  <si>
    <t>UH, Danny. Hey, UH, for the Medic 40. 14-year-old male, [REDACTED]. That's the only one that really looks significant. She has [REDACTED]. That looks pretty superficial in [REDACTED]. A and O3, GCS of 15, 114, 72, 118, sinus attack on the monitor, clear lungs, 18, 100%. Is there any tourniquets or anything like that? No, no, there's no active bleeding. They're pretty superficial. And what about the leg one? Is it like upper leg? That's not even, it's right upper leg. It's the upper leg? Right upper leg, it almost looks, that one's really superficial. That one looks like a scratch. [REDACTED], and then [REDACTED], but [REDACTED]. Okay, and you said he's 14, correct? Correct. All right, how far are you out? About seven, eight minutes. All right, see you soon, bye. Yep, bye.</t>
  </si>
  <si>
    <t>UH. Hi UH, this is Eastlake squad 1712 on a pediatric co-trauma. Go ahead. We are training around two guys with a [REDACTED]. She's come from home. Parents are with us. Parents state that she kind of ran out into the street and a car was driving by, driving about 25 miles an hour, struck the infant. She did come to a stop, so we would say it was probably about 25 miles an hour when she got hit. She is currently fully immobilized on a pediatric backboard. She is crying, acting normal for her father. Upon assessment, we did find a cut over her right eye, causing some right eye swelling. She is able to open her eyes when kind of being assessed. Everything else in the primary showed no remarkable findings, neck is stable, equal chest, right eye, and left eye. Her eyes are full, lung sounds are clear and equal bilaterally, nothing on her back, and has an extension to her extremities. Initial set of vitals, blood pressure was 117 over 76, pulse was 120, respires was 22, and she was 100 cent room air. Second set of vitals, blood pressure was 99 over 56, pulse was 119, respires 32, and again 100 cent room air. Any comments? No. Any LOC upon contact with the car? Not that Dad said. I think as soon as she got hit, she just immediately started crying. Okay, so no LOC. And she's not altered or appearing? No, Dad's saying everything's all normal for her. Pupils are equal. Okay. How far out are you? I'd say we're probably close to 15 to 20. Okay. And I'll call you back if there's any changes. All right, we'll see. You said [REDACTED], right? [REDACTED]? [REDACTED], right. Okay. [REDACTED]. Thank you. Email. Bye. Yep. Peace, like, copies. Bye.</t>
  </si>
  <si>
    <t>Okay. She's Cleveland Medical. Hey, what's going on? We're going to be coming to you with a pediatric patient. She is nine years old and she was [REDACTED]. She is awake and alert at this time, has no visible burns or injuries that we can see, no points of injury. We're ready to take. Mom is with us right now. Heart rate is 118. It does appear sinus on the monitor. Pressure is 133 over 79. Respirator is over 29. And she's 100% on room air right now. What was she electrocuted by? [REDACTED]. Oh, Jesus. And you said there's no marks or? Not that we saw, no. We looked at her hands and feet. She's been complaining of pain in her hands, legs, and feet. Mom described her as she was completely lost. So [REDACTED]. Okay. How far are you out? We're probably about five minutes out. All right. See you. Bye. Thanks. Bye.</t>
  </si>
  <si>
    <t>Hello, UH. Hey, Cleveland 30. What do you got? Bringing you a 10-year-old female who was [REDACTED]. She is conscious-oriented with a GCS of 15. Only injury we can see is a possible right knee dislocation. Vitals are 140 over 80, heart rate 92, respires 22, 98%. Mom is with us. She has 50 likes of fentanyl or is O-fran on board. And we are five minutes out. All right. Any LOC? No. What's that? Not to you. Sorry. No LOC, you said? Nope. Okay. And will you know how fast [REDACTED]. 30, 35. Okay. How far? Five? Yep. Thank you. Bye. Bye.</t>
  </si>
  <si>
    <t>Good afternoon, University. Hey, it's Cleveland 41 with the trauma arrest for Rainbows. Oh, great. What you got there for one? Hey, we got an approximately 12-year-old male who was [REDACTED]. Okay. He is the full arrest. Okay. Working him right now, just decompressed. We should be there in about six or seven. Okay. Any airway? Do you have an airway? Not yet, but we're working on it. All right, I got you. Come on in, brother. Okay, see you soon. Bye. Bye.</t>
  </si>
  <si>
    <t>UH. Hey, it's Cleveland Medical 11. We got a 15-year-old male [REDACTED]. He [REDACTED]. Possible LOC. He's alert and oriented right now. We got vital signs 132 over 74, heart rate 100, sinus attack monitor 97%. He has a few superficial injuries. He was up walking around when we got on scene, denying any head, neck, or back pain at this time. No crepus or deformity anywhere that we could see on assessment. Peter Vasili, about five, six minutes. Okay. And you said no helmet, possible LOC. Was he on the road? He was on a side street, but he [REDACTED]. It's possibly like he [REDACTED]. He says he doesn't remember. He doesn't remember much of anything that happened, but [REDACTED]. Don't see any kind of, again, no visible injuries. We got him in a collar right now just for precaution. Gotcha. Yeah, no visible injuries. And when we got there, he was already up and walking around. Okay. And totally 804 right now for you. Yeah, he answered all questions just kind of, I guess you could say like retrograde amnesia where he's not remembering the incident. Yeah. Okay. All right. About how long, Chris? About five or six. Got an opportunity quarter from 79th. Okay. All right. Sounds good. We'll see you shortly. All right. Bye-bye. Bye-bye. Bye-bye. Bye-bye. Bye-bye.</t>
  </si>
  <si>
    <t>UATD. Hey UH, this is Shaker Heights 245. We're going to you guys with a [REDACTED]. Was involved in a high speed MVA rollover accident. He's in and out of consciousness right now. How does this child? [REDACTED]. [REDACTED]? Yes. Stolen vehicle. They, yes. He was a driver. Negative. He states he's not the driver, but he's vitals are as follows. Hello? Going in and out. I didn't hear nothing you said because the phone went out. So vitals. Heart rate 91. Blood pressure 1 over 42. 99% on repair. Respirators 16. Our lifestyle. This is a horrible connection. I can barely hear anything. Any of it. We'll see when you get there then.</t>
  </si>
  <si>
    <t>UATD. Hey UH, this is Shaker Heights 245. We're going to you guys with a pediatric patient. Was involved in a [REDACTED]. He's in and out of consciousness right now. How does this child? Fifteen. Fifteen, male? Yes. [REDACTED]. They, yes. He was a driver. Negative. He states he's not the driver, but he's vitals are as follows. Hello? Going in and out. I didn't hear nothing you said because the phone went out. So vitals. Heart rate 91. Blood pressure 1 over 42. 99% on repair. Respirators 16. Our lifestyle. This is a horrible connection. I can barely hear anything. Any of it. We'll see when you get there then.</t>
  </si>
  <si>
    <t>UH Maine. Hey, this is Hornsville High Fire Department Squad 1. We are going to be bringing in a trauma. A 15-year-old male was riding a motorbike, ran into a pole going about 25-30 miles per hour. When he made contact with the pole, his head basically made contact with the pole, come into a sit still and fell off the bike from there. He's got like two-inch cuts on his forehead with some swelling. Bleeding is controlled. He also has a small cut on his right eye. Hard to see out of it, but you can still see. He's also got a cut on his left calf as well, lower calf there. He's also got some bruising on the right side of his ribs. [REDACTED]. No shortness of breath, just the biggest main complaint is dizziness and headaches. Set of vitals here for you. Blood pressure 150. Heart rate 103. Debt at 96%. Respirations 15. [REDACTED]. We have an ETA of about 10 minutes. We got him pre-collared with IV access as well. Okay, we'll see you then. Okay, thanks. Thanks, bye.</t>
  </si>
  <si>
    <t>UH Maine. Hey, this is Hornsville High Fire Department Squad 1. We are going to be bringing in a trauma. A 15-year-old male was [REDACTED]. [REDACTED]. He's got like two-inch cuts on his forehead with some swelling. Bleeding is controlled. He also has a small cut on his right eye. Hard to see out of it, but you can still see. He's also got a cut on his left calf as well, lower calf there. He's also got some bruising on the right side of his ribs. No loss of consciousness stated by him, but his memory is a little groggy about the incident. No shortness of breath, just the biggest main complaint is dizziness and headaches. Set of vitals here for you. Blood pressure 150. Heart rate 103. Debt at 96%. Respirations 15. He is ANO times 3. We have an ETA of about 10 minutes. We got him pre-collared with IV access as well. Okay, we'll see you then. Okay, thanks. Thanks, bye.</t>
  </si>
  <si>
    <t>UH. UH, this is Painesville Township Squad 2722 Paramedic 270. How do you copy? Good, good. 11-year-old female, ANO times 3 on our cot. She was involved in a [REDACTED]. Trauma to the driver. She was in the rear, she was in the rear middle seat belted. She's complaining of abdominal pain, severe abdominal pain. She does have seat belt marks. She's also complaining of some lower back pain. We have her mobilized with a C-collar sitting on our cot. BP 105 over 57. Pulse ox 96 percent. Heart rate of 103. Okay. Okay. Any LSC? No. She was ambulatory on our arrival. Okay. How fast was the vehicle? Unsure. The [REDACTED]. Tree. I know the speed limit on the road is 50 or 55 miles an hour. Okay. All right. And like I said, the driver is severe trauma. Okay. How far out? We're about 25 to 30. Okay. I'll let Rainbows know. I don't know when he pays you after that level of trauma. Thank you. All righty. Bye-bye. All right. Bye-bye. Bye-bye. Bye-bye. Bye-bye. Bye-bye.</t>
  </si>
  <si>
    <t>It's medic one. I have a pizza trauma for you. It was going to be an 11 year old female. She was unrestrained front seat passenger and MVC. She flew into the dashboard, hit her face on the dash. Unknown LLC. [REDACTED]. She was ambulatory on the scene when we arrived. Blood pressure 132 over 82. Heart rate is 136. 97% room air. Lungs down is clear and equal all fields. They have about an eight minute ETA. Mom is also going to sign in to be seen. She's unrestrained front seat driver. She's complaining of right knee pain. [REDACTED]. Do you know how fast the car was going? Unknown speed. Unknown speed. Okay. Were they like driving and then just rear ended something? Yeah. Did they get hit? Yeah, correct. You got it. Okay. Sorry. I thought I said it. That's okay. What were those vitals again on the kid? 132 over 82. Heart rate of 136. 96% on room air. And 22 respurs. All right. And then? . . . . . Are you okay? Yes, I'm okay. I'm interested. Can you describe what caused this condition? What caused this? I mean, I couldn't speak. . Did it hit her head? . Any kind of trauma?次 jurisdrag sü Monroe-Kid, Now she's got a small lip When ru aquirest aí hixedpisumio su 업 diferente hurtul allergyilled, seen gestat Carmen's Lipprogram was temporarily stopped. We're right next door. Okay. Say we'll see you in eight. Bye bye 3 . . 5 . . . . . . . . . . . . . . . . . . .</t>
  </si>
  <si>
    <t>Hey UH, this is Brecksville 3041. Go ahead. We are bringing you a [REDACTED]. She's slightly lethargic. She fell off the couch and hit her head. We're not sure if she hit her head on the carpet or on the hardwood floor. Our squad was there previous to this by about 15, 20 minutes. Then she started vomiting once we got there. Mom said about eight times, and then she became lethargic. Other than that, she's resting comfortably. No meds, no history, no allergies. Pulse ox was 98%. Respirators are 24. Heart rate is 120. Like I said, she's resting comfortably. No obvious signs of anything. You said she was [REDACTED]? Yes, [REDACTED]. Oh, months. I'm sorry, bro. All right, [REDACTED] fall. She's vomiting for you, or did vomit for you. How far did she fall, brother? About a foot, a foot and a half. Okay. And what's your squad again? Brecksville 3041. Brecksville. All right, brother, man. She fell about a foot. She's vomiting for you now. Is she acting age-appropriate for you? Yeah, she's resting right now. She's got her eyes closed. But mom said, she's a little sluggish and lethargic. Okay. More than normal. All right, brother. Let me call our PEDS department and see if they may want to make her a trauma or not because of the vomiting and stuff and lethargic. Yeah. All right, brother, man. What's your ETA? About five minutes. All right, my man. See you in a bit. Thanks. Bye.</t>
  </si>
  <si>
    <t>Hey UH, this is Brecksville 3041. Go ahead. We are bringing you a 17-month-old female. She's [REDACTED]. She fell off the couch and hit her head. We're not sure if she hit her head on the carpet or on the hardwood floor. Our squad was there previous to this by about 15, 20 minutes. Then she started vomiting once we got there. Mom said about eight times, and then [REDACTED]. Other than that, [REDACTED]. No meds, no history, no allergies. Pulse ox was 98%. Respirators are 24. Heart rate is 120. Like I said, [REDACTED]. No obvious signs of anything. You said she was 17, 17 for PEDS? Yes, months, M-O-N-S. Oh, months. I'm sorry, bro. All right, 17-month fall. She's vomiting for you, or did vomit for you. How far did she fall, brother? About a foot, a foot and a half. Okay. And what's your squad again? Brecksville 3041. Brecksville. All right, brother, man. She fell about a foot. She's vomiting for you now. Is she acting age-appropriate for you? Yeah, she's resting right now. She's got her eyes closed. But mom said, [REDACTED]. Okay. [REDACTED]. All right, brother. Let me call our PEDS department and see if they may want to make her a trauma or not because of the vomiting and stuff and lethargic. Yeah. All right, brother, man. What's your ETA? About five minutes. All right, my man. See you in a bit. Thanks. Bye.</t>
  </si>
  <si>
    <t>Hey UH, this is Brecksville 3041. Go ahead. We are bringing you a 17-month-old female. She's slightly lethargic. [REDACTED]. We're not sure if she hit her head on the carpet or on the hardwood floor. Our squad was there previous to this by about 15, 20 minutes. Then she started vomiting once we got there. Mom said about eight times, and then she became lethargic. Other than that, she's resting comfortably. No meds, no history, no allergies. Pulse ox was 98%. Respirators are 24. Heart rate is 120. Like I said, she's resting comfortably. No obvious signs of anything. You said she was 17, 17 for PEDS? Yes, months, M-O-N-S. Oh, months. I'm sorry, bro. All right, 17-month fall. She's vomiting for you, or did vomit for you. How far did she fall, brother? About a foot, a foot and a half. Okay. And what's your squad again? Brecksville 3041. Brecksville. All right, brother, man. She fell about a foot. She's vomiting for you now. Is she acting age-appropriate for you? Yeah, she's resting right now. She's got her eyes closed. But mom said, she's a little sluggish and lethargic. Okay. More than normal. All right, brother. Let me call our PEDS department and see if they may want to make her a trauma or not because of the vomiting and stuff and lethargic. Yeah. All right, brother, man. What's your ETA? About five minutes. All right, my man. See you in a bit. Thanks. Bye.</t>
  </si>
  <si>
    <t>Hey, UH. Hey, UH. This is Shaker246. Can you hear me okay? Yeah, I got you now, brother. What you got? Okay, so we're en route to your location with a [REDACTED], so [REDACTED]. She's involved in a two-car MBA. She was the driver of a car that was T-boned. Moderate speed. It was like a 30-mile-an-hour speed limit area. So her car did roll over. It rolled over. It was laying on its top side when we got there. And she was seat belted, shoulder and lap belt. She had front and side airbag deployment. And she self-extricated prior to EMS arrival. We got there. She was ambulatory, walking around, talking on her cell phone to her mother. A and O times four. No complaints whatsoever. She remembers the entire incident. Full body physical assessment performed. Results were unremarkable. She denies taking any medications. She denies any chance of being pregnant. Talked to mother on the phone. And mother just wanted her to come up and be checked out due to mechanism. She's physician of comfort on the cot. She has no complaints. We have a VP of 148.88. Respirators of 14. She is 98% room air. Heart rate is 90. And we're probably about five to six minutes out. All right. Let me run this by our guy first because I doubt if they want to make this a trauma on our end. If it's a trauma on our end, she'll stay down here. If not, then we'll take her down to Peds. But let me see. You said there's moderate damage. I mean, I technically heard vehicle moderate from the impact, but it rolled over with, I guess, significant damage to her car. No damage to the interior of the car, the driving compartment. Gotcha. Okay. That might be the deciding factor. All right, brother man. I'll see you in a bit. All right. Sounds good. All right. Bye.</t>
  </si>
  <si>
    <t>Hey, UH. Hey, UH. This is Shaker246. Can you hear me okay? Yeah, I got you now, brother. What you got? Okay, so we're en route to your location with a 17-year-old female, so a pediatric patient. She's involved in a [REDACTED]. She was the [REDACTED]. Moderate speed. It was like a [REDACTED]. So [REDACTED]. It [REDACTED]. It was [REDACTED] when we got there. And she was [REDACTED]. She had [REDACTED]. And she [REDACTED]. We got there. She was ambulatory, walking around, talking on her cell phone to her mother. A and O times four. No complaints whatsoever. She remembers the entire incident. Full body physical assessment performed. Results were unremarkable. She denies taking any medications. She denies any chance of being pregnant. Talked to mother on the phone. And mother just wanted her to come up and be checked out due to mechanism. She's physician of comfort on the cot. She has no complaints. We have a VP of 148.88. Respirators of 14. She is 98% room air. Heart rate is 90. And we're probably about five to six minutes out. All right. Let me run this by our guy first because I doubt if they want to make this a trauma on our end. If it's a trauma on our end, she'll stay down here. If not, then we'll take her down to Peds. But let me see. You said there's moderate damage. I mean, I technically heard vehicle moderate from the impact, but it [REDACTED] with, I guess, significant damage to her car. No damage to the interior of the car, the driving compartment. Gotcha. Okay. That might be the deciding factor. All right, brother man. I'll see you in a bit. All right. Sounds good. All right. Bye.</t>
  </si>
  <si>
    <t>Hi, this is Clean Medical 11. I'm bringing you [REDACTED]. Hello? [REDACTED]? Yes. All right. [REDACTED]. She was a hit skip. She was struck by an automobile as she was trying to enter the backseat of the vehicle. Mom saw the vehicle. She was going at a very low rate of speed. But the patient is complaining of back pain. She's ambulatory. No loss of consciousness. Did not hurt her head. No obvious injuries or deformities. Patient's vitals are stable. Pressure right now is 126 over 90. Heart rate's 100. Respiratory is 18. 100% room air. And we should be there in about five to seven minutes. Mom will be up in a few minutes. She was talking to police. So what's the speed, you think? Maybe 5, 10. She said. It was slow. But she didn't anticipate. It knocked her down. It didn't knock her down at all. She didn't fall. She didn't hit her head. It jarred her. They felt the car move back and forth. Okay. All right. Thanks. Thanks. Thanks.</t>
  </si>
  <si>
    <t>Hi, this is Clean Medical 11. I'm bringing you a 13-year-old female. Hello? A 13-year-old female? Yes. All right. A 13-year-old female. She was a [REDACTED]. She was [REDACTED]. [REDACTED]. She was [REDACTED]. But the patient is complaining of back pain. She's ambulatory. No loss of consciousness. Did not hurt her head. No obvious injuries or deformities. Patient's vitals are stable. Pressure right now is 126 over 90. Heart rate's 100. Respiratory is 18. 100% room air. And we should be there in about five to seven minutes. Mom will be up in a few minutes. She was talking to police. So what's the [REDACTED]. She said. [REDACTED]. But she [REDACTED]. It knocked her down. It didn't knock her down at all. She didn't fall. She didn't hit her head. [REDACTED]. They [REDACTED]. Okay. All right. Thanks. Thanks. Thanks.</t>
  </si>
  <si>
    <t>Hello UH. Hey, it's Cleveland 41. What do you got? Hey, we got a six-year-old female coming to you. She was struck by a smaller SUV. She's currently [REDACTED], vaccination appropriate. She's suffering from some left solar pain, got a couple of abrasions to her face, no neural deficits. Blood pressure we got was 108 over 70. She's 110 heart rate, 100% on room air, no distress. She said car was traveling about 30 miles an hour and [REDACTED]. And she did. Okay, mom says she [REDACTED]. And we're like five out. All right, I'll pass it on, Rainbows. Thank you. All right, thanks, bye.</t>
  </si>
  <si>
    <t>Hello UH. Hey, it's Cleveland 41. What do you got? Hey, we got a six-year-old female coming to you. She was [REDACTED]. She's currently ANO4 right now, vaccination appropriate. She's suffering from some left solar pain, got a couple of abrasions to her face, no neural deficits. Blood pressure we got was 108 over 70. She's 110 heart rate, 100% on room air, no distress. She said [REDACTED] and no loss of consciousness. And she did. Okay, mom says she did have a brief loss of consciousness. And we're like five out. All right, I'll pass it on, Rainbows. Thank you. All right, thanks, bye.</t>
  </si>
  <si>
    <t>Thank you. You age. Hey, it's Cleveland, May 30. Got a 10-year-old male for Rainbow. He got [REDACTED]. Apparently it's a [REDACTED]. Looks like it probably [REDACTED]. You can see a lump where it might be, but he's alert-oriented. Blood pressure is 110 over 70. Heart rate in the 90s, 99% on room air. Pupil is equal reactive, no neural deficit. So probably not a huge deal, but we'll be there in about five minutes. All right, thanks. Bye.</t>
  </si>
  <si>
    <t>UH. Hey, it's Medic 10. What do you got? We got a 17-year-old male with an [REDACTED]. Not sure how – or excuse me, right leg. Not sure how it was caused. He's got lack of MSPs in his foot, but he's got a good – or excuse me, lack of pulse, but good sensation, motor in his foot. Doesn't look like maybe a fracture. It does or doesn't? It does not. It's all in place. He's also [REDACTED], so he's denying really any pain from that other than the initial pain. Oh, so was this a [REDACTED]? It was. All right, so he [REDACTED]. Okay. And flashbangs. Yeah. All right, let's see how they decide that. Right upper leg, injury, no deformity. Some – you said MSP was intact? Yeah, just no pulse. No pulse in his foot. Oh, no pulse in the foot. Okay, but he has sensation. Yeah. Okay. Nothing else? Injury or – No. Okay. No. How far out? About five. See you then. Thank you. All right, thank you. Bye-bye. Hopefully. Yeah, hopefully.</t>
  </si>
  <si>
    <t>UH Danny. Hi, this is Cleveland 26. We're in a row with a [REDACTED] passenger in MVA. Was not wearing a seatbelt. Vehicle was going about 35 miles an hour. Chief complaint right now is a pain to his right knee. He also has an abrasion on his forehead. May have hit the windshield. Is a no for only complains of fatigue. Current vitals heart rate 96 BP 136 over 79. 100% room air and we will be there in about seven minutes. Was this related to Medic Six's call? Yes, this was passenger that vehicle. You said around 35 or higher. He was telling me about 35. He was guessing. OK, was the driver was that a family member to him or no? Driver, you said was your brother. Yeah, it's his brother. Brother. All right. How far are you out? We'll say about seven minutes. OK, we'll see you soon. Thanks.</t>
  </si>
  <si>
    <t>UH Danny. Hi, this is Cleveland 26. We're in a row with a 13 year old male passenger in MVA. Was not wearing a seatbelt. Vehicle was going about 35 miles an hour. Chief complaint right now is a pain to his right knee. He also has an abrasion on his forehead. May have hit the windshield. Is a no for only complains of fatigue. Current vitals [REDACTED] BP 136 over 79. 100% room air and we will be there in about seven minutes. Was this related to Medic Six's call? Yes, this was passenger that vehicle. You said around 35 or higher. He was telling me about 35. He was guessing. OK, was the driver was that a family member to him or no? Driver, you said was your brother. Yeah, it's his brother. Brother. All right. How far are you out? We'll say about seven minutes. OK, we'll see you soon. Thanks.</t>
  </si>
  <si>
    <t>UH Danny. Hi, this is Cleveland 26. We're in a row with a 13 year old male passenger in MVA. Was not wearing a seatbelt. Vehicle was going about 35 miles an hour. Chief complaint right now is a pain to his right knee. He also has an abrasion on his forehead. May have hit the windshield. Is a no for only complains of fatigue. Current vitals heart rate 96 [REDACTED]. 100% room air and we will be there in about seven minutes. Was this related to Medic Six's call? Yes, this was passenger that vehicle. You said around 35 or higher. He was telling me about 35. He was guessing. OK, was the driver was that a family member to him or no? Driver, you said was your brother. Yeah, it's his brother. Brother. All right. How far are you out? We'll say about seven minutes. OK, we'll see you soon. Thanks.</t>
  </si>
  <si>
    <t>UH Danny. Hi, this is Cleveland 26. We're in a row with a 13 year old male passenger in [REDACTED]. [REDACTED]. [REDACTED]. Chief complaint right now is a pain to his right knee. He also has an abrasion on his forehead. [REDACTED]. Is a no for only complains of fatigue. Current vitals heart rate 96 BP 136 over 79. 100% room air and we will be there in about seven minutes. Was this related to Medic Six's call? Yes, this was passenger that vehicle. You said around 35 or higher. He was telling me about 35. He was guessing. OK, was the driver was that a family member to him or no? Driver, you said was your brother. Yeah, it's his brother. Brother. All right. How far are you out? We'll say about seven minutes. OK, we'll see you soon. Thanks.</t>
  </si>
  <si>
    <t>UATD. Hey, UAH, it's 41. Mm-hmm. Hey, we got a 14-year-old female, GSW to the left, lower leg. Let's look at through and through. There's two holes. MSPs are intact. No significant blood loss. Sputals are stable, heart rate 70 and regular. [REDACTED], 100% room air. PCA's about eight minutes. You said, what was your BP again? [REDACTED]. Lower leg, right? Correct. All right, thanks. Okay. Well, thank you. Thank you. Thank you. Thanks so much. Thank you. Thank you. Thank you. Thank you. Thank you, too. Thanks, everybody. Thank you. So, that's the end of our session. I hope you have a good one. Thank you. Thank you. All right, thanks.</t>
  </si>
  <si>
    <t>Hello? UH, Dani. Hey, Dani. This is a medical 40. I have a 17-year-old male, [REDACTED]. Why does it all stay where we do the IV access? See there in about five to six. You said just at a [REDACTED]? Yes, ma'am. And he's stable? Yep, stable at this moment. All right. See you soon. Bye. Bye.</t>
  </si>
  <si>
    <t>UATD. Copy, please. Hey, this is UH, right? UATD. Hey, this is Cleveland EMS. I got a relay for you from Cleveland Medical 11. We got a [REDACTED] that was struck by a vehicle. They want to get your report. [REDACTED]? Yeah. Okay. All right, hold on. Medical 11, they can hear you. Go ahead. 11 Rainbows coming in with a [REDACTED], pedestrian struck. Father was carrying him in car seat. They were hit by a car. Patient was not flung from the car seat. He was initially anot... Alert to painful stimuli. He's now being started to decompensate. We are bagging, starting compressions. Heart rate has dropped from around 140 down into the 40s. No visible injuries that we can see. No broken bones or any kind of injuries that we can tell. At this time, we're in the middle of a car crash. We're in the middle of a car crash. At this time, no medical history, does not take any medications. Be at your facility in about five or six minutes. All right, thanks.</t>
  </si>
  <si>
    <t>UATD. Copy, please. Hey, this is UH, right? UATD. Hey, this is Cleveland EMS. I got a relay for you from Cleveland Medical 11. We got a three-month-old male that was struck by a vehicle. They want to get your report. Three months? Yeah. Okay. All right, hold on. Medical 11, they can hear you. Go ahead. 11 Rainbows coming in with a three-month-old male, pedestrian struck. Father was carrying him in car seat. They were hit by a car. Patient was not flung from the car seat. He was initially anot... [REDACTED]. He's now being [REDACTED]. We are bagging, starting compressions. Heart rate has dropped from around 140 down into the 40s. No visible injuries that we can see. No broken bones or any kind of injuries that we can tell. At this time, we're in the middle of a car crash. We're in the middle of a car crash. At this time, no medical history, does not take any medications. Be at your facility in about five or six minutes. All right, thanks.</t>
  </si>
  <si>
    <t>Hi UH, this is Garfield Squad 3. Is this the pediatric ER? I'll call them. Okay, we're going to bring in a 15-year-old female. She got off the bus, was crossing the street, and says she was struck by a car. Witnesses say the car was probably going about 30 miles an hour-ish. Says that she was hit by the front of the car, kind of just was thrown from it, doesn't really remember if she went over the hood or anything like that. She was ambulatory on arrival. She has no complaints of any neck or back pain or anything like that. She's got her face. She's got some abrasions and some bleeding to her nose and forehead, and she also has some abrasions and a little bit of skin tear on her left hand. And she's got an abrasion on her right hip area and says it just feels like burning. All bones are intact, pelvis intact. Like I said, no pain upon ambulating or palpation to the neck or spine or back. She's in position of comfort on her cot. [REDACTED]. [REDACTED]. 92 on the pulse, regular. She's 96% Ramir. Blood pressure is 136 over 84. And her respiration is normal at about 22. We have a 12-week sense you guys, so in a sinus rhythm. And I'm going to work on an IV if you guys would like. I want to hang up the phone with you. Yeah, good. Working on an IV. What's your ETA? ETA is approximately, oh, I would say 8 to 10. Okay. I'll call back. I'll call Pete and let him know. Thank you. Thanks, babe. Bye-bye. .</t>
  </si>
  <si>
    <t>Hi UH, this is Garfield Squad 3. Is this the pediatric ER? I'll call them. Okay, we're going to bring in a 15-year-old female. She got off the bus, was crossing the street, and says [REDACTED]. [REDACTED]. Says that she was [REDACTED], kind of just was [REDACTED], doesn't really remember if she went over the hood or anything like that. She was ambulatory on arrival. She has no complaints of any neck or back pain or anything like that. She's got her face. She's got some abrasions and some bleeding to her nose and forehead, and she also has some abrasions and a little bit of skin tear on her left hand. And she's got an abrasion on her right hip area and says it just feels like burning. All bones are intact, pelvis intact. Like I said, no pain upon ambulating or palpation to the neck or spine or back. She's in position of comfort on her cot. She's talking with mom over the phone. She can talk to you, give any kind of consent you need. 92 on the pulse, regular. She's 96% Ramir. Blood pressure is 136 over 84. And her respiration is normal at about 22. We have a 12-week sense you guys, so in a sinus rhythm. And I'm going to work on an IV if you guys would like. I want to hang up the phone with you. Yeah, good. Working on an IV. What's your ETA? ETA is approximately, oh, I would say 8 to 10. Okay. I'll call back. I'll call Pete and let him know. Thank you. Thanks, babe. Bye-bye. .</t>
  </si>
  <si>
    <t>UH is back. Hello, it's UH. How you doing, Rainbows? This is MapleSquad1. What's going on? We have a two-year-old male. He was kind of [REDACTED]. He kind of [REDACTED]. He's got like a one-inch laceration at the back left part of his head. And it was bleeding heavily, the mom said, before we got there. When we got there, it's not bleeding at all right now. I had stopped. He's alert. Heart rate is 130. SGO-2 is 100% room air. He doesn't seem like he's in pain right now. And his mom's with him. He was premature as a baby. He had a heart condition. And we'll be you guys in probably... Maybe 15 minutes. Okay. Sorry. Was there a loss of consciousness with the injury? No LSC, no. Perfect. Sounds good. We'll see you shortly. All right. See you then. Bye-bye. Bye. Bye. Bye.</t>
  </si>
  <si>
    <t>Welcome to you guys with a 10 year old female [REDACTED]. [REDACTED]. We use control. How many like you think like four? Yeah, four total. Okay, go ahead. Heart rate is 117. Blood pressure is 143 over 87. Rest is about 20, 100%. I'm in sunlight right now. She's awake. No tourniquet. We just control with just blood pressure. Five. Yep. All right. Thank you.</t>
  </si>
  <si>
    <t>Hold on. Hey, it's 17. I got two. I have an 11-year-old female who was in an MBA. She was in the front seat wearing a seatbelt. She's got pain bilaterally below the knees and her lower back. Vitals are stable. We also have a 40-year-old female pain all over, especially in the neck, head area. Vitals are pretty stable. There are no obvious injuries with form at any given time. You know how fast Peds will ask? Yeah. I'm sorry, what? You know how fast they were going? Around 40. 40 MPH. Okay. Seatbelt in front seat? Yes. Back and leg, [REDACTED]? Female, older female had LOC for a couple minutes apparently. Is this the mom of the child? Yes. She may have to go. We'll see when we get here. How far? About five minutes. All right. Great. Thank you.</t>
  </si>
  <si>
    <t>Hold on. Hey, it's 17. I got two. I have an 11-year-old female who was [REDACTED]. She was [REDACTED]. She's got pain bilaterally below the knees and her lower back. Vitals are stable. We also have a 40-year-old female pain all over, especially in the neck, head area. Vitals are pretty stable. There are no obvious injuries with form at any given time. You know how fast Peds will ask? Yeah. I'm sorry, what? You know how fast they were going? [REDACTED]. Okay. Seatbelt in front seat? Yes. Back and leg, no LOC? Female, older female had LOC for a couple minutes apparently. Is this the mom of the child? Yes. She may have to go. We'll see when we get here. How far? About five minutes. All right. Great. Thank you.</t>
  </si>
  <si>
    <t>Hey, Rach. Hey, it's Cleveland One. I have a four-year-old male who has a [REDACTED]. There's deformity in his tip-fib, possibly his femur, too. I can't tell because you can see where the bullet's sitting in there. He's A&amp;L times four. Fibers are all good. 116 over 78. Heart rate 68, 97 on room air. We'll be there in, like, 8, 10. You said 40-year-old? Four. Four. Four-year-old male. Yeah, four. Like, rainbow side four. Okay. All right. Bye. Thanks.</t>
  </si>
  <si>
    <t>15 right okay hey you H it's clue the medic one I have a call I don't know if you're gonna make them up a adult trauma he's 15 no but go ahead all right so [REDACTED] [REDACTED] so neck pain going on no known loss of consciousness vitals are stable for us but he said he's in a lot of pain okay how far out of you I gave us like six minutes so [REDACTED] right yeah well the person did there he was on the ground and [REDACTED] fell somebody fell on him gotcha yeah so [REDACTED] that's why I'm making it more of a trauma so see you in a few all right thanks</t>
  </si>
  <si>
    <t>Call the man. Yeah, it's Cleveland Heights 241. Can I give you a report? Yeah, go ahead. We've got a [REDACTED]. Chief in plain today is going to be a gunshot wound to the left upper thigh above knee. No exit wound at this time. Police officers are providing tourniquet. Bleeding is controlled. Patient is conscious, alert, and oriented. Currently for us, he's showing a sinus rhythm at 70. His recent blood pressure was 93 over 54. We got one large bore, the other one blue, and we got a leader bag running wide open. No allergies, no medical history, no medications. We'll be at your facility in 8. And you said [REDACTED]? [REDACTED]. All right, bye. Bye.</t>
  </si>
  <si>
    <t>Hey, this is Cleveland Medics 31 coming in. We got three patients from an MBA. First patient, we got a 50 female. She was the driver. She was restrained, but she's been playing a neck pain, right shoulder pain, and bilateral leg pain. Second patient, we have a 21 female. She was in the backseat, restrained. She's been playing the left knee pain. And then we have an eight-month-old male. No complaints at this time. He seems to be okay, but of course, they want him checked out. Was he in a car seat? He was in a car, a booster seat. Yeah. Okay. Any obvious injuries to him? No, no obvious injuries. And then what did they hit? Another car or something else? Yeah, it was two cars, yeah. Okay. What's your ID? Go ahead. The 50-year-old, [REDACTED]. [REDACTED], but [REDACTED]. Okay. But we should be there in about eight minutes. All right. Bye. Thank you. Bye. Bye. . . . . . . .</t>
  </si>
  <si>
    <t>Hey, this is Cleveland Medics 31 coming in. We got three patients from an [REDACTED]. First patient, we got a 50 female. [REDACTED]. [REDACTED], but she's been playing a neck pain, right shoulder pain, and bilateral leg pain. Second patient, we have a 21 female. She was [REDACTED]. She's been playing the left knee pain. And then we have an eight-month-old male. No complaints at this time. He seems to be okay, but of course, they want him checked out. Was he in a car seat? [REDACTED]. Yeah. Okay. Any obvious injuries to him? No, no obvious injuries. And then what did they hit? Another car or something else? Yeah, it was [REDACTED], yeah. Okay. What's your ID? Go ahead. The 50-year-old, she doesn't know she lost consciousness. She might have been shaken up, but she also might have lost consciousness. Okay. But we should be there in about eight minutes. All right. Bye. Thank you. Bye. Bye. . . . . . . .</t>
  </si>
  <si>
    <t>Hello, this is Utewood, medic 43, calling in. [REDACTED] reports, we have [REDACTED] patients. One's a pediatric, one's an adult. They're both involved in the MBA. Would you like me to start with the pediatric first? Are they family? Yeah. What are they doing to each other? Mom and daughter. Okay, all right. Go with the, how was the car accident? There was significant damage to the front of the car. They were only traveling about 35 miles an hour. Okay, any intrusion or anything like that? Negative. No intrusion. Was the child restrained? Was the mom restrained? They were both restrained. Airbags deployed. Child was in a car seat. Airbags. Airbag deployment. Okay. So before you start with the kid, if the mom's all right, she's going to have to go down with her daughter to PEDS and have her daughter be checked out first. Okay. Yeah. It doesn't seem like the mother has significant injuries. She just doesn't feel well. And arm pain, you know, she's shooken up. Okay. And any complaints about the daughter? The daughter has an injury to her forehead, laceration. The daughter is acting appropriately, crying right now. But like I said, injury to the forehead. How old is she? [REDACTED]. [REDACTED]. [REDACTED]. [REDACTED]. And no LSE that mom reported? Yeah, no. Negative. Okay, cool. Restrained. All right. Yeah. Yeah. So you guys will take the child down to LND. And what you said, mom just said she just wasn't generally feeling well? Not feeling well. Arm pain, her hand, both her hands have pain. Okay. But she's stable and stuff? Yes. Okay, cool. All right. We will see you soon then. Okay. See you. Bye. Bye.</t>
  </si>
  <si>
    <t>Hello, this is Utewood, medic 43, calling in. Two reports, we have two patients. One's a pediatric, one's an adult. They're both [REDACTED]. Would you like me to start with the pediatric first? Are they family? Yeah. What are they doing to each other? Mom and daughter. Okay, all right. Go with the, how was the [REDACTED]? There was [REDACTED]. They were only [REDACTED]. Okay, any intrusion or anything like that? Negative. [REDACTED]. Was the child restrained? Was the mom restrained? [REDACTED]. [REDACTED]. [REDACTED]. Airbags. [REDACTED]. Okay. So before you start with the kid, if the mom's all right, she's going to have to go down with her daughter to PEDS and have her daughter be checked out first. Okay. Yeah. It doesn't seem like the mother has significant injuries. She just doesn't feel well. And arm pain, you know, she's shooken up. Okay. And any complaints about the daughter? The daughter has an [REDACTED], [REDACTED]. The daughter is acting appropriately, crying right now. But like I said, injury to the forehead. How old is she? Two years. Three years old. Two. Two. And no LSE that mom reported? Yeah, no. Negative. Okay, cool. Restrained. All right. Yeah. Yeah. So you guys will take the child down to LND. And what you said, mom just said she just wasn't generally feeling well? Not feeling well. Arm pain, her hand, both her hands have pain. Okay. But she's stable and stuff? Yes. Okay, cool. All right. We will see you soon then. Okay. See you. Bye. Bye.</t>
  </si>
  <si>
    <t>Good afternoon, University. Hey, it's Cleveland 36. I got three traumas for you. Three traumas? Yeah, very limited. Okay, talk to me. First, I'm going to give you an approximate 30-year-old male. Okay. [REDACTED]. He was a restrained driver. Steering wheel had severe damage to it. Okay. [REDACTED]. Okay. I don't know if he's altered or just not speaking. So I'm going with the altered just because of the head injury. Okay. But ETOH as well. Okay. He's got a lack to his left head. Blood pressure is 160 over 80. Heart rate 110. 100% room there. Okay. I've got 18 on the left. And then I've got a 6-year-old and a 5-year-old female. Oh, great. 6-year-old, backseat, restrained driver. Neck pain. And is this the female? Yes. Okay. Okay. And then 5-year-old, restrained, no child seat, front seat passenger. Oh, great. With ABD pain. And she seems very, like, tired. Just very exhausted. So I don't know if she's got something going on. I'm still trying to get vitals on everybody and I'll get her at there quick. Okay. So the 6-year-old in the backseat, you say was restrained, though? Correct. Correct. Okay. Everybody was restrained. Gotcha. Yep. All vitals so far are good. All right. All ready? All right. ETA one more time? About 7 minutes, 5 minutes. All right. Get here safe. See you then. I'll see you, bud. All right. All right.</t>
  </si>
  <si>
    <t>Hi, this is University Heights 1141. I got a report for you. We're coming your way with a [REDACTED] trauma arrest, self-inflicted gunshot wound to the head. [REDACTED] [REDACTED]. Correct. No known medical history. In the process, we got a I.O. in the left shoulder. You say A.O. in the left shoulder? You want to pause that? Do we have any kind of rhythm? Huh? P.E.A. the whole time. P.E.A. Yes. We're getting meds on board first round and we're on our way. We'll be there in about six minutes. All right. OK.</t>
  </si>
  <si>
    <t>Hi, this is University Heights 1141. I got a report for you. We're coming your way with a 13 year old [REDACTED]. 13 year old female or male? 13 year old male. Correct. No known medical history. In the process, we got a I.O. in the left shoulder. You say A.O. in the left shoulder? You want to pause that? Do we have any kind of rhythm? Huh? P.E.A. the whole time. P.E.A. Yes. We're getting meds on board first round and we're on our way. We'll be there in about six minutes. All right. OK.</t>
  </si>
  <si>
    <t>UH, this is Zach. Hey Zach, it's Cleveland 20. What's up? Hey, I got a 12-year-old female who was [REDACTED], [REDACTED]. Okay. Blood pressure is 134 over 94. Heart rate is 116. She's 100% room air. We'll see you guys in about five minutes. Okay, see you soon. Alrighty. Bye. Bye.</t>
  </si>
  <si>
    <t>Hello, UH. Hey, this is Cleveland 41 bringing in a two-year-old female trauma. She is unresponsive right now. Current set of vitals is going to be a heart rate of 106. Blood pressure is 94 over 76. Respirators are about 20, 98% remunerated. We've got a 24 in the left AC. [REDACTED]. We'll be there in probably five. All right, sounds good. Thank you.</t>
  </si>
  <si>
    <t>Okay, I'll open it. UH. Hey, this is East Cleveland. We're coming in with a 15-year-old male, [REDACTED]. He was [REDACTED]. He's playing a face, neck, ankle, knee pain. But it was 140, 85, 100% of room error, 86 heart rate. Sugar was 120. We have a C color on. I sent over a 12 lead, and we're about five out. Okay, so he's 8-0 times four right now? Yep. Perfect. Do you have an [REDACTED]. It was [REDACTED]. Okay, any obvious deformities? No. His right ankle is just a little swollen, but that's it. Sounds good. All right, thank you. Yep, bye. Bye.</t>
  </si>
  <si>
    <t>Hey, it's Cleveland Medics 22. So we're going to be coming in with three patients from an [REDACTED]. There was [REDACTED] and it [REDACTED]. So the first one is going to be a 24-year-old male complaining of neck and shoulder pain. We've got a 24-year-old female complaining of neck and back pain. And a 16-year-old female complaining of neck and mouth pain. All their vitals are stable. We're like five minutes away. You said male, female, female? Yes. All right. And you said it's just moderate damage, no major trauma damage? No, but it just [REDACTED], the vehicle. And no LOC, everybody restrained? Correct. All right. And ambulatorial scene? Yes. All right. All right. We will see you in how long? Probably about five. All right. Thank you. Bye. Bye.</t>
  </si>
  <si>
    <t>UH. Hey UH, this is Cleveland Medic 17 calling with support. Alright. I have, how old are you? I have a 17 year old male shot in the left foot. Alright. He's got to be the left foot? Correct. He is his [REDACTED]. Heart rate is 70, 100% on 2 liters. I give him 25 mics of fentanyl. We'll be there in 7 minutes. You said 7 minutes? 10 minutes. 10, sorry. Alright. See you in 10. Thanks. Bye.</t>
  </si>
  <si>
    <t>Hey University, this is ClevelandMedic7. We're coming to you guys with a nine-year-old male that was [REDACTED]. He's got a deformity to his left femur. We have him in a traction splint. We did give 25 mics of fentanyl for pain. Vitals at the moment, blood pressure is 128 over 84, heart rate of 128, respiration is 22, 98% on room air. He does have autism, so he is nonverbal. Was he restrained, and what was the speed? He was reported to be [REDACTED], but he was [REDACTED] when we got there. [REDACTED], [REDACTED], [REDACTED]. You know the speed? I'm sorry? The speed of the vehicle? [REDACTED]. All right. All right, thanks. You said how long? I'll be there in about five minutes. All right, thanks. Thank you.</t>
  </si>
  <si>
    <t>Hey, this is Cleveland Medics 22. Hello? Yes. Cleveland Medics 22. I got a 15-year-old male. He was crossing the street and was [REDACTED]. Bystanders state that he was [REDACTED]. He states no LOC, no head, neck, or back pain currently. He did say he had some neck pain earlier, but went away. He's got abrasion on his lip as well as some abrasions to his arms. No further injuries found at this time. Vitals? Last set of vitals, 138 over 80, heart rate 60. He's 98% on room air, 804 with a GCF of 15. He should be there in about five minutes. No medical history? None. All right.</t>
  </si>
  <si>
    <t>Hey Danny, it's Vinnie. Hey. Hey, I got a trauma for rainbows. Okay, what's going on? 11 year old [REDACTED]. She was [REDACTED]. Clinging of pain to the right leg, also pain to the chin where she struck on the pavement. No loss of consciousness reported. We have a C-Cower on the abrasions where her injuries are relatively mild. There's no major deformities to the right knee where her pain is, but she's got an abrasion there and there's some pain with manipulation as well. Otherwise she's work and oriented. Her vitals are okay. I have dad with us right then and that's pretty much it. I'm going to think about a line here shortly, but vitals are great. Okay. 122 over 76. Heart rate of 110 showing a sign of stax. She's 100% on room air. All righty. How far are you out? Coming hot from over here, I'd say probably about five minutes. Okay. See you soon. All right. See you.</t>
  </si>
  <si>
    <t>UH today. Hey Dave, what's up man? This is Cleveland 13 coming at you with a 14 year old male, GSW to the right arm, like a graze. He'll need some stitches, [REDACTED], no other injuries. So is it above or below the elbow? It's like right at the elbow. All right, this is probably going to be, even though it's a graze, it might be a trauma for them. So let me give them a call. What's the vitals so they can give them? 132 over 76, pulse rate of 104, respires 18, 100% room error, no history, no meds, no allergies. Okay, what's the ETA? Five. All right, copy, thank you. All right, later Dave.</t>
  </si>
  <si>
    <t>UH today. Hey Dave, what's up man? This is Cleveland 13 coming at you with a 14 year old male, [REDACTED], [REDACTED]. He'll need some stitches, he's ambulatory, no other injuries. So is it above or below the elbow? It's like right at the elbow. All right, this is probably going to be, even though it's a graze, it might be a trauma for them. So let me give them a call. What's the vitals so they can give them? 132 over 76, pulse rate of 104, respires 18, 100% room error, no history, no meds, no allergies. Okay, what's the ETA? Five. All right, copy, thank you. All right, later Dave.</t>
  </si>
  <si>
    <t>You age. Hey, Cleveland. Okay. Hi, I'm bringing you a [REDACTED] who was involved in a rollover MVA. The car rolled about once. No LOC, no obvious injuries. We got a C collar on her and IV in the left AC. Blood pressure is 122 over 72. And then she also had her kid in the car who was a [REDACTED]. No obvious injuries. We got a C collar on her too. Blood pressure is 121 over 84. Pulse is 130. We'll see in about five minutes. You said [REDACTED], brother. Is Cleveland both restrained at all? Were you both wearing your seat belts, correct? Yes. Yes, both in seat belts. I know they're going to ask me how fast did she think she was going. How fast do you think you were going, ma'am? About 35. All right, brother, man. See anybody else coming from any other cars or anything like that? Should be a no. All right, brother. We'll talk to you in a bit. Okay, bye.</t>
  </si>
  <si>
    <t>You age. Hey, Cleveland. Okay. Hi, I'm bringing you a 24 year old female who was involved in a rollover MVA. The car rolled about once. No LOC, no obvious injuries. We got a C collar on her and IV in the left AC. [REDACTED]. And then she also had her kid in the car who was a four year old female. No obvious injuries. We got a C collar on her too. [REDACTED]. Pulse is 130. We'll see in about five minutes. You said four year old female, brother. Is Cleveland both restrained at all? Were you both wearing your seat belts, correct? Yes. Yes, both in seat belts. I know they're going to ask me how fast did she think she was going. How fast do you think you were going, ma'am? About 35. All right, brother, man. See anybody else coming from any other cars or anything like that? Should be a no. All right, brother. We'll talk to you in a bit. Okay, bye.</t>
  </si>
  <si>
    <t>Hey, this is Cleveland 36 with a trauma. We have a three male that fell from a two-story building, his apartment, apparently through a two-story building. It was not witnessed. He was laying on the concrete at the bottom. He appears to be, [REDACTED]. [REDACTED], so he's nonverbal. We do have a blood pressure of 130 over 87, heart rate's 110, and he was 99% on room air, lungs are clear and equal. Doesn't appear to have any fractures that we note. Possibly maybe the left leg, it looks like it might be a little bit shorter than the right, but that's questionable. And we have an ETH, you guys, probably about seven or eight minutes. All right, you said about him being nonverbal. You're saying? That's his normal condition or? He's autistic. Oh, okay, gotcha. Yeah. All right. ATA? Probably about seven or eight minutes. All right, thanks. All right, thanks, bye-bye. All right.</t>
  </si>
  <si>
    <t>Hey, this is Cleveland 36 with a trauma. We have a three male that [REDACTED], apparently through a two-story building. It was not witnessed. He was [REDACTED]. He appears to be, he's alert, just crying. He is autistic, so he's nonverbal. We do have a blood pressure of 130 over 87, heart rate's 110, and he was 99% on room air, lungs are clear and equal. Doesn't appear to have any fractures that we note. Possibly maybe the left leg, it looks like it might be a little bit shorter than the right, but that's questionable. And we have an ETH, you guys, probably about seven or eight minutes. All right, you said about him being nonverbal. You're saying? That's his normal condition or? He's autistic. Oh, okay, gotcha. Yeah. All right. ATA? Probably about seven or eight minutes. All right, thanks. All right, thanks, bye-bye. All right.</t>
  </si>
  <si>
    <t>You ate a US 31. Hey, gotta unique offer. It's a 12 year old male. He was involved in a [REDACTED]. He was 10 in between. He stated that they was [REDACTED] and [REDACTED]. He don't know how far fast it was going. He said they was going pretty fast upon impact. He didn't confirm that he blacked out briefly. He got a nice black to his ear and side of the head. No other injuries are noted. He is awake alert right now. It is 15 pressure 144 over 88. Part rate 116 that 99% of room there. Have a ETA about 10 minutes here. I mean, did a buyer have to? They just pulled the car back because the driver fled the scene prior to arrival. They did say he was pinned. When they arrived prior to be for us. So they just pulled the car back and then he was gone. So he was. And which way he was right? I know. So he was in a driver's seat. You've been a driver. See my man or the back seat passenger and he was a giant of worry in a driver's seat or the back seat. Passengers see and then your door was open and you fill out when you get when it was going into the post. Alright, so drivers passenger seat on. On the driver side up front door open, tried to get out because he said he didn't know who his cool car he was in. And at that time that's when he [REDACTED] and somehow he was [REDACTED] unknown speed and then again with a somewhat of a positive LST said he blacked out for a second. You OK, what do I? What do you want me to know? If anything, I'll do it at the limited. Just press the button and then you'll see the car. OK. Just based off the MRI. OK, and then they can kind of figure her down very if they need to. OK, I'm sorry it's very good. Wait, this is very neat. No, you're totally fine. Alright, so like 8 minutes out. Yeah, thank you. I think so.</t>
  </si>
  <si>
    <t>Hey, it's Cleveland Medical Authority. We're in and out with a nine-year-old male. His pedestrian struck. The car was going pretty high rate of speed. There was positive LOC. Right now he's 804. He's awake. He's got some facial abrasions. He's complaining of back pain. He's also got some abrasions to his chest and abdomen. His vitals right now [REDACTED]. Heart rate's 86 and 100% room air. He'll be there in like five. Okay, we'll see you then. Bye. Thanks, bye.</t>
  </si>
  <si>
    <t>Hey, it's Cleveland Medical Authority. We're in and out with a nine-year-old male. His pedestrian struck. The car was going pretty high rate of speed. There was positive LOC. Right now he's 804. [REDACTED]. He's got some facial abrasions. He's complaining of back pain. He's also got some abrasions to his chest and abdomen. His vitals right now 108 over 72. Heart rate's 86 and 100% room air. He'll be there in like five. Okay, we'll see you then. Bye. Thanks, bye.</t>
  </si>
  <si>
    <t>Hey, it's Cleveland Medical Authority. We're in and out with a nine-year-old male. His [REDACTED]. [REDACTED]. There was [REDACTED]. Right now he's 804. He's awake. He's got some facial abrasions. He's complaining of back pain. He's also got some abrasions to his chest and abdomen. His vitals right now 108 over 72. Heart rate's 86 and 100% room air. He'll be there in like five. Okay, we'll see you then. Bye. Thanks, bye.</t>
  </si>
  <si>
    <t>UH. Hey, Ramos. This is Maple Squad 1. Maple, what do you got? I got a 13-year-old male who was jumped by an unknown amount of kids. He said he was on the ground, kicked several times in the head and chest, difficulty breathing, and increased head pain. Possibly blacked out. He's C-collared right now with the 20 gauge in the right AC. Current set of vitals is 109 heart rate, sinus on the monitor, 100% on room air, 18 respirations. [REDACTED]. He's only about 10 minutes. Okay. Can you see any hematomas or lacks? I got an abrasion to the right eye, and that's it. Pupils are equal and reactive. Okay. Right. No major hematomas. He's complaining of pain, a palpitation all over the chest. Okay. No deformities. All right. No deformities. A and O times four? Correct. Okay. And he doesn't know how many people he was assaulted by? No. They said when police showed up, said there was about 50 kids around him, but about three or four. He said there was a gang of kids that said they were going to beat him up today. Okay. I will let them know. Thank you. Yes, ma'am. Bye.</t>
  </si>
  <si>
    <t>Hey UH, we're calling in a trauma alert. A 14 year old male, skating rink, said he started to brace himself. Entire arm went through the glass pane. He's got a glasseration spanning about his whole bicep. We're worried about a brachial artery maybe getting caught, but we got two tourniquets on, bleeding stopped right now. Trying to get an IV in route, last blood pressure is 107 over 69, 100 pulse, 96 room air right now. [REDACTED]? [REDACTED]. [REDACTED], so we're just trying to get him some fluids right now. And you say you got two tourniquets? Yeah, we got two tourniquets on the left bicep above the glasseration. I mean, it's a pretty good one, you can see his whole bicep. What unit is this? This is UCO 1341. Okay, ETA? All right, should be there, less than 10. All right, thanks. Bye. Bye.</t>
  </si>
  <si>
    <t>Hey UH, we're calling in a trauma alert. A 14 year old male, [REDACTED]. [REDACTED]. He's got a [REDACTED]. We're worried about a brachial artery maybe getting caught, but we got two tourniquets on, bleeding stopped right now. Trying to get an IV in route, last blood pressure is 107 over 69, 100 pulse, 96 room air right now. He's A and O? He's A and O right now. He's kind of lethargic, so we're just trying to get him some fluids right now. And you say you got two tourniquets? Yeah, we got two tourniquets on the left bicep above the glasseration. I mean, it's a pretty good one, you can see his whole bicep. What unit is this? This is UCO 1341. Okay, ETA? All right, should be there, less than 10. All right, thanks. Bye. Bye.</t>
  </si>
  <si>
    <t>University. Hey, this is Blake. I'm sorry. Cleveland Medic 1 calling for a report. Go ahead. So I have four juveniles. [REDACTED]. ABCs intact, skin warm and dry. Accident on 77 South. The 10-year-old male having wrist pain, a little bit swollen, still able to move it. NSPs are intact. I have a 13-year-old male with mouth pain, some dry blood on his lip. He's able to talk, breathing, all that good stuff. 17-year-old female, left foot abrasion, and a 17-year-old male with right upper leg pain and all ambulating. Again, ABCs intact, skin warm and dry. GCS of 15 all around. And vitals are all stable at this time. And we're about 10 minutes out. What did the car look like? What happened? There was moderate damage. Yeah, heavy to moderate. They were all restrained, no loss of consciousness. Airbags were deployed. Okay. And not like trauma criteria, though? No, no, no. Yep, and we'll be there in about 10. Okay, I appreciate it. Thank you, guys. All right. Thank you. Bye-bye. Thank you. Bye-bye. Thank you. Bye-bye. Thank you. Bye-bye. Bye-bye.</t>
  </si>
  <si>
    <t>UH. Hey, what's going on? Cleveland 36 calling for rainbows. Alrighty. Alright, so a nine year old male pedestrian struck. He's hit at about 30 to 35 miles an hour. Kind of sounds like the car knocked him over onto the ground and then ran over his left leg. It is splinted, it is wrapped, beatings controlled. It was already wrapped before or prior to arrival, so I couldn't tell any deformity or anything like that. But he's got good MSPs in the extremity. We have him see colorist precautionary. He is a no-for-GCS-15 age appropriate. We have IV access established. [REDACTED]. Heart rate 116. 97% room air. He's handling the pain okay and will be to you guys in about five to seven. Five to seven. Okay, you said a GCS-15. Yeah, GCS-15. Now, per people on scene, it said he may or may not have been drugged by the vehicle. Or underneath the vehicle. But he denied any lost consciousness. He remembers the entire event. And there's no other outward signs of trauma besides his leg. Just a leg trauma. Okay. Okay, that sounds good. Thank you. All right, see you in a bit. Bye. Bye.</t>
  </si>
  <si>
    <t>UH. Hey, what's going on? Cleveland 36 calling for rainbows. Alrighty. Alright, so a nine year old male pedestrian struck. He's hit at about 30 to 35 miles an hour. Kind of sounds like the car knocked him over onto the ground and then ran over his left leg. It is splinted, it is wrapped, beatings controlled. It was already wrapped before or prior to arrival, so I couldn't tell any deformity or anything like that. But he's got good MSPs in the extremity. We have him see colorist precautionary. He is a no-for-GCS-15 age appropriate. We have IV access established. Last one pressure 122 over 94. Heart rate 116. 97% room air. He's handling the pain okay and will be to you guys in about five to seven. Five to seven. Okay, you said a GCS-15. Yeah, GCS-15. Now, per people on scene, it said he may or may not have been drugged by the vehicle. Or underneath the vehicle. But [REDACTED]. [REDACTED]. And there's no other outward signs of trauma besides his leg. Just a leg trauma. Okay. Okay, that sounds good. Thank you. All right, see you in a bit. Bye. Bye.</t>
  </si>
  <si>
    <t>UH. Hey, this is Cleveland 41 with a pediatric trauma. Go ahead. I have a 15, 1.5 male. He was on a bicycle and struck by a truck that knocked him off of his bike. [REDACTED]. [REDACTED]. He has a laceration to his chin and an abrasion to his right cheek. No other deformities. He was ambulatory on scene. BP is 122 over 78. Heart rate 98. Respiratory is 18. He's 98% on room air. He is in a C collar and will be there in about six minutes. Okay. Sounds good. Six minutes. Thank you.</t>
  </si>
  <si>
    <t>UH. Hey, this is Cleveland 41 with a pediatric trauma. Go ahead. I have a 15, 1.5 male. He was on a bicycle and [REDACTED]. He had no LSC. He is complaining of right side neck pain. He has a laceration to his chin and an abrasion to his right cheek. No other deformities. He was ambulatory on scene. BP is 122 over 78. Heart rate 98. Respiratory is 18. He's 98% on room air. He is in a C collar and will be there in about six minutes. Okay. Sounds good. Six minutes. Thank you.</t>
  </si>
  <si>
    <t>But let me just verify. Hey, when are you paging this out? As soon as they give a call. So I just called their transfer, sent them, and they just landed. Why don't we call it out now? I have to make sure that it's not a limited versus a full based off the GCS. All I have now is just a... Okay, hey, now let me let you talk to my attendee. Sure. Yeah, hi, it's Erin Hain. Is this the quarterback? Yes. Yeah, hi, tell me what's going on. Sure, so I just got a call from the transfer. Well, my boss actually just said that they'll have a flight run. For an 11-year-old male in an [REDACTED]. The helicopter just landed on scene. Once they get in a route, they'll give a call and she's the one to get paged out to determine if it's going to be a limited or a full. But if you want me to page it, I can. However, I just have the info of an 11-year-old with a humerus fracture and a pelvic fracture. So critical care transport is going to the scene of a [REDACTED]. Yes. And they just landed on scene. Yes. Okay. And... Okay. So they don't know... And so we don't know anything yet. And we don't know when they're going to be here or whether it's going to be a full or a limited. That's affirmative. That's why I can't... I mean, I can based off your discretion, but like to have all the information and correct timing on there to get it paged out. And just giving the nurse a heads up that you guys will have a trauma inbound. Okay. And CCT will call you after they've evaluated the patient at the scene. And what more updated vitals and all of that good stuff. Wonderful. Okay. That sounds fine. Thank you. Thank you. Thank you very much. Aah. So, thank you. Thank you. Yes. Yes. I appreciate it. Thank you. Okay, thank you as well. Thank you. Thank you, IF71. Thank you. Thank you. Thank you. Okay. Bye-bye. Bye-bye. Okay. Bye. Thanks so much, flash and dash. Okay. Bye-bye. I'll stay up until mid-autumn at 9am in enter. I'll see you tomorrow. Thanks. It's nice to meet you. Thanks. Take care, everybody.</t>
  </si>
  <si>
    <t>UH. Hey UH, this is Cleveland Medics 6, County Report. Go ahead. Hey, we had a nine-year-old female, ten-year-old female, she was riding her bicycle when she was hit by a car. The car said she was thrown forward, no helmet, she's complaining of arm pain, left arm pain, abdominal pain, and [REDACTED]. [REDACTED]. Her vitals are 134 over 90, heart rate 110, rest rate 20, she's 98% on room air. We got LOC? We think LOC just because she keeps repeating it, [REDACTED]. How fast was the car going? He said he was unsure, he was like, I might have been going like 30, but he said he was unsure. Gotcha. Alright, should be a trauma estimation piece. How far are you out, LeBron? He's through about eight feet. We at least ten minutes, we're like one for nine. Alright, thank you. I'll pass that. Okay, thanks, bye.</t>
  </si>
  <si>
    <t>UH. Hey UH, this is Cleveland Medics 6, County Report. Go ahead. Hey, we had a nine-year-old female, ten-year-old female, [REDACTED]. The car said she was [REDACTED], [REDACTED], she's complaining of arm pain, left arm pain, abdominal pain, and she keeps repeating the same question. She doesn't remember the accident at all. Her vitals are 134 over 90, heart rate 110, rest rate 20, she's 98% on room air. We got LOC? We think LOC just because she keeps repeating it, she does not remember the accident at all. How fast was the car going? He said he was unsure, he was like, I might have been going like 30, but he said he was unsure. Gotcha. Alright, should be a trauma estimation piece. How far are you out, LeBron? He's through about eight feet. We at least ten minutes, we're like one for nine. Alright, thank you. I'll pass that. Okay, thanks, bye.</t>
  </si>
  <si>
    <t>Hey UH, this is Whitliff. We're going to bring you a piece trauma. An [REDACTED] hit by a car going roughly 20-30 miles per hour. [REDACTED] is awake, alert and oriented as right now. He does not remember being hit. Witnesses say he did get knocked out, but he has no memory of it. We did have some star into the windshield with the patient's hair into the windshield. So he definitely hit his head on the windshield, rolled off under on his on his bike crossing the street. Injuries. He has left knee pain with some bruising. He has some right ankle pain with some deformity, possibly fractured. And he has a small cut on his forehead with a little bit of bleeding, but the bleeding is controlled. We have a knee collar and splinted of the left knee and right knee. We're working on IV for some pain meds right now. And we spoke to parents on the phone on scene. And they should be able to help. We will be arriving at the hospital in about 15 minutes. And we will be arriving there in about 15-20. You said 15-20. And what's your guys' squad or fire department? Wickless. Wickless. Okay. Alrighty. We'll see you soon. All right. Thanks. Bye.</t>
  </si>
  <si>
    <t>Hey UH, this is Whitliff. We're going to bring you a piece trauma. An 11 year old male hit by a car going roughly 20-30 miles per hour. [REDACTED] as right now. [REDACTED]. Witnesses say he did get knocked out, but [REDACTED]. We did have some star into the windshield with the patient's hair into the windshield. So he definitely hit his head on the windshield, rolled off under on his on his bike crossing the street. Injuries. He has left knee pain with some bruising. He has some right ankle pain with some deformity, possibly fractured. And he has a small cut on his forehead with a little bit of bleeding, but the bleeding is controlled. We have a knee collar and splinted of the left knee and right knee. We're working on IV for some pain meds right now. And we spoke to parents on the phone on scene. And they should be able to help. We will be arriving at the hospital in about 15 minutes. And we will be arriving there in about 15-20. You said 15-20. And what's your guys' squad or fire department? Wickless. Wickless. Okay. Alrighty. We'll see you soon. All right. Thanks. Bye.</t>
  </si>
  <si>
    <t>Hey UH, this is Whitliff. We're going to bring you a piece trauma. An 11 year old male [REDACTED]. Child is awake, alert and oriented as right now. He does not remember being hit. Witnesses say he did get knocked out, but he has no memory of it. We did have some star into the windshield with the patient's hair into the windshield. So [REDACTED], [REDACTED]. Injuries. He has left knee pain with some bruising. He has some right ankle pain with some deformity, possibly fractured. And he has a small cut on his forehead with a little bit of bleeding, but the bleeding is controlled. We have a knee collar and splinted of the left knee and right knee. We're working on IV for some pain meds right now. And we spoke to parents on the phone on scene. And they should be able to help. We will be arriving at the hospital in about 15 minutes. And we will be arriving there in about 15-20. You said 15-20. And what's your guys' squad or fire department? Wickless. Wickless. Okay. Alrighty. We'll see you soon. All right. Thanks. Bye.</t>
  </si>
  <si>
    <t>UH, Scarfield Squad 2, Emergent Traffic. All right. We're going to give you a nine-year-old male patient, unresponsive complaint. Child fell approximately 30 feet between steps coming out of school. Fell onto concrete floor. He's unresponsive at this time. We've been with him for about ten minutes, no movement. We give him a GCS of about four, five. He is breathing, controlling his own airway at this time. Blood pressure, we're on our third one, consistently around 130, 140 over 60. [REDACTED]. Respirators are between 20 and 30. Capnography is showing 35 at the time. We do have an I.O. established in the left knee. C-collar, he's immobilized. We are looking for a wound on his head. We did see a little bit of bleeding. There is some swelling to the left rear of his head as well. Pupils are fixated, non-reactive. He's unresponsive at this time. Other than that, I'll say we'll be to you guys in probably seven to ten. And you said 90 as in nine zero? Nine. Nine-year-old male. Nine-year-old male. Okay. All right. Yep. Yep. All right. We'll see you guys in, what was the ETA? Seven to ten, we'll be to you guys. All right. See you then. Bye. Bye. Bye. Bye. Bye. Bye.</t>
  </si>
  <si>
    <t>UH, Scarfield Squad 2, Emergent Traffic. All right. We're going to give you a nine-year-old male patient, unresponsive complaint. Child fell approximately 30 feet between steps coming out of school. Fell onto concrete floor. He's unresponsive at this time. We've been with him for about ten minutes, no movement. We give him a GCS of about four, five. He is breathing, controlling his own airway at this time. [REDACTED]. Current heart rate is 78 sinus. Respirators are between 20 and 30. Capnography is showing 35 at the time. We do have an I.O. established in the left knee. C-collar, he's immobilized. We are looking for a wound on his head. We did see a little bit of bleeding. There is some swelling to the left rear of his head as well. Pupils are fixated, non-reactive. He's unresponsive at this time. Other than that, I'll say we'll be to you guys in probably seven to ten. And you said 90 as in nine zero? Nine. Nine-year-old male. Nine-year-old male. Okay. All right. Yep. Yep. All right. We'll see you guys in, what was the ETA? Seven to ten, we'll be to you guys. All right. See you then. Bye. Bye. Bye. Bye. Bye. Bye.</t>
  </si>
  <si>
    <t>UH, Scarfield Squad 2, Emergent Traffic. All right. We're going to give you a nine-year-old male patient, [REDACTED] complaint. Child fell approximately 30 feet between steps coming out of school. Fell onto concrete floor. [REDACTED]. We've been with him for about ten minutes, no movement. We give him a GCS of about four, five. He is breathing, controlling his own airway at this time. Blood pressure, we're on our third one, consistently around 130, 140 over 60. Current heart rate is 78 sinus. Respirators are between 20 and 30. Capnography is showing 35 at the time. We do have an I.O. established in the left knee. C-collar, he's immobilized. We are looking for a wound on his head. We did see a little bit of bleeding. There is some swelling to the left rear of his head as well. [REDACTED]. [REDACTED]. Other than that, I'll say we'll be to you guys in probably seven to ten. And you said 90 as in nine zero? Nine. Nine-year-old male. Nine-year-old male. Okay. All right. Yep. Yep. All right. We'll see you guys in, what was the ETA? Seven to ten, we'll be to you guys. All right. See you then. Bye. Bye. Bye. Bye. Bye. Bye.</t>
  </si>
  <si>
    <t>UH, Scarfield Squad 2, Emergent Traffic. All right. We're going to give you a nine-year-old male patient, unresponsive complaint. [REDACTED]. [REDACTED]. He's unresponsive at this time. We've been with him for about ten minutes, no movement. We give him a GCS of about four, five. He is breathing, controlling his own airway at this time. Blood pressure, we're on our third one, consistently around 130, 140 over 60. Current heart rate is 78 sinus. Respirators are between 20 and 30. Capnography is showing 35 at the time. We do have an I.O. established in the left knee. C-collar, he's immobilized. We are looking for a wound on his head. We did see a little bit of bleeding. There is some swelling to the left rear of his head as well. Pupils are fixated, non-reactive. He's unresponsive at this time. Other than that, I'll say we'll be to you guys in probably seven to ten. And you said 90 as in nine zero? Nine. Nine-year-old male. Nine-year-old male. Okay. All right. Yep. Yep. All right. We'll see you guys in, what was the ETA? Seven to ten, we'll be to you guys. All right. See you then. Bye. Bye. Bye. Bye. Bye. Bye.</t>
  </si>
  <si>
    <t>U.H. Hey, Cleveland Mark 36. 36, go ahead. We're calling you guys with a [REDACTED] pedestrian struck. Say that again? It's hard to hear you. A [REDACTED] pedestrian struck. [REDACTED]? Yes. Okay. I think the car more so clips her than anything, but it was going about 30 miles per hour. She's got some abrasions to her arms and legs. But no LOC. She's definitely inappropriate. Her rate is 125, 100% under the mayor. We just put a C-card around for precautions. Be there in about five minutes? Yeah, we can take that, sweetie. You said no LOC? No LOC. All right, thanks. Anything else? I just got it. All right, thanks. Bye. Thanks, bye.</t>
  </si>
  <si>
    <t>U.H. Hey, Cleveland Mark 36. 36, go ahead. We're calling you guys with a three-year-old female pedestrian struck. Say that again? It's hard to hear you. A three-year-old female pedestrian struck. A three-year-old? Yes. Okay. I think the car more so clips her than anything, but it was going about 30 miles per hour. She's got some abrasions to her arms and legs. But no LOC. [REDACTED]. Her rate is 125, 100% under the mayor. We just put a C-card around for precautions. Be there in about five minutes? Yeah, we can take that, sweetie. You said no LOC? No LOC. All right, thanks. Anything else? I just got it. All right, thanks. Bye. Thanks, bye.</t>
  </si>
  <si>
    <t>U.H. Hey, Cleveland Mark 36. 36, go ahead. We're calling you guys with a three-year-old female [REDACTED]. Say that again? It's hard to hear you. A three-year-old female [REDACTED]. A three-year-old? Yes. Okay. I think [REDACTED], but [REDACTED]. She's got some abrasions to her arms and legs. But no LOC. She's definitely inappropriate. Her rate is 125, 100% under the mayor. We just put a C-card around for precautions. Be there in about five minutes? Yeah, we can take that, sweetie. You said no LOC? No LOC. All right, thanks. Anything else? I just got it. All right, thanks. Bye. Thanks, bye.</t>
  </si>
  <si>
    <t>UH Danny. This is Cleveland 6 for the patient report. I cannot hear you at all. Hello. Hear me? Hello, yeah. Okay, this is Cleveland 6 for the patient report. Hey, what's going on? We have a [REDACTED] GSW. It's on the right side of his groin. There's an exit wound out the back of his thigh. His last blood pressure was 121 over 67, heart rate 86. 18 red birds, 99% of the rest. We're probably between 5 and 10 minutes off. And you said [REDACTED], correct? Yes, [REDACTED]. All right, we'll see you. All right.</t>
  </si>
  <si>
    <t>UH. Hello, yes, this is Cleveland Medics 7. We are on our way with a 13-year-old male. Chief complaint, he was [REDACTED]. He has a deformity to his right leg and a lot of pain. Possible loss of consciousness. [REDACTED]. [REDACTED]. [REDACTED]. His vitals are as follow. Heart rate is 92. His pressure was 136 over 82. Respirators of 18. He's 95% on the room air. We should be there in about five minutes. Do you know how fast the car was going? Possibly around 25 miles per hour, a [REDACTED]. Tree. All righty. Is there any other people coming from this accident, do you know? Nope, just him. Okay. Are parents with him or no? Nope. Okay. Was he the only person in the vehicle? Yep. Got it. Okay. All right, thanks. Bye. Bye-bye.</t>
  </si>
  <si>
    <t>UH. Hey, I'm looking for PBR. Alright, I can take a report for you, or do you need a med control? No, we're coming to you with a 15-year-old female. She's complained that she was in a [REDACTED]. I'm going to call a trauma alert on this. [REDACTED] at about... How fast were you going when you crashed into that pole? Okay. Yeah, [REDACTED] and everything like that. She's A&amp;O times four. She's just got some bumps, scratches, and everything. Did not hit her head. We do have a seat collar on her right now. Current boil times are 79 on the pulse, 98% SBO2, 137 over 75 on the blood pressure. Other than that, we're going to be in your facility about... 10 minutes. 10 minutes. What squad are you? Warrensville Heights, squad one. Warrensville Heights? Yep. Alright, was she wearing a seatbelt? What's that? Uh, yeah, no. No. Do you know, is she the only person coming out of this? Yeah. The other one's going to help her out. Okay. Alright, thanks. Alright, bye-bye.</t>
  </si>
  <si>
    <t>UH. You're going in and out, go ahead. Is this the kids side? Rainbows? I'm having trouble. Did you say it's just rainbows? I can take your report here, but I'm having trouble hearing you. Okay, can you hear me now? Yes, perfect. Okay, sorry. I must have hit a dead spot. So this is Warrenville Heights. I got a four-year-old female. The story's really unclear. Stop me at any time if you stop hearing me. The story's really unclear. There was another family member watching the child. She said she was asleep. [REDACTED]. When we got there on scene, the patient wasn't outside on the ground. So I don't know if this family member woke up and then grabbed her and took her back upstairs. But by surprise, she was dead. The standards started saying which apartment it was. We went up there. The only thing I could find on her, and she states she's got a hematoma to her forehead. She says her head hurts. She's awfully quiet. I don't know if she's scared or whatnot. But I couldn't find any other painful stimuli on palpation. She knows her name. She knows she's in an ambulance. Heart rate's 92. She's breathing 98%. 22 respirations. Blood pressure's 131 over 69. Okay. We'll be there in about seven minutes. All right. We'll say that's [REDACTED], just based off of the... [REDACTED], 10, 30. Okay. Yeah, [REDACTED]. Sounds like they'll see you in the trauma bay. Is that about 10 minutes? Yeah, seven minutes or so. Okay. All right. Yep. Bye.</t>
  </si>
  <si>
    <t>UH. How you doing UH Cleveland Medics 10? Good. Bring you a nine male chief complaint GSW. As of right now we got two wounds. We got one through and through left upper thigh above the knee and then one graze on basically the left hip. As of right now he's [REDACTED], body type stable, got access to him, gauged left arm. [REDACTED]. Other than that we should be at your facility in the next five minutes. Any other questions? Nope, see you then.</t>
  </si>
  <si>
    <t>U-H. Hey, U-H, Cleveland EMS calling, Medic 22. All right. With a patient report. All right. We have a [REDACTED]. It was wrapped up prior to arrival. It's got a [REDACTED]. It looks like it's, where is it at, buddy? It's [REDACTED]. I didn't want to unwrap it to look at it. But his vitals are stable. We got 128 on the heart rate. 122 over 74 blood pressure. 97 SAT. We put him on some oxygen and we gave him 100 mics of some fentanyl to kind of ease the pain a little bit. And that's about it. We got a bag TKO'd right now by a little bit. And we should see, give us about five minutes. It takes about five minutes. He's stable. How old? He's 17. All right. Okay. We'll see you in a little bit. Yep. See you in five. Bye-bye. Bye. .</t>
  </si>
  <si>
    <t>UH. Hi, this is Cleveland EMS Dispatch. Yep. Medic 4 is on the way with a 13 year old female. She has multiple GSWs to her lower extremities. They should be there 5-6 minutes. Awake alert? Trauma? I believe she's [REDACTED]. No, I don't think so. Alright, thank you. Thanks.</t>
  </si>
  <si>
    <t>Yeah, it's Zach. Hey, it's Cleveland Medicine. We got a 12-year-old female, GSW to the chest and to the back. Pretty sure it's the exit and entry wound. But those are stable. Had a heart rate of 120. [REDACTED]. Breast is at 18. And she is 100% once in O2. We'll be there in about five minutes. We're on the chest. The right side of the chest. Okay, see you soon. All right, thanks. Bye.</t>
  </si>
  <si>
    <t>Yeah, it's Zach. Hey, it's Cleveland Medicine. We got a 12-year-old female, GSW to the chest and to the back. Pretty sure it's the exit and entry wound. But those are stable. Had a heart rate of 120. Blood pressure, last one we got was 150 over 100. [REDACTED]. And she is 100% once in O2. We'll be there in about five minutes. We're on the chest. The right side of the chest. Okay, see you soon. All right, thanks. Bye.</t>
  </si>
  <si>
    <t>You're reached Danny. Hey you wait this is Cleveland Medics 7. We're coming to you guys with a 15 year old female. Excuse me she's coming from an MVA. She actually flipped her vehicle up on his side 25-30 miles an hour. She was unrestrained but was able to self-execute from the vehicle. Only complaint is left ankle pain. [REDACTED], no blood thinners, no medical history. Airbag did go off but no intrusion noted into the vehicle. Other than that vital signs were okay. 126.83 heart rate of 103, respiration 16, 99%. We'll be at your guys's facility in probably about eight minutes. You said she's 15? 15, one five. And she did end up flipping? Yeah it was standing on his side. Yeah it was standing on his side yeah. They're probably gonna make her trauma then. Okay. Down impede just saying. Because they're more like particular on their trauma stuff. Okay. Alright we'll see you in a little bit. Bye bye.</t>
  </si>
  <si>
    <t>You're reached Danny. Hey you wait this is Cleveland Medics 7. We're coming to you guys with a 15 year old female. Excuse me she's [REDACTED]. She actually [REDACTED]. She was [REDACTED] but was able to self-execute from the vehicle. Only complaint is left ankle pain. No LOC, no blood thinners, no medical history. [REDACTED] but [REDACTED]. Other than that vital signs were okay. 126.83 heart rate of 103, respiration 16, 99%. We'll be at your guys's facility in probably about eight minutes. You said she's 15? 15, one five. And she did end up flipping? Yeah it was standing on his side. Yeah it was standing on his side yeah. They're probably gonna make her trauma then. Okay. Down impede just saying. Because they're more like particular on their trauma stuff. Okay. Alright we'll see you in a little bit. Bye bye.</t>
  </si>
  <si>
    <t>Hello, this is Cleveland Squad 142. I'm bringing you a [REDACTED] coming from NVA Carver Pedestrian. He was on his bike, he got hit on the back tire, fell face first. He is bleeding from the lip, no LLC, just chipped tooth. And we have C collar placed, he's having pain on his left hip. That's rating at a five. Blood pressure is 140 over 71, the heart rate of 91, the S with two levels of 99, we're about five to six minutes off. How old is he again? [REDACTED]. [REDACTED], and you know approximately how fast the car was going? No, he said they were just going fast and they were drunk. Okay, and you said you haven't seen collar, no LLC. You said he had an abrasion to his face and lip. Yeah, just a flip side. He's busted and he has a chipped tooth. And then he's having pain on his left hip. All right, my friend, no deformities or anything like that? No. Then I'm assuming no helmet. No helmet, no. All right, my friend, ETA? Five, six minutes off. All right, thank you. All right, see you. Bye.</t>
  </si>
  <si>
    <t>Hello, this is Cleveland Squad 142. I'm bringing you a 13 year old male coming from NVA Carver Pedestrian. He was on his bike, he got hit on the back tire, fell face first. He is bleeding from the lip, [REDACTED], just chipped tooth. And we have C collar placed, he's having pain on his left hip. That's rating at a five. Blood pressure is 140 over 71, the heart rate of 91, the S with two levels of 99, we're about five to six minutes off. How old is he again? 13 year old male. One three for P's, and you know approximately how fast the car was going? No, he said they were just going fast and they were drunk. Okay, and you said you haven't seen collar, [REDACTED]. You said he had an abrasion to his face and lip. Yeah, just a flip side. He's busted and he has a chipped tooth. And then he's having pain on his left hip. All right, my friend, no deformities or anything like that? No. Then I'm assuming no helmet. No helmet, no. All right, my friend, ETA? Five, six minutes off. All right, thank you. All right, see you. Bye.</t>
  </si>
  <si>
    <t>Hello, this is Cleveland Squad 142. I'm bringing you a 13 year old male [REDACTED]. [REDACTED], [REDACTED]. He is bleeding from the lip, no LLC, just chipped tooth. And we have C collar placed, he's having pain on his left hip. That's rating at a five. Blood pressure is 140 over 71, the heart rate of 91, the S with two levels of 99, we're about five to six minutes off. How old is he again? 13 year old male. One three for P's, and you know approximately how fast the car was going? No, he said [REDACTED]. Okay, and you said you haven't seen collar, no LLC. You said he had an abrasion to his face and lip. Yeah, just a flip side. He's busted and he has a chipped tooth. And then he's having pain on his left hip. All right, my friend, no deformities or anything like that? No. Then I'm assuming [REDACTED]. [REDACTED], no. All right, my friend, ETA? Five, six minutes off. All right, thank you. All right, see you. Bye.</t>
  </si>
  <si>
    <t>UH. Hi, this is UFoodMedic41 with a pediatric report. Alright. We're coming at you with a four-year-old male who fell out of a two-story window onto a chair about 12 feet-ish. No loss of consciousness. He knocked two of his front teeth out. He's [REDACTED]. He's not talking with us now, but [REDACTED]. Pupils are reactive. False 120 centimeter on the mirror. And we're not able to get pressure to cycle, but he's . Any loss of consciousness? No loss of consciousness. No? A window onto a chair, yeah? Yeah. Okay. And then any injuries? Just besides his two front teeth being knocked out. Nothing we can see right now. Okay. And we do have a C- call on him at the moment. We're not sure if he's going to keep it on or not, but for right now he has one. Okay. And an ETA? ETA about eight minutes. Eight minutes? Okay. And you said probably like 12 feet? Yeah, around 12 feet, two stories. Okay. Alright. Alright, we'll see you soon. Yep. Bye. Bye.</t>
  </si>
  <si>
    <t>Hey, it's Dani. Hey, this is Kaitlyn Hall. I'm from Peetside. Hey, we're getting a kid flown in and we want to page out a full activation. Okay. Is it from another hospital? Is it from another hospital or from a scene? It's a [REDACTED], flying. How old? One year old, [REDACTED], [REDACTED], 15 minute ETA, full activation, please. Okay, gotcha. Do you just want me, you want to wait for the helicopter? No, go ahead and page it out so we can, with the 15 minute ETA. All right, is it male or female? Male or female? Male, I think. And is it, did you say MVC or what? No, [REDACTED]. Gotcha. All right, I'll page it out right now. Thank you. Bye.</t>
  </si>
  <si>
    <t>Hello, UH. Hey, UH. It's Cleveland EMS Dispatch. How are you? Good. What's up? I actually have... Can I give you for Rainbow as well? Sure. Okay. We have a Medic 20 coming with an 11-month-old male [REDACTED]. He was restrained. [REDACTED]. Seizing and is still seizing. Oh. Edivan was administered. Unsuccessful IO times two. 15 liters on a 9-breather. Heart rate of 124. And they got about 6-minute ETA. They also have mom with them. It has some injuries as well, but is ambulatory. All right. She'll follow the child, I assume, first. Okay. Thank you. I'll let them know. Thank you. All right. Bye-bye. All right. Support you.</t>
  </si>
  <si>
    <t>UH. UH, Cleveland Medical 11 wants to pay your report. Go ahead. We're bringing you, we're bringing Rainbows, a two year old kid that was an [REDACTED]. We're not exactly sure if she was ejected. She's only, the only injury that I see is a laceration inside her mouth. She is arousable. Her heart rate was 132. Her pressure was 106 over 70. We're also bringing you a, hold on, a 32 year old female who is an unrestrained driver of the same car with extensive damage. Okay. Extreme damage. She's complaining of leg pain, no LOC. Her pressure is 96 over 76. Heart rate is 130. We'll be there in about five minutes. Alright, we're going to make her a limited and then we'll call a PGE and they'll probably make that one of them. Okay? Yep. See you, babe. Bye. Okay.</t>
  </si>
  <si>
    <t>Good job. UH. Hey, it's leaving 26. I'm going to have three kids from my car accident. Good. All three kids are coming from the car with severe front end damage. Airbags deployed. All were seated in the back seat unrestrained. Kids are saying this car was going really fast when it happened. Unknown LOC. We got a 10-year-old female. She's possibly got a broken left wrist. That's a complaint that an invisible injury for her. Other than that, she's [REDACTED]. We have a 5-year-old female. She's complaining about hip pain. I'm sorry, 8-year-old female. She's complaining about hip pain and right arm pain as well. No obvious injuries. [REDACTED]. And then we have a 5-year-old male. He's going to have a pretty significant lack to the left lower leg and a couple abrasions throughout both legs as well. [REDACTED]. No other obvious injuries for him. We're going to be there in about six. The seven minutes. Okay. They'll all be 11 minutes. Okay. Yeah, they're all going to be just two-collar E. You're probably going to need help bringing them in. Okay. We'll see which can get you. Thank you. Bye. Okay.</t>
  </si>
  <si>
    <t>Good job. UH. Hey, it's leaving 26. I'm going to have three kids from my [REDACTED]. Good. All three kids are coming from the car with [REDACTED]. [REDACTED]. All were [REDACTED]. Kids are saying this [REDACTED]. Unknown LOC. We got a 10-year-old female. She's possibly got a broken left wrist. That's a complaint that an invisible injury for her. Other than that, she's acting age appropriate. We have a 5-year-old female. She's complaining about hip pain. I'm sorry, 8-year-old female. She's complaining about hip pain and right arm pain as well. No obvious injuries. Acting age appropriate. And then we have a 5-year-old male. He's going to have a pretty significant lack to the left lower leg and a couple abrasions throughout both legs as well. Acting age appropriate. No other obvious injuries for him. We're going to be there in about six. The seven minutes. Okay. They'll all be 11 minutes. Okay. Yeah, they're all going to be just two-collar E. You're probably going to need help bringing them in. Okay. We'll see which can get you. Thank you. Bye. Okay.</t>
  </si>
  <si>
    <t>UH. Hi, this is Troy 4554 Medic Squad. You guys ready for a report? Yeah, go ahead. We're coming to you with an 8-year-old female. She was [REDACTED] and her father is attending us in the back of the squad. Heart rate right now is 85, SpO2 99%, blood pressure 130 over 69. Her only complaints are lower left quadrant abdominal pain and her right foot, big toe, has a little bit of blood around it and she has a little rash to the right side of her neck from the seatbelt. And we should be able to do you guys in about half an hour or so. Half an hour. Yeah. I'm sorry, what squad were you guys? Troy. Troy, okay. Yep. All right. Do you know how fast they were going? How fast do you think you were going? How fast do you think you were going? Okay. The father estimates about 45 miles an hour and it was a [REDACTED]. Okay. All right. Are there any other problems? No. Okay. Do you have any other patients coming to us that you know of? Her father is going to be seen in the adult ER. Okay. But everyone else got transported to Geauga. Is he going to go over with her first and then come back and be seen or are you guys dropping him off with us, with the adult side? Hang on. Okay. We'll drop the father. Okay. Okay. We'll drop the father. Okay. We'll drop the father off first and then we'll bring her in. Okay. Can I get just some info on him? Yeah. One second. Let me pull it up. All right. He's a 42-year-old male. No complaints of any injuries. He was seat belted. Airbags did deploy in the vehicle. No loss of consciousness. Did not hit his head. No drugs or alcohol. And yeah, he was a driver. So, yeah. Okay. Any blood thinners? Negative. Okay. We're going to have too much trouble. Vitals are good? I did not get vitals on him. If you want me to get vitals before we drop him off, I can do that. No. You're good. All right. We'll see you in 30. Thanks. All right. Thanks. Bye. I'm sorry. Bye. Bye. Bye. Bye. Bye. Bye. Bye. Bye. Bye. Bye. Bye. Bye. Bye. Bye. Bye. Bye. Bye. Bye. Bye.</t>
  </si>
  <si>
    <t>UH. Hello? The regular one might work. Hello, UH. Hey, it's Shager. Hey, what's up? What you got? Hey, can you hear me? Yeah, I can hear you good. Shager, I just come with a [REDACTED], [REDACTED]. Okay. Going to Rainbow. Fell from a ten feet, about ten feet. It's like a bridge or a dam. He fell into like rocks and dirt. He said he's got head pain. He does have a golf ball sized laceration on the back of his head. He's got head pain. Looks like underneath his eyes are starting to bruise a little bit. He is also complaining of right ear pain. No deformities, nothing coming out of the ears at this moment. He's alert and oriented. Mom's with us. They're clean. You're welcome. Vitals are stable. We got a pressure 135 over 87. 99 on repair. And a pulse around 130. Probably be there in eight minutes. Okay. You said he does have bruising under the eyes? It looks, yeah, mom said he's got some dark spots. I think his eyes. Mom said it's not normal. Thinks it's a little darker than normal. Okay. Almost looks like the left one more than the right. Okay. You're eight minutes out? Yeah. Do you know if he lost consciousness when he fell? Parents said they don't think he did. He did kind of, he zoned out for a minute, maybe 30 seconds to a minute. He was pretty calm. Yeah. He's kind of staring off into space. Like with you guys? No. Right after it happened. Okay. All right. I'll let him know. Thanks. All right. Thanks. Bye.</t>
  </si>
  <si>
    <t>Hello, CH. Hey, this is one of those one-con trauma team. Warrensville, where you go? We have a 14-year-old male, he was involved with an NVA. Car hit a pole. I don't know how much the car was going. Damage to the car, the engine left the actual, yeah the engine left the front compartment. Driver did get ejected. Our patient states he did lose consciousness. He did lose a couple teeth, upper front tooth and then a side tooth. He's anal times two with us right now. Left set of vitals. Blood pressure was 118, 68, 98% room error. [REDACTED]. No complaints. We did decolumn. I guess he was able to self-execute. He was execcuted before we got there. I thought you said he was ejected. No, the driver was ejected. Oh, he was. Yeah, he was the passenger. Oh, gotcha. Yeah, he was the passenger. Oh, gotcha. Okay. I'm sorry. Okay. He said he was not wearing a seat belt. Okay. All right, how far out are you guys? I'd say probably eight. Eight. All right, I'll call the rainbows and we'll get to it. It's gonna be obviously a trauma activation. Yeah. Thank you. You said he's anal two right now? Anal times three. He's a little more anorexic. Yeah, he can answer all the questions appropriately. He's a little, little grotty. Okay, sounds good. Bye.</t>
  </si>
  <si>
    <t>Hello, CH. Hey, this is one of those one-con trauma team. Warrensville, where you go? We have a 14-year-old male, he was involved with an NVA. Car hit a pole. I don't know how much the car was going. Damage to the car, the engine left the actual, yeah the engine left the front compartment. Driver did get ejected. Our patient states he did lose consciousness. He did lose a couple teeth, upper front tooth and then a side tooth. He's [REDACTED] with us right now. Left set of vitals. Blood pressure was 118, 68, 98% room error. Heart rate is 68 in regular. No complaints. We did decolumn. I guess he was able to self-execute. He was execcuted before we got there. I thought you said he was ejected. No, the driver was ejected. Oh, he was. Yeah, he was the passenger. Oh, gotcha. Yeah, he was the passenger. Oh, gotcha. Okay. I'm sorry. Okay. He said he was not wearing a seat belt. Okay. All right, how far out are you guys? I'd say probably eight. Eight. All right, I'll call the rainbows and we'll get to it. It's gonna be obviously a trauma activation. Yeah. Thank you. You said he's anal two right now? [REDACTED]. He's a little more anorexic. Yeah, [REDACTED]. He's [REDACTED]. Okay, sounds good. Bye.</t>
  </si>
  <si>
    <t>Okay. UH Danny. Hey, this is Cleveland 30. Hey. Hey, we've got a 13-male [REDACTED], [REDACTED], [REDACTED]. He's got [REDACTED], [REDACTED], [REDACTED], [REDACTED]. So, complaining of just feeling out of it. Was nauseous no longer. No loss of consciousness. Pupils are pearl. Vitals are stable. 98 heart rate. 115 over 72. 100% remear. 158 glucose. He said he was in the backseat. Was there anyone else in the car with him? Yeah, so mom, driver. Medic 1 is going to be transporting her. Okay. So, [REDACTED], I'm presuming. Yeah, [REDACTED]. [REDACTED]. Okay, [REDACTED]. All right. [REDACTED], yeah. [REDACTED]. Oh. Yeah, like, [REDACTED]. How far are you out? We'll be there in, like, six minutes. Okay. And I'm going to make... I have a P trauma, just so you know. Yeah, no, that sounds good. Okay. All right, we'll see you soon. Bye. Thanks a lot.</t>
  </si>
  <si>
    <t>Hello, it's UH. Hey, this is Cleveland 7. We're en route with a [REDACTED]. She was an unrestrained front passenger in the... Hold on, hold on. You broke up. You're breaking up. Hello? Okay. [REDACTED], unrestrained front seat passenger. Three. Three, right. Yeah, go ahead. Front seat passenger, main impact was on the passenger side. Blood pressure is 100 over 70. Heart rate is 130. Sinus on the monitor. She's got a confusion to her right cheek. Responsive to pain. Alert as far as we can tell. We should be there in about 10 minutes. What did they hit? How fast? It was on the highway, so high speed. Okay. All right. And you said she's alert? Yes. No LOC as far as we know? No LOC as far as we're aware. All right. We'll make that a little pediatric. All right. See you in a few. Thanks, Beth.</t>
  </si>
  <si>
    <t>Hello, it's UH. Hey, this is Cleveland 7. We're en route with a 3-year-old female. She was an unrestrained front passenger in the... Hold on, hold on. You broke up. You're breaking up. Hello? Okay. 3-year-old female, unrestrained front seat passenger. Three. Three, right. Yeah, go ahead. Front seat passenger, main impact was on the passenger side. Blood pressure is 100 over 70. Heart rate is 130. Sinus on the monitor. She's got a confusion to her right cheek. [REDACTED]. [REDACTED]. We should be there in about 10 minutes. What did they hit? How fast? It was on the highway, so high speed. Okay. All right. And you said [REDACTED]? Yes. No LOC as far as we know? No LOC as far as we're aware. All right. We'll make that a little pediatric. All right. See you in a few. Thanks, Beth.</t>
  </si>
  <si>
    <t>You had to back. Hey, this is C-11. We're coming in with two people from NVA. One is going to be a [REDACTED]. She was in the front seat of the car, was thrown to the back seat. No obvious injuries, no LLC. Heart rate is 180, 96%, about 34 rushes. The mom, how old are you? 27-year-old female. She was in the front seat, unrestrained, no LLC. Possible right ankle injury. You have to select it. 91 heart rate, 136 over 86. She's at 98% room air. We will be there about five minutes. Sorry, how fast were they going? She said that they weren't going that fast, maybe about 20 miles per hour, but they were hit from the back. Okay. Is this related to the one at 36? Is this bringing me? Yep. Okay. Were they hit by the same car? They were all in the same car. All in the same car. Yeah. Okay. So, the piece will probably be a trauma mechanism. You don't think the adult needs to be on that, do you? Can you say that one more time? Do you think the adult needs to be a trauma? No. I was going to have her go in a wheelchair when we got there. That sounds good. But I do have the baby on the back for it because she was thrown to the back. They'll probably make her a trauma just based on mechanisms. Okay. All right. Sounds good. Plan for that. What was your ETA? Five? About five to ten. Okay. We'll see you shortly. All right. Bye. Bye.</t>
  </si>
  <si>
    <t>You had to back. Hey, this is C-11. We're coming in with two people from NVA. One is going to be a one-year-old female. She was in the front seat of the car, was thrown to the back seat. No obvious injuries, no LLC. [REDACTED], 96%, about 34 rushes. The mom, how old are you? 27-year-old female. She was in the front seat, unrestrained, no LLC. Possible right ankle injury. You have to select it. 91 heart rate, 136 over 86. She's at 98% room air. We will be there about five minutes. Sorry, how fast were they going? She said that they weren't going that fast, maybe about 20 miles per hour, but they were hit from the back. Okay. Is this related to the one at 36? Is this bringing me? Yep. Okay. Were they hit by the same car? They were all in the same car. All in the same car. Yeah. Okay. So, the piece will probably be a trauma mechanism. You don't think the adult needs to be on that, do you? Can you say that one more time? Do you think the adult needs to be a trauma? No. I was going to have her go in a wheelchair when we got there. That sounds good. But I do have the baby on the back for it because she was thrown to the back. They'll probably make her a trauma just based on mechanisms. Okay. All right. Sounds good. Plan for that. What was your ETA? Five? About five to ten. Okay. We'll see you shortly. All right. Bye. Bye.</t>
  </si>
  <si>
    <t>You had to back. Hey, this is C-11. We're coming in with two people from NVA. One is going to be a one-year-old female. [REDACTED]. No obvious injuries, no LLC. Heart rate is 180, 96%, about 34 rushes. The mom, how old are you? 27-year-old female. She was in the front seat, unrestrained, no LLC. Possible right ankle injury. You have to select it. 91 heart rate, 136 over 86. She's at 98% room air. We will be there about five minutes. Sorry, how fast were they going? She said that they weren't going that fast, maybe about 20 miles per hour, but [REDACTED]. Okay. Is this related to the one at 36? Is this bringing me? Yep. Okay. Were they hit by the same car? They were all in the same car. All in the same car. Yeah. Okay. So, the piece will probably be a trauma mechanism. You don't think the adult needs to be on that, do you? Can you say that one more time? Do you think the adult needs to be a trauma? No. I was going to have her go in a wheelchair when we got there. That sounds good. But I do have the baby on the back for it because [REDACTED]. They'll probably make her a trauma just based on mechanisms. Okay. All right. Sounds good. Plan for that. What was your ETA? Five? About five to ten. Okay. We'll see you shortly. All right. Bye. Bye.</t>
  </si>
  <si>
    <t>Hi Zach, this is Cleveland 36. I have two potential traumas coming to you. Sorry, you have what? Two potential traumas. Okay. I think probably more due to MOI. Sure. So we have a Pede and then we have a 56 year old. Which one do you want first? Okay, 56 year old female. She was the [REDACTED]. They were going limited speed. She thinks about 15 to 20. They were turning a corner but they were [REDACTED]. So [REDACTED]. They have pretty severe damage on [REDACTED]. She is having right-sided face pain. She has a little bump right there that she's complaining of and chest pain. Hold on honey. And chest pain. Vitals are 155 over 99. She's sinus on the monitor. 88 heart rate. Okay. She's alert and oriented. No blood thinners. No loss of consciousness. Okay. You said restrained, correct? Excuse me? You said [REDACTED]? Yes, [REDACTED]. Airbags? Yes, all airbags. Front airbags and side airbags. Okay. How much intrusion do you think? Probably the whole, it was the back driver side corner. Kind of through the trunk. Not into the back seat but just the back. I don't think it was the back seat. So I guess not intrusion but the whole back side. You think she needs to be a trauma? Just through the mechanism. That's the only thing I would, you know, I don't know how fast that other car was going. Okay. But I mean I guess I'll leave that up to you guys. So then we have a three-year-old boy who was [REDACTED] but [REDACTED]. Was he behind you honey? Behind a, who we're also bringing. He has some right-sided face pain with some minor abrasion on his eye and right-sided cheek. And mom says that he was saying he was a little tired before we got there but they were saying he just woke up. So unsure if it's due to incident or due to you know prior sleep. Heart rate was 106, 99 percent on room air. He's alert right Right now I'm holding on to them just with a little ice pack, trying to get to them. And we should be there in about five minutes. Okay. The people definitely, no, they'll both be traumas. So one adult trauma and one PEDS trauma. Yeah. Okay. Okay. We'll see you soon. We'll see you in a few. Thanks. Bye.</t>
  </si>
  <si>
    <t>U-H. It's Cleveland 7. Got a 15-1-5 female. Chief complaint, restrained back-key passenger in a role at the RMA. [REDACTED]. And a 4-G-6-15 self-extricated that ran from the crash. Complaining of neck pain, right arm pain, right leg pain. Vitals, blood pressure 132.80, heart rate 132. 98% room air. She's taller. I got a line. We're about five out. All right. We'll see you in five. Thanks. Thanks.</t>
  </si>
  <si>
    <t>UH, this is Dave. And then hit the bottom. Hey, this is page two. Wait, who is this? This is Cleveland 31. That's fine. This is Cleveland 31. We're bringing in the other patient from Medic 17. It's going to be a PEADS trauma. It's a 15, 1-5 female. [REDACTED], unknown rate of speed. I'd say [REDACTED]. [REDACTED]. We got her immobilized. She's got some complaints to left hip, like thigh pain. No deformity. MSPs are good. We're giving her 50 mics right now. She sinus at 80, 98% on room air. Got an end tidal at 35. What was her last pressure? 125 over 77 was her last pressure. We'll be there in like six, seven minutes. All right, thank you.</t>
  </si>
  <si>
    <t>UH. Hey, Aesthetic 1. I got a pediatric trauma. It's gonna be an approximate five-year-old male. He was [REDACTED]. [REDACTED]. There was about [REDACTED], [REDACTED]. [REDACTED]. [REDACTED]. He is awake, he's alert, he was acting age-appropriately. He does have some abrasions to the top of his head. State that he does have a headache from that. No other injuries that we're able to see. He's currently 97 over 66, heart rate's 88, 98% roomier, clear and equal in all fields on his lungs. And we'll be there in like seven to eight minutes. Do you have any questions? Nope, we'll see you when you get here. All righty, thanks. Thanks.</t>
  </si>
  <si>
    <t>UH. Hey, this is Cleveland 36. We have a P we're bringing in. Okay, what you got? We have a three-year-old male. He was a car backed into him at a low-rated speed. I guess it was unwitnessed. So he didn't lose consciousness. He does have a deformity in the tib-tib area on the right leg. Like, no other injuries that we see. Vitals were 130. Heart rate 102 over 72. Blood pressure [REDACTED]. And 100% under the air. And then we're probably about, like, five minutes out. What was the respiration? 28. 28. You said you think it was a low-rated speed? Did the car, like, back over him, it sounds like? That I'm not sure about. I don't think so. It just, like, backed into him. And then I think they said, like, his, like, legs buckled. And what? His legs buckled. Oh, okay. Yeah. All right. We'll see you in five minutes. All right. Yep. Thanks. Bye. Bye. Bye.</t>
  </si>
  <si>
    <t>UH. Hey, this is Cleveland 36. We have a P we're bringing in. Okay, what you got? We have a three-year-old male. He was a [REDACTED]. I guess it was [REDACTED]. So he didn't lose consciousness. He does have a deformity in the tib-tib area on the right leg. Like, no other injuries that we see. Vitals were 130. Heart rate 102 over 72. Blood pressure 28 respirations. And 100% under the air. And then we're probably about, like, five minutes out. What was the respiration? 28. 28. You said you think it was a low-rated speed? Did the car, like, back over him, it sounds like? That I'm not sure about. I don't think so. It just, like, [REDACTED]. And then I think they said, like, his, like, [REDACTED]. And what? His [REDACTED]. Oh, okay. Yeah. All right. We'll see you in five minutes. All right. Yep. Thanks. Bye. Bye. Bye.</t>
  </si>
  <si>
    <t>University. Hey, this is Cleveland 22. I'm bringing you a GSW. I got a [REDACTED], [REDACTED]. He was shot on the right side of the cheek. He's a little oriented with us now, but he did lose consciousness. Not really able to talk to the pain. I have a BP of 124 over 72. Heart rate is 113. Respirators are at 16 and he's 99 on room air. I have an 18 in the left AC. That's iffy. I'm about to get another one for you before we get there. We're about five minutes out. Okay. And [REDACTED], [REDACTED]. Okay. And is it like through and through on the cheek or just like a, I was only able to see one. One so far. So, all right. Thanks.</t>
  </si>
  <si>
    <t>University. Hey, this is Cleveland 22. I'm bringing you a GSW. I got a 15 year old, 15 year old male. He was shot on the right side of the cheek. He's [REDACTED], but [REDACTED]. [REDACTED]. I have a BP of 124 over 72. Heart rate is 113. Respirators are at 16 and he's 99 on room air. I have an 18 in the left AC. That's iffy. I'm about to get another one for you before we get there. We're about five minutes out. Okay. And he's 15, one five, correct? One five. Okay. And is it like through and through on the cheek or just like a, I was only able to see one. One so far. So, all right. Thanks.</t>
  </si>
  <si>
    <t>UH. Hi, this is Willoughby squad 1422 calling in a patient report for rainbows. All right. We got a 15 year old male [REDACTED]. [REDACTED]. He does not know if he lost consciousness. It sounds like he may have. He's a lower inordinate times four. Main complaint, right shoulder pain and swelling on the back of his ribs and his right collarbone. His lung sounds are clear and equal. Heart rate is 99% under a mare. BP is 134 over 96. We got his arm in a sling. We have an ET of about 20 minutes. Any questions? Do you know how fast the car was going? He does not know. Not know. Okay. Nope. All his MSPs are intact. He's walking around. Okay. Right shoulder pain. Okay. Thank you. Yep. We'll see you in 20.</t>
  </si>
  <si>
    <t>Hey, UH, this is Willoughby. All right, Willoughby, what do you got? This is Willoughby, 1422. We're en route to you guys with a 15-1 5-year-old male. Chief complaint, jumped out of a moving car about 35 miles an hour. I'm calling a trauma alert on this. Repeat, trauma alert. Was driving, was riding in the backseat with his mom. His parents were getting into a fight. He opened the side door and jumped out. He does have a 3-4 inch laceration on the right side of his head. Road rash on the left side of his body. Some cuts and some gravel embedded in the right side of his hand. We're getting it bandaged up now. No loss of consciousness. C-collar refused. He is stating he has some right wrist pain. We're going to be putting that in a vacuum splint at the moment. Like I said, C-collar's refused. He's anal times four. Letters are as follows. [REDACTED]. SpO2 is 100. Percent room air. Pressure is 153 over 97. We're going to be taking off from Willoughby. We're going to be there in 20 to 30 minutes depending on traffic. Any questions or orders at this time? So his GCS is 15? Correct. All right. And there's no loss of consciousness. Okay. That sounds good. Thank you. Thank you. If we can, we'd like to have a social worker in the room. He might want to have somebody to talk to about this if that's possible. Yeah, they'll have someone down there. Awesome. Thank you very much. We'll see you in 20 to 30. Okay, thanks. Bye. Bye. Bye. Bye.</t>
  </si>
  <si>
    <t>Hey, UH, this is Willoughby. All right, Willoughby, what do you got? This is Willoughby, 1422. We're en route to you guys with a 15-1 5-year-old male. Chief complaint, jumped out of a moving car about 35 miles an hour. I'm calling a trauma alert on this. Repeat, trauma alert. Was driving, was riding in the backseat with his mom. His parents were getting into a fight. He opened the side door and jumped out. He does have a 3-4 inch laceration on the right side of his head. Road rash on the left side of his body. Some cuts and some gravel embedded in the right side of his hand. We're getting it bandaged up now. [REDACTED]. C-collar refused. He is stating he has some right wrist pain. We're going to be putting that in a vacuum splint at the moment. Like I said, C-collar's refused. [REDACTED]. Letters are as follows. Heart rate is 104 and regular on the monitor. SpO2 is 100. Percent room air. Pressure is 153 over 97. We're going to be taking off from Willoughby. We're going to be there in 20 to 30 minutes depending on traffic. Any questions or orders at this time? So his GCS is 15? Correct. All right. And [REDACTED]. Okay. That sounds good. Thank you. Thank you. If we can, we'd like to have a social worker in the room. He might want to have somebody to talk to about this if that's possible. Yeah, they'll have someone down there. Awesome. Thank you very much. We'll see you in 20 to 30. Okay, thanks. Bye. Bye. Bye. Bye.</t>
  </si>
  <si>
    <t>UH. UH, this is Garfield, Squad 1. What squad again? We are bringing to you a nine-year-old male patient. He was struck on his bicycle this evening by a vehicle. He was crossing the road. Car hit him. Front end damage to the vehicle consists of some hood damage, tire imprint left on the front bumper. The child has been awake, alert and oriented, conscious. GCS 15 the entire time. All the complaints he has is to the lower right knees. Head to toe assessment doesn't really show anything. Shows maybe some road rash here and there on the knees. There's a little bit to the right elbow that we bandaged up. He didn't have any neck or back pain at this time. We do have a C collar in place. We do have a 22 in the left AC as well. Poorly just showed sinus attack. Vital signs of stable blood pressure is 113 over 60. [REDACTED]. Respirators about 18. Non-labored. He's 100% on room air. The mother is not with us. She's gonna meet us from work. He did not have a helmet on either. But like I said, I mean head to toe really we don't see anything. There's no other bleeding. Pupils are pearl. You know I don't see any trauma around the head. He's not complaining of anything. He's doing a hell of a job. What squad are you getting? Garfield. Garfield. Yep. All right probably from, do you have a good idea how fast the car was going? The car, yeah he said he was doing 25. All right so with the mechanism they're probably still gonna hit us with a trauma there. So nine-year-old male struck on a while riding his bike. Car was going about 25 miles an hour. Some road rash. Some damage to the hood of the car. Vitals are stable [REDACTED] and some knee pain and road rash. 22 in the left AC and GCS 15 and what's your ETA? I'd say we'll beat you guys. Probably seven to ten. All right my man see you in a bit. Thanks. Bye.</t>
  </si>
  <si>
    <t>UH. UH, this is Garfield, Squad 1. What squad again? We are bringing to you a nine-year-old male patient. He was struck on his bicycle this evening by a vehicle. He was crossing the road. Car hit him. Front end damage to the vehicle consists of some hood damage, tire imprint left on the front bumper. The child has been awake, alert and oriented, conscious. GCS 15 the entire time. All the complaints he has is to the lower right knees. Head to toe assessment doesn't really show anything. Shows maybe some road rash here and there on the knees. There's a little bit to the right elbow that we bandaged up. He didn't have any neck or back pain at this time. We do have a C collar in place. We do have a 22 in the left AC as well. Poorly just showed sinus attack. Vital signs of stable blood pressure is 113 over 60. Current heart rate is 113. [REDACTED]. [REDACTED]. He's 100% on room air. The mother is not with us. She's gonna meet us from work. He did not have a helmet on either. But like I said, I mean head to toe really we don't see anything. There's no other bleeding. Pupils are pearl. You know I don't see any trauma around the head. He's not complaining of anything. He's doing a hell of a job. What squad are you getting? Garfield. Garfield. Yep. All right probably from, do you have a good idea how fast the car was going? The car, yeah he said he was doing 25. All right so with the mechanism they're probably still gonna hit us with a trauma there. So nine-year-old male struck on a while riding his bike. Car was going about 25 miles an hour. Some road rash. Some damage to the hood of the car. Vitals are stable just a little tacky and some knee pain and road rash. 22 in the left AC and GCS 15 and what's your ETA? I'd say we'll beat you guys. Probably seven to ten. All right my man see you in a bit. Thanks. Bye.</t>
  </si>
  <si>
    <t>UH. UH, this is Garfield, Squad 1. What squad again? We are bringing to you a nine-year-old male patient. He was [REDACTED]. [REDACTED] Front end damage to the vehicle consists of some hood damage, [REDACTED]. The child has been awake, alert and oriented, conscious. GCS 15 the entire time. All the complaints he has is to the lower right knees. Head to toe assessment doesn't really show anything. Shows maybe some road rash here and there on the knees. There's a little bit to the right elbow that we bandaged up. He didn't have any neck or back pain at this time. We do have a C collar in place. We do have a 22 in the left AC as well. Poorly just showed sinus attack. Vital signs of stable blood pressure is 113 over 60. Current heart rate is 113. Respirators about 18. Non-labored. He's 100% on room air. The mother is not with us. She's gonna meet us from work. [REDACTED]. But like I said, I mean head to toe really we don't see anything. There's no other bleeding. Pupils are pearl. You know I don't see any trauma around the head. He's not complaining of anything. He's doing a hell of a job. What squad are you getting? Garfield. Garfield. Yep. All right probably from, do you have a good idea how fast the car was going? The car, yeah he said he was doing 25. All right so with the mechanism they're probably still gonna hit us with a trauma there. So [REDACTED]. [REDACTED]. Some road rash. [REDACTED]. Vitals are stable just a little tacky and some knee pain and road rash. 22 in the left AC and GCS 15 and what's your ETA? I'd say we'll beat you guys. Probably seven to ten. All right my man see you in a bit. Thanks. Bye.</t>
  </si>
  <si>
    <t>Hey, this is Cleveland Medical Center 30. We have a 14 year old male, pedestrian struck. He was ambulatory. He just got a road rash all over him. He said he was dragged up underneath the car. The car flooded the scene so it was a hit-skip. 62 heart rate, 136 over 86, 100% right there. We'll be there in like 10 minutes. You said what? Like 10 minutes we'll be there. Do you know the speed? No, I don't know the speed. And [REDACTED]? [REDACTED], yeah. No medical history or anything. [REDACTED]. No thinners or anything like that. Okay, thanks. Bye.</t>
  </si>
  <si>
    <t>UUH. Hey UUH, this is Euclid Medics 3 with a patient report. Go ahead. We're coming at you with a 1313 year old male who got pushed out of a cargo in about five miles an hour. He has some facial swelling on the right side of his face. He also got into a tussle with the cops. He's complaining of lower back pain with that also. No neck pain. He's A&amp;O times four. ABCs are intact. Vitals are 93 on the heart rate. 98% of remission. What's the heart rate again? 93. Okay. 98% on remission. 140 over 70 on the pressure and 16 on the respers. And how old again? 13. All right, [REDACTED]. And you said he was pushed out of a car going about five miles an hour. Some edema to his face, negative back pain and neck pain. He has lower back pain. Oh, lower back pain. And what about neck pain? No neck pain. Zero neck pain. And A&amp;O times four for you now? Yep. All right, GCS 15? Yes. That's 15. All right, what's your ETA? Around 20. All right, any other injuries at all? Not that he's told us. Okay. All right, my friend. I'll have them peas ready for you. All right. Thank you very much. Thanks, Mike. Bye.</t>
  </si>
  <si>
    <t>UUH. Hey UUH, this is Euclid Medics 3 with a patient report. Go ahead. We're coming at you with a 1313 year old male who got pushed out of a cargo in about five miles an hour. He has some facial swelling on the right side of his face. He also got into a tussle with the cops. He's complaining of lower back pain with that also. No neck pain. He's [REDACTED]. ABCs are intact. Vitals are 93 on the heart rate. 98% of remission. What's the heart rate again? 93. Okay. 98% on remission. 140 over 70 on the pressure and 16 on the respers. And how old again? 13. All right, 13 year old male. And you said he was pushed out of a car going about five miles an hour. Some edema to his face, negative back pain and neck pain. He has lower back pain. Oh, lower back pain. And what about neck pain? No neck pain. Zero neck pain. And [REDACTED]. All right, GCS 15? Yes. That's 15. All right, what's your ETA? Around 20. All right, any other injuries at all? Not that he's told us. Okay. All right, my friend. I'll have them peas ready for you. All right. Thank you very much. Thanks, Mike. Bye.</t>
  </si>
  <si>
    <t>Hey, it's Cleveland, that's seven. We're en route with a six year old male. Looks like he got [REDACTED]. He's got [REDACTED]. Trying to assess the eye but just keeping it closed, pretty hard to do right now. It's pretty red on the sclera. Current vitals, blood pressure 120, 72, heart rate 114. 98% of their marrow nerve about five out. And you said [REDACTED]. Okay. It's not in his eye right now. Okay, nothing's in there? No. Alright, any bleeding? It's controlled on its own. Okay. Alright, we'll see you in five. Thanks. Yep, bye.</t>
  </si>
  <si>
    <t>U-H, Danny. U-H. Hey, it's Cleveland Medic 10. Hey. Coming in with a 12-year-old male involved in an MBA. Ran through light, hit a car. No LOC, did not hit his head. He just got some facial scars, facial injuries, airbag deployment, heavy damage to front end of the vehicle. Vitals are as follows. He's got a heart rate of 110, [REDACTED], presses of 24, and he was 99% on room air. We did get in touch with Grandma. Mom isn't answering the phone at the moment. And you said he's 12? Yeah. He was driving? Yeah, to his sister's car. Jesus. And do you think it was, like, at high speed? Did he say how fast he was going? Yeah. We don't know how fast he was going, but the car that he did hit is on its side. Oh, so he was going pretty fast. So high speed. Yeah. All right. Well, they're going to, since he's a Pete, they're going to make him a trauma. Okay. He's also complaining, I'm sorry, he's also complaining of left rib pain. Okay, gotcha. All right. Lung styles are clear. How far are you out? About seven minutes. Seven? Okay. We'll see you soon. Bye. All right. Thanks. Bye. Bye. Bye. Bye. Bye. Bye. Bye. Bye.</t>
  </si>
  <si>
    <t>UH. Hello Cleveland Medical 24. I got a five-year-old female she was struck by a car. The car was on a side street but we don't know the exact speed but it definitely was going straight so anywhere from like 25 probably to 35. They said the car the kid was thrown approximately 10-15 feet from the car. She's got abrasions to her left elbow. She's got abrasions to her nose area and she's complaining of bilateral knee pain. There's no obvious like broken bones or anything like that [REDACTED]. They said [REDACTED]. Unfortunately, she is very upset so it's not like we couldn't like backboard. We cannot c-collar her. We got a set of vitals and that was 121 over 64. Heart rate of 140. Respirations of 20 and 99% on room air. We're about five minutes out if you have any questions. Five, six minutes. Alright so [REDACTED]. She's not... Absolutely, absolutely. um she's [REDACTED]. She doesn't want to be poked by needles or anything, you know. Okay, that's fair. All right, we'll see you in five. Thanks. All right, take care. Bye.</t>
  </si>
  <si>
    <t>UH. Hello Cleveland Medical 24. I got a five-year-old female she was [REDACTED]. The car was on a side street but we don't know the exact speed but it definitely was going straight so anywhere from like 25 probably to 35. They said the car [REDACTED]. She's got abrasions to her left elbow. She's got abrasions to her nose area and she's complaining of bilateral knee pain. There's no obvious like broken bones or anything like that she did not lose consciousness. They said she was awake the whole time. Unfortunately, she is very upset so it's not like we couldn't like backboard. We cannot c-collar her. We got a set of vitals and that was 121 over 64. Heart rate of 140. Respirations of 20 and 99% on room air. We're about five minutes out if you have any questions. Five, six minutes. Alright so she's acting age-appropriate. She's not... Absolutely, absolutely. um she's She's just crying. She doesn't want to be poked by needles or anything, you know. Okay, that's fair. All right, we'll see you in five. Thanks. All right, take care. Bye.</t>
  </si>
  <si>
    <t>U-H Danny. Hey, U-H, this is Shaker 245 coming in. You ready for a report? Yeah, what's going on? We have a six-year-old female who was riding her bicycle. She was hit by a vehicle and knocked to the ground. We do not know how fast the vehicle was going. She has some abrasions down both of her legs. She's saying she has some pretty severe right hip pain. The hips appear to be equal. No extension of either leg. They appear to be equal. She has no other complaints other than the right hip pain. [REDACTED]. We have a decoller on her neck just for precaution. She does not complain of any neck, head, or back pain. Vital signs are stable, and we'll be there in three minutes. Okay. Did you guys get a hold of her parents or anyone? Yeah, right here coming in with us. Okay, perfect. All right, we'll see you here soon. Bye. All right, we're going. It's great to see you.</t>
  </si>
  <si>
    <t>Hey, this is medic 26. I'm bringing you a 15 year old male who was [REDACTED]. He was [REDACTED]. He's got a deformity to the right ankle and the left forearm. There's no LOC. His vitals are okay. His heart rate is 80. Pressure is 110 over 65. He's 100% on room air. I did give him 50 micrograms of fentanyl for the pain and he's feeling better. I've got a 20 in his right forearm. And I know they always are worried about the family. His mother is on her way to the hospital she'll probably beat us there. Okay so did he [REDACTED] at all? Yes, but there's no LOC, no neck or back pain. Okay so he's not sexed or collared? No, perfect okay. Okay, what's your ECA? I will be there in like seven minutes he was ambulatory on scene oh perfect okay sounds good thank you all right thank you bye</t>
  </si>
  <si>
    <t>Hey, this is Mike. I have a four-year-old female. She was involved in an NVA at a high rate of speed. Driver was approximately 60 to 70 miles per hour. She was in the back seat but not properly restrained in a child seat. Apparently did have a seatbelt on. Heavy front end damage with airbag deployment. No intrusion. Child's only complaint is that she is having some abdominal pain. So much pain in there? Abdominal pain. Abdomen does not feel distended, but it is very tender upon palpation. She also has a pretty good size hematoma to her forehead, but driver state never had any LOC. [REDACTED]. Last set of vitals was 100 over 60. Heart rate is 90. She's 100% on room air. Currently 804 at the GPS 16. You should be there in approximately seven minutes. And you said she's four years old? Four, yes. Zero four. Is there anyone else being seen from it, from the accident? You're probably going to get three more patients. She was in a car with two other people. Medic 30 has them. I assume they're coming to you. And then 31 is going to have another 51. So somebody's transporting the parents? Correct. They weren't parents. They were aunts and uncles. Parent is meeting her at the hospital. Oh, gotcha. Cool. All right. We'll see you. See you then. Bye.</t>
  </si>
  <si>
    <t>Hey, this is Mike. I have a four-year-old female. She was [REDACTED]. [REDACTED]. [REDACTED]. [REDACTED]. [REDACTED]. [REDACTED]. Child's only complaint is that she is having some abdominal pain. So much pain in there? Abdominal pain. Abdomen does not feel distended, but it is very tender upon palpation. She also has a pretty good size hematoma to her forehead, but driver state never had any LOC. Was crying and alert the entire time. Last set of vitals was 100 over 60. Heart rate is 90. She's 100% on room air. Currently 804 at the GPS 16. You should be there in approximately seven minutes. And you said she's four years old? Four, yes. Zero four. Is there anyone else being seen from it, from the accident? You're probably going to get three more patients. She was in a car with two other people. Medic 30 has them. I assume they're coming to you. And then 31 is going to have another 51. So somebody's transporting the parents? Correct. They weren't parents. They were aunts and uncles. Parent is meeting her at the hospital. Oh, gotcha. Cool. All right. We'll see you. See you then. Bye.</t>
  </si>
  <si>
    <t>U-H Danny. Hey Danny. Need you to relay to Rainbow for me. Okay. This is Cleveland 28. I have a three-year-old male that was involved in a [REDACTED]. [REDACTED]. It was a rollover? Correct. [REDACTED]. Oh good. Okay. It was in an age-appropriate car seat per mile. The car was still outside. I couldn't see. The airbags did deploy. Overall very stable. No abrasions noted. Okay. Seat collar pressure was stable. 90 over 60. 124 heart rate. And is another squad taking like the mom or whoever else was in the car? So mom is with us and she's gonna likely get checked in when she gets there. She doesn't want to be separated from him. Dad is staying on scene. Okay. How old's mom just in case? Mom how old are you? She's 26. And she's not wanting to be seen until afterwards? Because she doesn't want to be separated. Yeah. Okay. Correct. She's a UH employee. Oh okay. Okay. See ya. Bye-bye.</t>
  </si>
  <si>
    <t>Thank you. UH. Hey, is this Rainbows? No, this is the adult, but if you're calling in a report, I can call them and give them the report. Okay, yeah, that'd be great. We're en route to you guys with a 15-year-old male involved in a two-car MBA. We're going to call a trauma on this one. He said he feels like he lost consciousness. He's got some, like, minor lacerations on his face. His main complaint right now is right leg pain, his upper femur area. No shortening or rotation. MSCs are intact. He's just complaining of a lot of pain in that area and some lower back pain. All airbags were deployed. Seatbelts were intact. There is no seatbelt sign. We have a 20-gauge in the right AC. We gave him 25 mics of fentanyl for pain. We gave him 4 milligrams of Zofran ODT. Right now, [REDACTED], normal sinus in our monitor. He's 99% on room air. Our last blood pressure was 103 over 85. Initially, he was, like, in the 125, so we're monitoring that. We do have some fluids going in. Lung sounds clear and equal bilaterally. Pupils are all equal. No other pain or trauma that we noticed other than minor lacerations on his face and, like, just some minor bruising to that right leg, but due to, like, the loss of consciousness and everything, we wanted to. Yeah, now his pressure is 76 over 31. But he's meditating well. What was the approximate speed of the car? That we're unsure of. It was a 35 mile an hour. It could have been anywhere between 35 and 45 miles per hour. It looked like mainly his side was impacted. We had to extricate him from the car. He didn't have to be extricated? Well, yeah, we had to, like, rip the door off and everything, and then we backboarded him out. Right now, he's C-collared. He's not on a backboard, but he's still meditating very well. Okay, perfect. All right, so we'll just say 35 through 45. All right, and what squat is this? Mentor, 11-12. Mentor. All right, and what's your ETA? ETA, I would say, is about 15 minutes. 15 minutes. Sounds good. Thank you. All right, thank you. Bye. Bye.</t>
  </si>
  <si>
    <t>Thank you. UH. Hey, is this Rainbows? No, this is the adult, but if you're calling in a report, I can call them and give them the report. Okay, yeah, that'd be great. We're en route to you guys with a 15-year-old male involved in a two-car MBA. We're going to call a trauma on this one. He said he feels like he lost consciousness. He's got some, like, minor lacerations on his face. His main complaint right now is right leg pain, his upper femur area. No shortening or rotation. MSCs are intact. He's just complaining of a lot of pain in that area and some lower back pain. All airbags were deployed. Seatbelts were intact. There is no seatbelt sign. We have a 20-gauge in the right AC. We gave him 25 mics of fentanyl for pain. We gave him 4 milligrams of Zofran ODT. Right now, heart rate is 91, normal sinus in our monitor. He's 99% on room air. Our last [REDACTED]. Initially, he was, like, in the 125, so we're monitoring that. We do have some fluids going in. Lung sounds clear and equal bilaterally. Pupils are all equal. No other pain or trauma that we noticed other than minor lacerations on his face and, like, just some minor bruising to that right leg, but due to, like, the loss of consciousness and everything, we wanted to. Yeah, now his [REDACTED]. But he's meditating well. What was the approximate speed of the car? That we're unsure of. It was a 35 mile an hour. It could have been anywhere between 35 and 45 miles per hour. It looked like mainly his side was impacted. We had to extricate him from the car. He didn't have to be extricated? Well, yeah, we had to, like, rip the door off and everything, and then we backboarded him out. Right now, he's C-collared. He's not on a backboard, but he's still meditating very well. Okay, perfect. All right, so we'll just say 35 through 45. All right, and what squat is this? Mentor, 11-12. Mentor. All right, and what's your ETA? ETA, I would say, is about 15 minutes. 15 minutes. Sounds good. Thank you. All right, thank you. Bye. Bye.</t>
  </si>
  <si>
    <t>Thank you. UH. Hey, is this Rainbows? No, this is the adult, but if you're calling in a report, I can call them and give them the report. Okay, yeah, that'd be great. We're en route to you guys with a 15-year-old male [REDACTED]. We're going to call a trauma on this one. He said he feels like he lost consciousness. He's got some, like, minor lacerations on his face. His main complaint right now is right leg pain, his upper femur area. No shortening or rotation. MSCs are intact. He's just complaining of a lot of pain in that area and some lower back pain. [REDACTED]. [REDACTED]. [REDACTED]. We have a 20-gauge in the right AC. We gave him 25 mics of fentanyl for pain. We gave him 4 milligrams of Zofran ODT. Right now, heart rate is 91, normal sinus in our monitor. He's 99% on room air. Our last blood pressure was 103 over 85. Initially, he was, like, in the 125, so we're monitoring that. We do have some fluids going in. Lung sounds clear and equal bilaterally. Pupils are all equal. No other pain or trauma that we noticed other than minor lacerations on his face and, like, just some minor bruising to that right leg, but due to, like, the [REDACTED] and everything, we wanted to. Yeah, now his pressure is 76 over 31. But he's meditating well. What was the approximate speed of the car? That we're unsure of. It was a [REDACTED]. It could have been anywhere [REDACTED]. It looked like [REDACTED]. [REDACTED]. He didn't have to be extricated? Well, yeah, [REDACTED], and then [REDACTED]. Right now, [REDACTED]. He's not on a backboard, but he's still meditating very well. Okay, perfect. All right, so we'll just say 35 through 45. All right, and what squat is this? Mentor, 11-12. Mentor. All right, and what's your ETA? ETA, I would say, is about 15 minutes. 15 minutes. Sounds good. Thank you. All right, thank you. Bye. Bye.</t>
  </si>
  <si>
    <t>UH. Hey, this is Medic 24. We got the [REDACTED] coming to you guys from, she is GCS 15, pupils are all equal and reactive. Vitals are stable right now, 103, 128 over 82, 99% on room air, 12 breath first. No, no visible injury sustained, went to right leg plane, getting an IV on her right now and we'll be on our way in about two minutes here. And what was going on here? [REDACTED] MVA. MVA? No, yep. Okay, were they wearing a seatbelt? Uh, was she, did they say she was restrained? She was a pedestrian truck. Oh, pedestrian truck. Yep. Okay, male or female? Female. Okay, and then so just right leg pain right now? Mm-hmm. Okay. So, just right leg pain right now? Mm-hmm. Okay. So, just right leg pain right now? Mm-hmm. Yeah. Any deformities or? No, none noted. Okay, all right. And ETA? Uh, we'll go five minutes. Five, all right. See you then. All right, bye. Yep, bye.</t>
  </si>
  <si>
    <t>UH. Hey Cleveland 4, we're bringing you a fourth patient from that crash. This is going to be for the rainbow side. He is 15, 1-5 years old. He was an [REDACTED]. They have video that shows this. He was ambulatory on scene. He's got abrasions and scrapes all over his body, but no major injuries that we see. 136 over 72, pulse 92, respires 22, 95%. We have a five minute ECA. And you said they're alert times three right now? Yeah, GCS 15, AMO times three, but again we have [REDACTED] after a [REDACTED]. Copy, seeing five. Thank you.</t>
  </si>
  <si>
    <t>UH. Hey, it's Cleveland Ford, excuse me, 23 with pediatric trauma. Okay. I have a 15, one five-year-old male, unrestrained driver of a two-car MBA. He's complaining of bilateral leg pain. He's got a lack to his head. He was [REDACTED]. He is fully immobilized. He's [REDACTED]. BP is 120 over 70, heart rate 116, respires 20, 100% on room air, and we'll be there in about five minutes. All right. Go over that again, just real quick. Just unrestrained driver. It was a police chase. They hit another car. Okay. All right. And he's a lawyer times three. You said he has a laceration. Where was that to? He has a lack to the top of his head, like his upper forehead area. All right. All right. We'll see you guys in what, five? Yep. All right. Yep. Bye. Bye.</t>
  </si>
  <si>
    <t>UH. Hey, it's Cleveland Ford, excuse me, 23 with pediatric trauma. Okay. I have a 15, one five-year-old male, [REDACTED]. He's complaining of bilateral leg pain. He's got a lack to his head. He was initially acting A&amp;O times one on scene. He is fully immobilized. He's A&amp;O times three right now. BP is 120 over 70, heart rate 116, respires 20, 100% on room air, and we'll be there in about five minutes. All right. Go over that again, just real quick. Just unrestrained driver. It was a [REDACTED]. [REDACTED]. Okay. All right. And he's a lawyer times three. You said he has a laceration. Where was that to? He has a lack to the top of his head, like his upper forehead area. All right. All right. We'll see you guys in what, five? Yep. All right. Yep. Bye. Bye.</t>
  </si>
  <si>
    <t>UHD. Hey, Cleveland Medic 30. Wow, hey, that was quick. Hey. Yeah, 8-year-old male, [REDACTED]. No obvious deformities, injuries anywhere. He's complaining of some right-sided neck pain, right leg pain, and he's got a small abrasion on his finger. Very stable. 80 heart rate, 121 over 73. No loss of consciousness or anything. No other big obvious injuries. How [REDACTED], I presume? Yeah, yeah, yeah. [REDACTED]. He's 8 years old? Yep. Jesus. And how fast? Does anyone know? They're [REDACTED]. I saw a video of it. His dad showed me a video from his security camera. It [REDACTED]. He was [REDACTED]. So, it's probably a slower rate of speed, like 15. Yeah. Okay, gotcha. It looks like it just [REDACTED] that he was on, and that [REDACTED]. Just kind of [REDACTED]. Um, okay. I'm pretty sure there's some of his... Yeah. We've got him collared and stuff, but yeah, that's pretty much it. He's super stable, though. He's ambulatory and everything. He walked up to us on scene and stuff. We'll be there in like 10. Okay, we'll see you soon. Bye. Thanks, bye.</t>
  </si>
  <si>
    <t>Hello, SUH. Hey, it's Cleveland 41. I got an 11-year-old male, critical. [REDACTED]. [REDACTED]. He got [REDACTED]. He's alert and oriented. Blood pressure is 100 over 60, heart rate 144. Working on the line. We'll be there in about seven minutes, ten minutes. You said no LLC? I would go with yes on the LLC. You said he's 11, correct? Yeah, 11. Thank you. Yep.</t>
  </si>
  <si>
    <t>Sam Wilson, 31. Go ahead. Yo, 14, female, bilateral tibia fracture. This is going to be a full trauma. [REDACTED], ready in 10 minutes. Vital stable, but like I said, bilateral tibia factor, beat her in about five minutes. All right, what's her mental status? I'm sorry? What's her mental status? I think she's GCS is the 14, 15. Okay, sounds good. Yeah, so we good with that. All right, 14, right? One, four.</t>
  </si>
  <si>
    <t>Hey, UH. Hi, UH. This is Menner on the Lake, squad 2512. I'm going to be en route for UH Rainbows for a 14-year-old female. She was [REDACTED]. [REDACTED]. She [REDACTED]. No loss of consciousness, did not hit her head, but she was not wearing a helmet either. She's complaining of pain to her right leg, upper part of the leg. She's also complaining of pain in the center of her abdomen. Lung sounds are clear, no difficulty breathing. We do have a C-collar on her. Heart rate's about 109 sinus. 29. Okay, go ahead. 98% remear. Blood pressure was 160 over 110. She said I didn't know what time it was for the whole time. We've got an ETA of about 20 to 30 minutes. Do you have any other questions? Let's just recap here. We've got Menner coming in, 14, female. She was a [REDACTED], complaining of some abdominal pain, and you said some neck or back pain or leg pain. I'm sorry. Right leg pain and then right behind the right shoulder. I forgot about that one. And then negative LOC, 160 over 110. Heart rate 100. 98 on remear. And no times for you. And you said [REDACTED]? Okay. Yeah. All right. And I do have a C-collar on her. All right. ETA? About 20 to 30. All right, my friend. More than likely, we're going to make this a trauma. So we'll see you in the morning. We'll see you in the evening. Okay. All right, thank you. Thank you. Bye.</t>
  </si>
  <si>
    <t>Hey, this is the medic. Hey. We're en route with a 12 year old male, one of our other squads, brought to other location. Riding his bike downhill, he's going approximately 35 miles an hour. He wasn't wearing a helmet. Were they on the same bike? What's that? Were they on the same bike? I don't believe so, no. Oh, okay. He's got a small laceration in the front of his forehead. He's been repeating himself a lot, but he's answered all our questions okay. He's got a deforming to his left forearm as well, obvious fracture. [REDACTED]. Heart rate sinus attack 115. He'll be there in about eight, ten minutes. Anything else? No, let's see you guys when you get here. All right, bye. Okay, bye.</t>
  </si>
  <si>
    <t>Hello, UH. Hey, this is Cleveland Medics 36 coming in with two patients. We have a [REDACTED], GSW to the right or left upper arm. MSP is intact, though. He's stable. How old again? [REDACTED]. [REDACTED]? [REDACTED]. Thank you. Go ahead. Then we have a [REDACTED]. He has abrasions to his left knee because he failed. He's a minor, so it's coming along. All right. Give me the vitals. We'll click on a 15. They're going to ask me. 134 over 82. Uh-huh. 134 over 82. Heart rate 104. Respirations 18. Thank you. Sugar 125. All right. Five out? Yep. Thank you. Bye. Thank you. Bye.</t>
  </si>
  <si>
    <t>Good morning University. Good morning UH. This is Cleveland 41. We are in Rochester, Philadelphia. ETA 7 minutes. We are bringing in a [REDACTED] that is [REDACTED] that was struck by a vehicle at approximately 25 miles an hour. He had no loss of consciousness. He did hit his head. There was no damage to the vehicle. We have a collar on him. He's complaining only of he has a abrasion to his right ankle. No deformity. No other injuries or complaints. We just put the collar on due to the mechanism. He's got a heart rate of 124. He's 113 over 77. 98% on room air. He's acting appropriately and mom is with us. We're gonna see you in about seven minutes. All right you guys get here safely. All right see you then.</t>
  </si>
  <si>
    <t>Good morning University. Good morning UH. This is Cleveland 41. We are in Rochester, Philadelphia. ETA 7 minutes. We are bringing in a six-year-old male that is zero six-year-old male that was [REDACTED]. He had no loss of consciousness. [REDACTED]. There was no damage to the vehicle. We have a collar on him. He's complaining only of he has a abrasion to his right ankle. No deformity. No other injuries or complaints. [REDACTED]. He's got a heart rate of 124. He's 113 over 77. 98% on room air. He's acting appropriately and mom is with us. We're gonna see you in about seven minutes. All right you guys get here safely. All right see you then.</t>
  </si>
  <si>
    <t>UH. Hey, good evening. This is Cleveland Medics 6. Alright, so listen, I'm bringing you a 32 year old female [REDACTED]. Doesn't look like she was restrained, [REDACTED]. She's going at least 25-30 miles an hour. [REDACTED]. [REDACTED], [REDACTED]. She has pinpoint pupils. Not very cooperative. I've got a pressure right now of 100 over 70. Heart rate's 122. She is 92 to 93% room air. She's in control of her airway. She's not about every now and again, but she's easily aroused. She also had [REDACTED]. A five year old female, a six year old male. Both are complaining of head pain. [REDACTED] either. [REDACTED]. Like I said, I'm able to do a three lead on her, but to put a C collar on her and third and IB and anything like that, I can't get that done. No worries. Alright, what's your ETA? Probably about five to seven. Alright, we'll see you then. Alright, thanks. Bye. Bye.</t>
  </si>
  <si>
    <t>UH. Hey, good evening. This is Cleveland Medics 6. Alright, so listen, I'm bringing you a [REDACTED] driver. Doesn't look like she was restrained, involved in an MVA. She's going at least 25-30 miles an hour. She hit a tree. All airbags deployed, front windshield was starred. She has pinpoint pupils. Not very cooperative. I've got a pressure right now of 100 over 70. Heart rate's 122. She is 92 to 93% room air. She's in control of her airway. She's not about every now and again, but she's easily aroused. She also had two children in the backseat of the car. A [REDACTED], a [REDACTED]. Both are complaining of head pain. They were not restrained at the time of impact either. Significant damage to the front end of the vehicle. Like I said, I'm able to do a three lead on her, but to put a C collar on her and third and IB and anything like that, I can't get that done. No worries. Alright, what's your ETA? Probably about five to seven. Alright, we'll see you then. Alright, thanks. Bye. Bye.</t>
  </si>
  <si>
    <t>UH. Go ahead. Hello? I can hear you. Hello, I'm bringing you a pediatric trauma. Repeat, this is a pediatric trauma. A seven-year-old male that was hit by a car. He's currently [REDACTED]. He's complaining of left hip pain where the car hit him. We have him currently on a C color. He's putting no other pain. We have a C color placed. [REDACTED]. I currently have a pulse of 118, a blood pressure of 124 over PELP, a respires of 22 times, escrow 2 of 98. We currently have an IV of AC. We'll be at your facility in about 10. Do we know how fast the car was going? The car was going about 30 to 35. Any head injury? A little scratch on his nose, but he does not, he thinks that was from him getting like a scripted problem. Okay. His head does not hurt at all. All right. Is his pelvis stable? Yes, his pulse is at 118. His pelvis or his hip? Yes. Okay, it's stable. Yes. All right. Well, we'll see you guys when you get here. I'll let rainbows know you're on your way. Thanks. Thanks. Bye.</t>
  </si>
  <si>
    <t>UH. Go ahead. Hello? I can hear you. Hello, I'm bringing you a pediatric trauma. Repeat, this is a pediatric trauma. A seven-year-old male that was [REDACTED]. He's currently A&amp;O times four. He's complaining of left hip pain where [REDACTED]. We have him currently on a C color. He's putting no other pain. We have a C color placed. He is answering all of my questions. I currently have a pulse of 118, a blood pressure of 124 over PELP, a respires of 22 times, escrow 2 of 98. We currently have an IV of AC. We'll be at your facility in about 10. Do we know how fast the car was going? [REDACTED]. Any head injury? A little scratch on his nose, but he does not, he thinks that was from him getting like a scripted problem. Okay. His head does not hurt at all. All right. Is his pelvis stable? Yes, his pulse is at 118. His pelvis or his hip? Yes. Okay, it's stable. Yes. All right. Well, we'll see you guys when you get here. I'll let rainbows know you're on your way. Thanks. Thanks. Bye.</t>
  </si>
  <si>
    <t>to be you at your a UH Cleveland EMS my six bringing you a patient good case we're bringing you a pediatric not to trauma fell from approximately six feet onto her head [REDACTED] that's a vital story a pressure of one swell or 60 heart rate is 110 is 100% air 20 established six up are you there yeah can you hear me yeah yeah I got how old is she five years of age she's a pediatric not to trauma okay I got that got the vital what's your ETA and is she awake right now you know I'll permit a shadow over the LSD I know I will call back and let him know you're coming thank you you</t>
  </si>
  <si>
    <t>Hey UH, this is Euclid, Medic 1. We're coming at you with a 13 year old female. She was [REDACTED]. [REDACTED]. The driver said [REDACTED]. She now has right knee pain. The knee is slightly swollen but no obvious fractures, breaks or anything. She also has pain around the shin area. Other than that, she denied us giving her IV. She said she's kind of scared of needles. She's alert and oriented. Last vitals were 165 over 98, 99 on room air and 104 pulse. No medical history. She should be there in 10ish. So how fast does he think he's going? From what I got from it, so the guy was at a complete stop and then he sped up. So I'm sure he got up to maybe, because [REDACTED], probably 10, 15, I don't exactly know. But [REDACTED]. Okay. She said [REDACTED] and then [REDACTED]. Oh, she was on a scooter? Yes. Alrighty. They're gonna they'll probably make her, yeah, they are going to make her trauma. Yeah. How far are you out? We're going to be about 10 minutes out. Okay. Like I said, we were going to grab an IV. She said she's scared of needles. Okay, that's fine. Okay. We'll see you. Bye. See you. Bye.</t>
  </si>
  <si>
    <t>Hey, good evening. This is Cleveland 13. I'm bringing you an eight-year-old female [REDACTED]. Probably about [REDACTED]. [REDACTED]. [REDACTED]. She was [REDACTED]. She's A&amp;O times three right now. Doesn't sound like she had any loss of consciousness. She has C-collared. She has a hematoma to the anterior forehead. Pupils are equal and reactive. No other injuries. She does have, I'm sorry, abrasions to the lip. Pressure right now is 116 over 76. Heart rate is 106. 100% room air. We do have a line, and we should be there. It looks like science and tech on the monitor. We should be there in about five minutes. All right. We'll see you guys when you get here. Thanks. Bye. Bye.</t>
  </si>
  <si>
    <t>Hi, this is Cleveland Medic 17 with Patient Care Report. Who is this? Cleveland EMS Medic 17. Oh, okay, I can hear you. Go ahead, 17. All right, so we are en route to you all with a 13-year-old male. He was [REDACTED]. He's unsure of how fast he was going. He doesn't know what the top speed was, but he said it was going pretty fast. He is complaining of pain in his left elbow and left knee. The left elbow does appear to be visibly swollen, but I would not call it gross deformity. The left knee is unremarkable in observation. He is guarding his left elbow pretty good, probably the most severe pain. But he's fully alert and oriented, did not lose consciousness. He's got a lot of consciousness. Vitals are stable. He's got blood pressure 119 over 85 with a pulse of 94. Respiration is 24. 96% on-room air. He has no medical history, but his glucose is 171. Our ETA is going to be about 10 minutes. So you're unsure how fast he was going? Yeah, he was. He was riding with... He and his friend were riding it. He does not know what the top speed was. He can't even give an estimate of how fast it was going. I mean, you know, he's 13. Okay, so are we talking like top speed or like first gear? No, no idea. I would say so. This looks like a kid's size ATV. Yeah. I would say at most he might have been going 25 miles an hour. I don't see those things going faster than that. Okay, okay. Okay. Yeah. Okay. Okay. Okay. Okay. Okay. No loss of consciousness? That's correct. Okay. No concern for, do you know what his GCS is? I would say his GCS is 15. Okay. And no signs of, like, paralysis or anything related to the C-spine? That's correct. He was, despite his pain in his knee, he was able to stand and take a few steps, and he denied any pain in his head or neck, and he refused a C-collar. Okay. All right. I will take all this information, sir, and I will relay it to PEDS, and let them know you'll be here in, how soon was your ETA again? Ten minutes. Ten minutes. Okay. Thanks. Thank you.</t>
  </si>
  <si>
    <t>UH. Hey UH, it's Cleveland Medics 6. We are currently coming to you with a two-year-old female. She was under strained, front passenger and a MVA. Moderate front end damage, sir. Heavy front end damage. [REDACTED]. She's got a pretty pretty significant contusion to the left side of her head. [REDACTED]. [REDACTED] vitals currently are 96 heart rate, sinus on the floor 120 over 82 was the last pressure. She's 96 percent. Lung sounds are clear and equal. We've got a 28 respiratory rate. Other than the head contusion, she definitely has some injuries inside her mouth. No deformity to any of the joints. Pupils were equal. We're gonna be there in probably like five, six minutes. Okay, approximately how many? How fast was the car going? Sir, damage wise, how fast do you think the truck, the car was going? 30, 35? 35 miles. She was in the front seat, unrestrained? Correct, yeah. Alright, we'll see you when you get here. Thank you. Thank you.</t>
  </si>
  <si>
    <t>UH. Hey UH, it's Cleveland Medics 6. We are currently coming to you with a two-year-old female. She was [REDACTED]. [REDACTED], sir. [REDACTED]. She was unconscious on our arrival. She's got a pretty pretty significant contusion to the left side of her head. She is regaining consciousness slowly. She's crying for us vitals currently are 96 heart rate, sinus on the floor 120 over 82 was the last pressure. She's 96 percent. Lung sounds are clear and equal. We've got a 28 respiratory rate. Other than the head contusion, she definitely has some injuries inside her mouth. No deformity to any of the joints. Pupils were equal. We're gonna be there in probably like five, six minutes. Okay, approximately how many? How fast was the car going? Sir, damage wise, how fast do you think the truck, the car was going? 30, 35? 35 miles. [REDACTED]? Correct, yeah. Alright, we'll see you when you get here. Thank you. Thank you.</t>
  </si>
  <si>
    <t>UH. Hey, this is you for medic one. We have a 14 year old male who was hit by a car at an unknown speed. He doesn't really have any complaints besides a little bit of like right hip pain. He's got a couple abrasions. Nothing obvious. Vitals are hard of 110, 96% of room there. Last [REDACTED]. Otherwise, he's a no four. We'll be there in like 10 minutes. He didn't lose consciousness or anything? I'm sorry? He didn't pass out or anything? No, no. Okay. I did not hit his head. Just his hips. And you said unknown speed? Yes. All right. Thanks. How far out? Yep. Probably about eight to 10. Okay. Thanks. Bye.</t>
  </si>
  <si>
    <t>UH. Hey, this is you for medic one. We have a 14 year old male who was [REDACTED]. He doesn't really have any complaints besides a little bit of like right hip pain. He's got a couple abrasions. Nothing obvious. Vitals are hard of 110, 96% of room there. Last pressure was 140 over 80. Otherwise, he's a no four. We'll be there in like 10 minutes. He didn't lose consciousness or anything? I'm sorry? He didn't pass out or anything? No, no. Okay. I [REDACTED]. And you said unknown speed? Yes. All right. Thanks. How far out? Yep. Probably about eight to 10. Okay. Thanks. Bye.</t>
  </si>
  <si>
    <t>UH Danny. Hey UH, this is Mentor Squad 1132 for report. Hey, what's going on? Bringing UH, three year old male coming from home. Patient fell backwards and that kind of was limp. He was having breathing, kind of breathing patterns of two grunts. We got him on blow by non rebreather right now. Got off to 99% on the blow by. Now he's [REDACTED]. His grandmother is riding with us, trying to keep him awake. Let's see, we got a C collar on him just in case. They said he only fell back once there and hit his head. He does have history of epilepsy. 114 over 63 on blood pressure. Heart rate was 110 and blood sugar is 153. He should be there in about 10 minutes. Does Graham have a heart attack? Does grandma think that he had a seizure and then fell back or? No, she says he just has a history. She said that he gets stiff after seizures, but he doesn't seem stiff at this time, so. And right now he's [REDACTED]. How's his breathing now? Because you said he was grunting. Pretty sparse. Getting a little sleep. Yeah, he was having like, it was like two weird breaths. They were both cleared bilaterally. What's his, um, trying to see. All right. Does he respond to painful or verbal or anything or he's just [REDACTED]? He's [REDACTED]. I'm just rubbing him. He [REDACTED]. Oh, okay. Okay. Okay, glaze. All right. I don't know. They might make this a trauma. Just because of he's not acting right. Right. So, and it was just a fall from standing backwards? Yeah, from one step fell back at his head. Oh, he was on, he was one step up? Yes. Okay. One step up. All right. Alrighty. If his condition or anything changes, give us a call back. Okay, I will. How far are you out? About ten minutes. Okay, awesome. We'll see you soon. Bye. Thanks.</t>
  </si>
  <si>
    <t>UH Danny. Hey UH, this is Mentor Squad 1132 for report. Hey, what's going on? Bringing UH, three year old male coming from home. [REDACTED] and that kind of was limp. He was having breathing, kind of breathing patterns of two grunts. We got him on blow by non rebreather right now. Got off to 99% on the blow by. Now he's having a hard time staying awake. His grandmother is riding with us, trying to keep him awake. Let's see, we got a C collar on him just in case. They said he only [REDACTED]. He does have history of epilepsy. 114 over 63 on blood pressure. Heart rate was 110 and blood sugar is 153. He should be there in about 10 minutes. Does Graham have a heart attack? Does grandma think that he had a seizure and then fell back or? No, she says he just has a history. She said that he gets stiff after seizures, but he doesn't seem stiff at this time, so. And right now he's still hard to wake up. How's his breathing now? Because you said he was grunting. Pretty sparse. Getting a little sleep. Yeah, he was having like, it was like two weird breaths. They were both cleared bilaterally. What's his, um, trying to see. All right. Does he respond to painful or verbal or anything or he's just completely kind of out of it? He's completely kind of out of it. I'm just rubbing him. He just kind of has a glaze right now. Oh, okay. Okay. Okay, glaze. All right. I don't know. They might make this a trauma. Just because of he's not acting right. Right. So, and it was just a [REDACTED]? Yeah, from [REDACTED]. Oh, he [REDACTED]? Yes. Okay. One step up. All right. Alrighty. If his condition or anything changes, give us a call back. Okay, I will. How far are you out? About ten minutes. Okay, awesome. We'll see you soon. Bye. Thanks.</t>
  </si>
  <si>
    <t>Children's ER, this is Dr. Weiss. I have a trauma report coming to you guys. I have a 16-year-old female. She was a [REDACTED]. It was a [REDACTED]. We did [REDACTED]. Here she's got an obvious broken left arm, some facial laceration. She was [REDACTED]. She's conscious alert oriented at this time. Current vital signs is a heart rate of 84, pressure of 99 on 64, respirations of 18, and setting at 97%. GCS is 15? Yeah, GCS is 15 right now. Has she gotten anything for pain at all? I'm actually just opening up my narcotics right now. I was going to give her some fentanyl and go from there. Okay, sounds good. We are probably 10 to 15. Alright, sounds good. We'll see you when you get here.</t>
  </si>
  <si>
    <t>Hi, this is Casey with Mercy Anna. I just want to call in a report. Sure, what's up? So I'm coming in with a 12-year-old female. She was found laying on the side of the road. She was reported as a missing person from her school. She left there on foot. She walked probably approximately six miles. She was last seen at like 5 p.m. She left with no shoes on. She was in a sweatshirt and light pants. And she was unsure. When it got called in, it was called in as a pedestrian struck by a car. She was unable to let us know, tell us if she was struck by a car. She is placed in a seat collar. Her heart rate is currently 108. Her blood pressure is 139 over 82. Her end title is 35. Her [REDACTED], and her FBO2 is 99% on room air. And we're approximately 20 minutes away from you guys. What's her GCS? 15. Yep. And she's currently just complaining of her feet hurt because, like I said, she walked approximately six miles in the cold with no shoes on. Any obvious injuries? Nope, not that we can see. Well, she does have a small laceration on her forehead and a small laceration on her finger, but that's about it. Okay. How old is she? She's 12, you said, right? Yep. Her birthday is 7-12-2010. Okay. We'll be on the off. I'll look out for her. Thank you. Okay. Thank you. Bye. Bye.</t>
  </si>
  <si>
    <t>Hi, this is Casey with Mercy Anna. I just want to call in a report. Sure, what's up? So I'm coming in with a 12-year-old female. She was [REDACTED]. She was reported as a missing person from her school. She left there on foot. She walked probably approximately six miles. She was last seen at like 5 p.m. She [REDACTED]. She was in a sweatshirt and light pants. And she was unsure. When it got called in, it was called in as a [REDACTED]. She was unable to let us know, tell us if she was struck by a car. She is placed in a seat collar. Her heart rate is currently 108. Her blood pressure is 139 over 82. Her end title is 35. Her respirations are 18, and her FBO2 is 99% on room air. And we're approximately 20 minutes away from you guys. What's her GCS? 15. Yep. And she's currently just complaining of her feet hurt because, like I said, she [REDACTED]. Any obvious injuries? Nope, not that we can see. Well, she does have a small laceration on her forehead and a small laceration on her finger, but that's about it. Okay. How old is she? She's 12, you said, right? Yep. Her birthday is 7-12-2010. Okay. We'll be on the off. I'll look out for her. Thank you. Okay. Thank you. Bye. Bye.</t>
  </si>
  <si>
    <t>ER, Dr. Rahman. Hi, Doc. It's Brent, Critical Care with Rapid Jamulands in Lockport. How are you? Hey, what's up? I have a 17-year-old female, [REDACTED]. She [REDACTED]. Again, was [REDACTED]. [REDACTED]. Does have a [REDACTED] and also a [REDACTED]. Good PMS. Conscious, alert, and oriented right now. Just wondering with the age there, if you're recommending more children's or more ECMC? I mean, you can pick either. Okay. I didn't know. Last time I came in, it was kind of a war, so I just didn't want to get into that again. No, no. You can come here or you can go to ECMC. It's up to you. Whatever's closer. Okay. I mean, we're coming from Oxford, so they're both the same, so... Okay. Yeah, no, other than the [REDACTED] and the [REDACTED], I think she definitely warrants a trauma eval. Yeah. What are her vitals? Uh, TECI 120s, blood pressure 132 over 82, SpO2s 97, 98, room air, GCS 15. Okay. Hang on a sec. Okay, well... Okay. All right. So you're coming here, right? Yeah, we'll come up to you. Okay. ETA? Uh, from Lockport, probably 25 to 30. 25 to 30. Okay. All right. Thanks. All right. All right. Thank you.</t>
  </si>
  <si>
    <t>Children's ED, this is Josh. Hi, can you hear me? Yep, I can hear you. This is Mercy Plant, we've got a patient coming in. Okay, go ahead. I have a four-year-old male, fell roughly, call it a couple hundred feet, into the Niagara Gorge. He has a pretty significant head injury, looks like it's possible skull fracture on the back of his head, bleeding semi-controlled with jaws and padding. He was pretty much unresponsive the whole entire time. We just RSI'd him. Unable to get the tube, but he does have an eye gel in with good readings and good stats. Okay, can you give me his vitals? Sorry, go ahead. His vitals, can you give them to me, please? Last heart rate was 130, pressure was 100 on 70s, and then he's now, we can't get a stat because his hands are so cold. Okay. Now, what's his respiratory rate? [REDACTED]. Okay, gotcha. And a GCS? Initially, he was probably maybe a four or a five at best. Just kind of groaning to painful stimuli, but nothing intelligible. Okay, and we said no tube, correct? He has eye gel only, yes. Okay, the eye gel, gotcha. But we have a great reading with that. What's the rest of the ETA? We're working on getting loaded up. We'll probably be there once we start. About, hi, 15, 20 minutes or so. Okay, and he has pulses? Yes, we have pulses. Okay. All right, anything else you guys have questions on? I don't think so. He's going to be a... Do you guys have any IV access? He's going to be a... Sorry, go ahead. IV access? Yes, 20 in the left AC. Okay. Gotcha. All righty, so 15, 20 minutes. You guys give him a call if he clinically... He changes. Are you flying, driving? How are you getting here? Flying. Flying. They're at the Niagara Gorge? Yeah? Okay. Yeah. All righty, guys, thank you so much. Thank you, bye. Bye.</t>
  </si>
  <si>
    <t>Sean's here, Dr. Shada. Hi, Dr. Shada. It's Jason Miles. How are you? Doing all right. How are you? Not bad. I got a [REDACTED] involved in a motor vehicle crash who has quite a bit of swelling and pain to the left femur. Okay. It does look like it's large and very tender to the touch. She won't move it. She does have a pulsed motor sensation at this time. Heart rate is 123. Is that what you said? Yes. Okay. Positive, pulsed. Heart rate's 126, 156 over 97, and we're probably 8 to 10 out. And how fast was the car going? And how was she hitting? She was not in a car seat. Not in a car seat? Correct. Okay. And it was on the front passenger side. I'm not sure. Where were you? Where were you sitting in the back seat, girl? On the same side as Mommy? Behind Mommy or on the other side? Oh, were you driving? Yeah. Okay. Driver side rear she was sitting in. Okay. The opposite side that was hit. So, problem, femur fracture, no car seat. How old? [REDACTED]. [REDACTED]. Okay. We'll see when you get in. [REDACTED]. He's just BLS. Okay. Come in for evaluation. Same thing, no car seat. Hit pretty good. He was in the other side of the car. Okay. So. All right. Thanks. All right? Yep. Bye. Bye.</t>
  </si>
  <si>
    <t>Sean's here, Dr. Shada. Hi, Dr. Shada. It's Jason Miles. How are you? Doing all right. How are you? Not bad. I got a four-year-old involved in a [REDACTED] who has quite a bit of swelling and pain to the left femur. Okay. It does look like it's large and very tender to the touch. She won't move it. She does have a pulsed motor sensation at this time. Heart rate is 123. Is that what you said? Yes. Okay. Positive, pulsed. Heart rate's 126, 156 over 97, and we're probably 8 to 10 out. And how fast was the car going? And how was she hitting? She was [REDACTED]. [REDACTED]? Correct. Okay. And it was on the front passenger side. I'm not sure. Where were you? Where were you sitting in the back seat, girl? On the same side as Mommy? Behind Mommy or on the other side? Oh, were you driving? Yeah. Okay. [REDACTED]. Okay. The [REDACTED]. So, problem, [REDACTED], [REDACTED]. How old? Four. Four. Okay. We'll see when you get in. I have a six-year-old. He's just BLS. Okay. Come in for evaluation. Same thing, [REDACTED]. [REDACTED]. He was in the other side of the car. Okay. So. All right. Thanks. All right? Yep. Bye. Bye.</t>
  </si>
  <si>
    <t>This is Dr. Ruano. Hi, I'm calling for a patient number. Okay. I have a 14-year-old male patient. He's got one GSW to the upper back. He's [REDACTED] right now. There is no exit wound. Bleeding's controlled. Vitals are stable. He's refusing an IV. I'm working on it, but we're like maybe not even 10 minutes away. 10 minutes. Okay, can I get his vitals? Yes, heart rate is 106. Okay. Pressure is 150 over 94. Okay. He's 95% room air. Okay. 22 respirations. Okay. GCS 15. 15. Yes. Okay, so GCS upper back without an exit wound? Yep. Okay. He's moving all extremities well. No paralysis. Back? Like is it on the right, the left, midline? It's upper, pretty close to midline. I think a little to the right side. Okay. But it's pretty midline. Okay. Okay. Okay. Are you guys good with that? Do you want me to go to ECM? No, no, no. Okay. Nope. That sounds great. We're just going to page it out as a trauma for when you guys arrive. Okay? Cool. Thank you so much. Like I said, I'm trying to get an IV. He doesn't want me to post him, but. We'll get one here if anything. All right. Cool. Thank you. Bye.</t>
  </si>
  <si>
    <t>This is Dr. Veruano. Hey, Doctor. This is Paramedic Hall with Tonawanda. We're en route with a 14-year-old male who was hit by a vehicle while he was walking across the street, going approximately 30 to 35 miles per hour. Significant intrusion on the upper passenger side of the windshield, approximately 2 inches. Awesome. A possible LOC, had some blurred vision, abrasions on the right elbow and his back. Last set of vitals, [REDACTED], heart rate 118, 95% on room air, glucose of 151. He's got an 18 left AC, 4 lead, and now complaining of a... And can I get his blood pressure and his respiratory rate? Sorry if I missed those. Yep. [REDACTED], respirations 18. And do you have a GCS? Is it 15? 15. Okay, awesome. What's your ETA? What's our ETA, Phil? 15. 15 minutes? Okay, great. We'll see you guys when you get here. Anything? Anything changes in the meanwhile, let us know, okay? All right, thank you. Thank you.</t>
  </si>
  <si>
    <t>This is Dr. Veruano. Hey, Doctor. This is Paramedic Hall with Tonawanda. We're en route with a 14-year-old male who was hit by a vehicle while he was walking across the street, going approximately 30 to 35 miles per hour. Significant intrusion on the upper passenger side of the windshield, approximately 2 inches. Awesome. A [REDACTED], [REDACTED], abrasions on the right elbow and his back. Last set of vitals, 15 over 66, heart rate 118, 95% on room air, glucose of 151. He's got an 18 left AC, 4 lead, and now complaining of a... And can I get his blood pressure and his respiratory rate? Sorry if I missed those. Yep. 115 over 66, respirations 18. And do you have a GCS? Is it 15? 15. Okay, awesome. What's your ETA? What's our ETA, Phil? 15. 15 minutes? Okay, great. We'll see you guys when you get here. Anything? Anything changes in the meanwhile, let us know, okay? All right, thank you. Thank you.</t>
  </si>
  <si>
    <t>This is Dr. Veruano. Hey, Doctor. This is Paramedic Hall with Tonawanda. We're en route with a 14-year-old male who was [REDACTED], [REDACTED]. [REDACTED]. Awesome. A possible LOC, had some blurred vision, abrasions on the right elbow and his back. Last set of vitals, 15 over 66, heart rate 118, 95% on room air, glucose of 151. He's got an 18 left AC, 4 lead, and now complaining of a... And can I get his blood pressure and his respiratory rate? Sorry if I missed those. Yep. 115 over 66, respirations 18. And do you have a GCS? Is it 15? 15. Okay, awesome. What's your ETA? What's our ETA, Phil? 15. 15 minutes? Okay, great. We'll see you guys when you get here. Anything? Anything changes in the meanwhile, let us know, okay? All right, thank you. Thank you.</t>
  </si>
  <si>
    <t>ER, Dr. Rahman. Hi, Dr. Rahman. It's MERS Control. How are you this morning? Hey, good. How are you? I'm good. I've got a report from StatMed of Act 12, and since I'm going to end up talking to you anyway, I figured I'd just call you directly. Okay. They are inbound 10 minutes to your roof with a [REDACTED] who was involved in a motor vehicle accident. [REDACTED] did have positive loss of consciousness, is awake, GCS of 15 at this time. Okay. Large scalp laceration going from the top of the head all the way into the forehead. Okay. Bleeding is controlled. And right now we've got a set of vitals of 96 over 63. Okay. Heart rate's 110 in sinus. Respirations are 18, standing at 97%. And like I said, they'll be on the rooftop in about 10 minutes or so. Okay. Sounds good. All right. Thank you. All right. Thank you. Bye-bye.</t>
  </si>
  <si>
    <t>Jones here, Dr. Chadda. Hi, Dr. Chadda. This is Jeff Medick with Twin City. I was calling ahead to you, and I'm bringing in a 15-year-old male with an open compound fracture. Ah, what happened? So he was [REDACTED], and [REDACTED]. He has obvious crepitus, and there's a small hole, some slight bleeding, so that's why we're calling it open. There's no bone sticking out or anything like that. What is it of? What bone? The right fibula. Right fibula. Okay. Yeah. Good PMS, good motion, good sensation. Pains like 5 out of 10 right now. Is he helmeted? I don't believe so. Okay. Okay. And, okay. You had vitals, like you mentioned? Yeah, blood pressure currently 143 over 78. Pulse is 80. Okay. And stats are 90% down in room air. 90%. GF? 15. 15, okay. All right. Any other complaints, neck pain, abdominal pain, loss of consciousness, anything? Nothing like that at all. Had a little slight nausea after he got loaded up and started. He's doing okay. So we got split it with a nice pack, and it's kind of helped to just stay in a little bit. Okay. And you mentioned he was [REDACTED]? Correct. It was a [REDACTED]. How old is he? 15. 15. Okay. How far out are you? Just like 20, 25 months. 20 months. Okay. We'll be on the lookout. All right. Thanks. Bye. Thank you. Bye. Bye. Bye.</t>
  </si>
  <si>
    <t>Edie, this is Dr. Vareto. Hi, this is Vareto with TwinCity. What's going on? I have a 13-year-old female who was hit by a car. Hit by a car? Okay. Yes. The business actually had a video of it. Okay. She was crossing the street when the car came. She hit the side of it, and you can see that she rolled, and [REDACTED]. Okay. So she has no, like, [REDACTED], and [REDACTED]. So, and she has a deformity on her left collarbone. Okay. Can I get her vitals? Heart rate's 106. BP is 125 over 73, and she's 100% on room air. And respiratory rate? Respiratory rate is 20. And GCS? [REDACTED]. Confused? So maybe 14? 14, yeah. Okay. She's following commands and everything. She just keeps confused. Like, [REDACTED]. Okay. Okay. Okay. What's your ETA? Probably about 13 minutes. 13 minutes. Okay. We'll see you when you get here. Thank you. All right. Thank you. Thanks. Thanks. Thanks.</t>
  </si>
  <si>
    <t>Edie, this is Dr. Vareto. Hi, this is Vareto with TwinCity. What's going on? I have a 13-year-old female who was [REDACTED]. [REDACTED]? Okay. Yes. The business actually had a video of it. Okay. [REDACTED]. [REDACTED], and you can see that [REDACTED], and she was unconscious for a period of time. Okay. So she has no, like, she didn't tell us her name or anything, and she keeps repeating herself. So, and she has a deformity on her left collarbone. Okay. Can I get her vitals? Heart rate's 106. BP is 125 over 73, and she's 100% on room air. And respiratory rate? Respiratory rate is 20. And GCS? She's confused right now. Confused? So maybe 14? 14, yeah. Okay. She's following commands and everything. She just keeps confused. Like, she couldn't even spell her name right. Okay. Okay. Okay. What's your ETA? Probably about 13 minutes. 13 minutes. Okay. We'll see you when you get here. Thank you. All right. Thank you. Thanks. Thanks. Thanks.</t>
  </si>
  <si>
    <t>Hey, it's Ryan. Hey, it's Jeff Abbott with the Mercy Flight. I just took this kid. Okay. You want TXA on him or anything? We gave him 80 a rock at 150 a ketamine. 80 a rock, 150K. What's the vitals? 152. 152 over 92. Sat at 96. And title is 62 right now and a heart rate of 136. I took a quick look with VL, but it was kind of the bougie was just jamming up, so I pulled right out and went right DL on the first pass. What's that, Sue? Seven. All right. How far away are you? Probably about 140 pounds. Give us about 25 by the time we get spun up. 25 minutes? Yeah. Any other obvious injuries? No, I don't see any. It just looks like head. He was [REDACTED] and [REDACTED]. Okay. Even though he has a head injury, I went and put a nasal airway in, but I pulled it right away because he was [REDACTED]. That's fine. I think it was a quench. You could hold off on him, man. Just keep him sedated. I would try to don't do any more ketamine. You can give him fentanyl and Versed if you need. Yeah, that's where I would go. I'd go fentanyl and Versed. That's fine. Or Procofol. Do you want TXA? No, you could hold off. Go ahead. You could hold off. That's fine. Okay. Hold off on it. All right. Thanks, guys. All right. Thanks, guys. See you in a bit.</t>
  </si>
  <si>
    <t>OSHAI emergency room, this is Dr. DePalma. Hi, Doctor. This is Ryan in Paramedics and AMR. I'm approximately 10 to 12 out with a 15-year-old male involved in an NDA on the 33. Significant MOI going about 65 miles an hour. Complaining of hip pain. Complaining of wrist pain, hip pain. He does have a laceration on the back of his head. And you didn't lose consciousness, right? No. No loss of consciousness. Did the airbags deploy and all that? Airbags? The car was on fire. The car was on fire? Yes. He got out before it was on fire, but the car was on fire when he got there. Was he able to walk at all after this? He was standing when I got to him, but he self-executed. Was he the driver or no? He was passenger. Brother was driving, brother's uninjured. Oh, wow. All right. And you said you're how far out? We're about, what, 10 out, Allie? 10. Would you say... We're about six to seven. [REDACTED]. You have one pressure is 134, 91, 99% 109 for the heart rate. I'm working on splitting the wrist right now. Do you have a respiratory rate for me? Yeah, about 20, 22. 20 to 22. All right. We will see you soon. Are we going just right into the trauma room? Yeah, we'll probably go to the trauma room. Yeah, thank you. Okay, thank you. All right, bye.</t>
  </si>
  <si>
    <t>OSHAI emergency room, this is Dr. DePalma. Hi, Doctor. This is Ryan in Paramedics and AMR. I'm approximately 10 to 12 out with a 15-year-old male [REDACTED]. [REDACTED]. Complaining of hip pain. Complaining of wrist pain, hip pain. He does have a laceration on the back of his head. And you didn't lose consciousness, right? No. No loss of consciousness. Did the airbags deploy and all that? Airbags? [REDACTED]. [REDACTED]? Yes. He got out before it was on fire, but [REDACTED] when he got there. Was he able to walk at all after this? He was standing when I got to him, but he self-executed. Was he the driver or no? [REDACTED]. Brother was driving, brother's uninjured. Oh, wow. All right. And you said you're how far out? We're about, what, 10 out, Allie? 10. Would you say... We're about six to seven. 15, which is very agitated. You have one pressure is 134, 91, 99% 109 for the heart rate. I'm working on splitting the wrist right now. Do you have a respiratory rate for me? Yeah, about 20, 22. 20 to 22. All right. We will see you soon. Are we going just right into the trauma room? Yeah, we'll probably go to the trauma room. Yeah, thank you. Okay, thank you. All right, bye.</t>
  </si>
  <si>
    <t>Hi, it's Dr. Hall, PZD. Hi, how are you? I'm Supervisor 942 for AMR. I'm going to have Truck 549 coming over to you guys with a 15-year-old gunshot victim, one to the upper left chest with what looks like an exit wound. They have it plugged up with an occlusive dressing. They're called up with some further vitals and everything. Just wondering if you guys want to just start TXA. I don't know what the pediatric dose would be for TXA. Gotcha. Where are you guys coming from? We just got a police call about this. Chico, Oaxaca. The same one. Okay, from Chico, Oaxaca. Yes. Probably the same one. How far out are they? Do you know? They'll be leaving here in about five, I would say 15 minutes, 20 at most. Okay. Do you have any vitals on this patient? Let me double check. I can probably get that from you from side to side. 143 for the heart rate. We're cycling the pressure now. 92 or 40 for the initial one. GCS, let's call it 14, maybe 13. [REDACTED]. Okay. All right. Are you guys giving anything in route? So we've got fluids going via 16. Do you want TXA? Do you want TXA for him? Is he like actively exsanguinating? Hello? Can you hear me? Yeah. Is he actively like exsanguinating or is the bleeding well controlled? Bleeding's controlled with the occlusive dressings. I just don't know about anything internally. You should be able to hold off on TXA if you guys are five minutes out. 15 to 20. Oh, sorry. I thought you said five. Yeah. Hold on one second. Let me just double check with my supervisor. Where did he go? Stop. Anyone? What's his T-mass? They want to know if they should get TXA. They want to know if they want to do it in route. He said he's not actively doing that from the outside. He said you can hold off. Yeah, we're okay. Okay. All right. No problem. All right. See you in a little bit. Thank you. Bye. Bye. Bye.</t>
  </si>
  <si>
    <t>Hi, Doc. It's Bob on Medicaid 82. I'm just giving you an early trauma alert. Okay. I got a approximately 15-year-old male who was the operator of a side-by-side, not restrained, no helmet, went off the road, rolled it over like four times. He and his two friends were both ultimately ejected. He's got a significant head injury. [REDACTED]. He's got a laceration on his cheek, abrasions on his opposite cheek and his jaw. [REDACTED]. He's [REDACTED]. He's had two previous lower arm fractures because he's had casts, but the right side looks like it's broke above it. Chest is good. Belly's good. Pelvis looks good. Caden, relax. Caden, relax. What would you say to him? I would say maybe 10, 11. Okay. Is he opening his eyes for you at all? [REDACTED]. Okay. Is he drawing to pain at all? [REDACTED]. But [REDACTED]? No, no. All right. Sorry, what other vitals? 166 over 98. Heart rate over 90. 103. Respiratory rate of 42. O2 sat right now. I got him on some O2, O2 sat 95 right now. Okay. We're going to be about 25 minutes to you. 25 minutes? Where are you guys coming from? Attica. Okay. So, like me? Oh, yeah. All right. We'll see you guys soon. All right. Thanks. Thanks. Bye.</t>
  </si>
  <si>
    <t>Hi, Doc. It's Bob on Medicaid 82. I'm just giving you an early trauma alert. Okay. I got a approximately 15-year-old male who was the [REDACTED]. [REDACTED]. He's got a [REDACTED]. He's combative. He's got a laceration on his cheek, abrasions on his opposite cheek and his jaw. Not really responsive very much. He's screaming and doesn't listen to us at all. He's had two previous lower arm fractures because he's had casts, but the right side looks like it's broke above it. Chest is good. Belly's good. Pelvis looks good. Caden, relax. Caden, relax. What would you say to him? I would say maybe 10, 11. Okay. Is he opening his eyes for you at all? Occasionally. Okay. Is he drawing to pain at all? Yes, that he will do. But he's not, like, making any purposeful noises or anything? No, no. All right. Sorry, what other vitals? 166 over 98. Heart rate over 90. 103. Respiratory rate of 42. O2 sat right now. I got him on some O2, O2 sat 95 right now. Okay. We're going to be about 25 minutes to you. 25 minutes? Where are you guys coming from? Attica. Okay. So, like me? Oh, yeah. All right. We'll see you guys soon. All right. Thanks. Thanks. Bye.</t>
  </si>
  <si>
    <t>Dr. Bowden, can I help you? How you doing? It's Chris Ford with Mercy Flight. Hey. Hey, how are you? We're coming up from Olean with that transfer from the ATV with a head injury. Just wanted to give you an update on it. We're about 20 minutes out. Okay. Do you have kind of the rundown? Did you kind of get the rundown on her? Yeah, subdural hematoma, pneumocephalus, skull, or orbital fracture. Yep. Yep. Looks like a pneumo as well. Left apical pneumo. So right now, so she got 500 of Kepa, 600 of Anstap. Well, let's see, 45 milligrams of ketamine while she's in ER total over about an hour, hour and a half. C-collars in place for us. She's been continuously sedated on ketamine, 1.5 mg per kg per hour, and she's been resting comfortably for us. She did have one episode en route of a pretty good amount of emesis for us. From what we heard, that was the first round of emesis that we had throughout the entire process. But she did have that for us. Most recent set of vitals, a [REDACTED], 114. We're 68. End tidal, we have her on end tidal nasal cannula, 38. So the rest are at 31. Set at 100% on two liters. Other than that... Why is she on two liters? Was she hypoxic or anything? No. It's just we have her on because just because the end tidal nasal cannula, that's the most she was with it. Gotcha. Okay. Yep. I don't know if she, I don't believe she ever had any hypoxic episodes. So even when she was off it doing some swaps, she was still at 100. All right. Is she... Is she arousable? She was. She was very... For the staff, she was very agitated and confused. Anytime she would flail around, she wasn't sitting still. For us, she tries just to get up. She's not responsive and didn't really follow command. Although when we got to her, she was already pretty sedated with some ketamine. But when she'd kind of come out of it, she wouldn't sit still. So they had her continuously sedated. Okay. Is she getting continuous ketamine now? Yeah. Yep. 1.5 microkits per hour. All right. Yeah, I'd rather... I mean, I would feel better if you turn that off because our neurosurgeons are going to want to get an exam on her. Okay. I mean, if she really gets combative and unmanageable, I mean, we could always bolus her with a dose or something. Okay. But if we're able to get that off and start getting her back to a normal mental status, that would probably be really good. That would be really preferable. All right. Yep. Sounds good. We're just on the 400. We're about 20 minutes out, so that should give us enough time. We'll shut off. Oh, you're not flying. No, no, no. We're on the ground. Yeah. So we've got... We're about an hour into this. Oh, I got you. Okay. All right. We'll see you in a little bit. Thanks. All right. Sounds good. Thank you very much. Bye. Bye.</t>
  </si>
  <si>
    <t>Dr. Bowden, can I help you? How you doing? It's Chris Ford with Mercy Flight. Hey. Hey, how are you? We're coming up from Olean with that transfer from the ATV with a head injury. Just wanted to give you an update on it. We're about 20 minutes out. Okay. Do you have kind of the rundown? Did you kind of get the rundown on her? Yeah, subdural hematoma, pneumocephalus, skull, or orbital fracture. Yep. Yep. Looks like a pneumo as well. Left apical pneumo. So right now, so she got 500 of Kepa, 600 of Anstap. Well, let's see, 45 milligrams of ketamine while she's in ER total over about an hour, hour and a half. C-collars in place for us. She's been continuously sedated on ketamine, 1.5 mg per kg per hour, and she's been resting comfortably for us. She did have one episode en route of a pretty good amount of emesis for us. From what we heard, that was the first round of emesis that we had throughout the entire process. But she did have that for us. Most recent set of vitals, a heart rate of 85, 114. We're 68. End tidal, we have her on end tidal nasal cannula, 38. So the [REDACTED]. Set at 100% on two liters. Other than that... Why is she on two liters? Was she hypoxic or anything? No. It's just we have her on because just because the end tidal nasal cannula, that's the most she was with it. Gotcha. Okay. Yep. I don't know if she, I don't believe she ever had any hypoxic episodes. So even when she was off it doing some swaps, she was still at 100. All right. Is she... Is she arousable? She was. She was very... For the staff, she was very agitated and confused. Anytime she would flail around, she wasn't sitting still. For us, she tries just to get up. She's not responsive and didn't really follow command. Although when we got to her, she was already pretty sedated with some ketamine. But when she'd kind of come out of it, she wouldn't sit still. So they had her continuously sedated. Okay. Is she getting continuous ketamine now? Yeah. Yep. 1.5 microkits per hour. All right. Yeah, I'd rather... I mean, I would feel better if you turn that off because our neurosurgeons are going to want to get an exam on her. Okay. I mean, if she really gets combative and unmanageable, I mean, we could always bolus her with a dose or something. Okay. But if we're able to get that off and start getting her back to a normal mental status, that would probably be really good. That would be really preferable. All right. Yep. Sounds good. We're just on the 400. We're about 20 minutes out, so that should give us enough time. We'll shut off. Oh, you're not flying. No, no, no. We're on the ground. Yeah. So we've got... We're about an hour into this. Oh, I got you. Okay. All right. We'll see you in a little bit. Thanks. All right. Sounds good. Thank you very much. Bye. Bye.</t>
  </si>
  <si>
    <t>Hey, Doc, how are you? Good, how are you? Good. I just have a quick patient update here for you. Sure. So, I'm coming in about six minutes out. We have an eight-year-old male. He was crossing the street. He got struck by a truck going approximately 20 to 25 miles an hour. Unknown laws of consciousness. [REDACTED]. [REDACTED]. Two pretty significant methamphetamines right above his right eye and on his right temple. He does seem pretty... [REDACTED]. Okay. And I do have vitals for you when you're ready. Perfect. I am ready. He's been pretty hypertensive throughout. Less pressure was 170 on 100, 115 for heart rate, and 97 on rare. Okay. Are his pupils equal, Henry? Are they equally active? Yes. Pupils are equally active. Full TMS in all extremities. No other complaints. That's out of his head. Okay. All right. You guys are about six minutes out? Yes, ma'am. Okay. I'll see you soon. Thank you, doc. Appreciate it. Thank you.</t>
  </si>
  <si>
    <t>Hey, Doc, how are you? Good, how are you? Good. I just have a quick patient update here for you. Sure. So, I'm coming in about six minutes out. We have an eight-year-old male. [REDACTED]. [REDACTED]. Unknown laws of consciousness. He's insane. He doesn't remember what happened. Two pretty significant methamphetamines right above his right eye and on his right temple. He does seem pretty... He's alert and rancid, but he doesn't seem kind of confused about what happened. Okay. And I do have vitals for you when you're ready. Perfect. I am ready. He's been pretty hypertensive throughout. Less pressure was 170 on 100, 115 for heart rate, and 97 on rare. Okay. Are his pupils equal, Henry? Are they equally active? Yes. Pupils are equally active. Full TMS in all extremities. No other complaints. That's out of his head. Okay. All right. You guys are about six minutes out? Yes, ma'am. Okay. I'll see you soon. Thank you, doc. Appreciate it. Thank you.</t>
  </si>
  <si>
    <t>TCD is Dr. Hall. Hi, my name is Aiden. I'm a paramedic student with AMR. I'm on the way to you with a 15-year-old female involved in a motor vehicle accident. LLC for about 10 seconds. Was not wearing a helmet. She does have some bleeding coming from her left ear. Was she in an R? Sorry. No, she was riding an ATV. Oh, I thought you said motor vehicle accident. Okay. Yeah, ATV accident. Sorry. That's okay. Vitals are as followed. She is currently 42 for a heart rate. Sinus break. 100% on room air. Working on a new pressure right now. She was a little soft. What's a little soft? Like what is that? I'll tell you. Just 118 over 74. Okay, that's fine. Yeah, 109 for a blood sugar. She's got an 18 in her right biceps. That's currently and she's got 500 back going through. Okay. What is her mental status? Like what is her GCS right now? GCS is 15. 15. Okay. And is she in any pain? That's just a really low heart rate. Just want to make sure she's not like. Yeah, she's [REDACTED] and then [REDACTED]. Okay. And that's a true heart rate of 42? Yep. Okay. And she's meditating normally. So you're not concerned about herniation or anything like that. Nope. Okay. How far out are you guys? Uh, about five minutes. Five minutes? Yep. All right. We'll see you then. Thank you. Yep. No problem. Bye-bye. Bye-bye.</t>
  </si>
  <si>
    <t>Children's Air, this is Dr. Weiss. Hi, this is Brittany with AMR. Hey, thank you. Sorry again to make you call this number, but this way it's recorded, so thank you. No problem. So I have an 11-year-old. He was riding his bicycle down the street and was struck by a vehicle going about 30, 35 miles per hour. Okay. He [REDACTED]. [REDACTED]. Right now he's just complaining of less leg pain. He cannot move that leg. I do not know any obvious deformity. And I do have his helmet with me. There is some damage to his helmet. Okay. His pressure was 110 over 64. Okay. Heart rate 116. Okay. O2-98 room air. Okay. And we'll be there in about five minutes. Okay. GCS is 15 other than the amnesia? Yeah. [REDACTED]. Okay. Sounds good. And has he needed anything for pain or anything yet? At this point? No. We're BLS. Okay. Sounds good. When you guys get here, we're going to have you guys start in the trauma room. Okay. Sounds good. Thank you. Awesome. Thanks. Thanks. Thanks.</t>
  </si>
  <si>
    <t>Children's Air, this is Dr. Weiss. Hi, this is Brittany with AMR. Hey, thank you. Sorry again to make you call this number, but this way it's recorded, so thank you. No problem. So I have an 11-year-old. He was [REDACTED]. Okay. He reports positive LLC. He can't really tell me everything that happened. Right now he's just complaining of less leg pain. He cannot move that leg. I do not know any obvious deformity. And I do have his helmet with me. There is [REDACTED]. Okay. His pressure was 110 over 64. Okay. Heart rate 116. Okay. O2-98 room air. Okay. And we'll be there in about five minutes. Okay. GCS is 15 other than the amnesia? Yeah. He's answering all my questions appropriately. Okay. Sounds good. And has he needed anything for pain or anything yet? At this point? No. We're BLS. Okay. Sounds good. When you guys get here, we're going to have you guys start in the trauma room. Okay. Sounds good. Thank you. Awesome. Thanks. Thanks. Thanks.</t>
  </si>
  <si>
    <t>Dr. Mountain, can I help you? Yes, sir. This is Greg Breen with All-Star EMS. I have a transfer coming from UPMC Chautauqua in Jamestown, New York. Coming up for a ruptured adrenal gland. I was informed to call ahead. We just got on the 190, so we're about 10 to 15 out. Was this the [REDACTED]? Yeah, the BMX. [REDACTED], yeah. Oh, BMX, okay. How old is the kid? 13. Male? Yes. Is his GCS and vitals okay? Yes, they are. 1-2-2 over 8-1, 95 on room air, and 76 heart rate, and he has been sleeping pretty much since we left Jamestown. All right. Can you set about 10 minutes? Yeah, about 10 minutes. Okay. Thanks for the call. We'll see you when you get here. You're welcome. All right. Bye. Bye.</t>
  </si>
  <si>
    <t>Children's Emergency Department, this is Dr. Ruano. Hey, this is the paramedic with AMR. Is this the ER? Yes, it is. How are you doing? Doc? Yeah. I've got a beautiful, I'm not saying you're false. I have a, I had a pediatric trauma code. Ten years old, possibly 11. [REDACTED]. [REDACTED]. We're looking at about a 15 to 20 minute extrication time. She's got abrasions all over her body. She was found as physical. Found as physically. Okay. Yeah, found as physical. She looks like she's got a huge skull fracture. Looks like a report style right across the bridge of her nose. [REDACTED]. I currently, she's intubated, six tube. I got two lines. I got some fluids running. Right now, bolus of 150. I currently have a heart rate of 172. Standing at 100% with occasional agonal respirations at this time. Entitled CO2, we're holding at 35 to 36. And the last blood pressure is 129 over 66. And I'm currently on Grand Island, so I'm still probably maybe 10 to 15 from you. 10 to 15. And agonal respirations with bagging? Yes. Like, she'll take that gas full of breath and suck the bag down a little bit. It's only about four breaths a minute right now. Okay. We got active bleeding out of the left nostril down. Bleeding. Okay. Bleeding from left nostril. And it looks like there's a skull fracture as well. Oh, yeah. It looks like it. She's got a hemiformal beginning between her eyes. Okay. Her nose is completely depressed between her eyes. Nose is depressed. Okay. Eyes are slightly bulged out. She did have some blood in the back of the throat when I did intubate her. Okay. The bleeding from her nostril, I did a halo test. I did a 83-volt spinal fluid in it at this time. Okay. No other obvious deformities other than scrapes and abrasions all over her body. So it was a 20 to 30-minute extrication. She didn't have pulses when you got to her. How long did it take before you got ROSC? The fireman did great CPR. Once we got her out, three minutes, and I had sinus attacks. Three minutes. Okay. And did she get any epi? No epi. Just CPR. No epi. Just CPR. CPR. Yes. Okay. Okay. Let me just see if my attending needs any questions. Give me one second. No. Okay. We're good. I got time. Okay. 10 to 15 minutes out. You have two IVs, and you said she's intubated, being bagged. Any just normal saline? Saline fluids going right now? Yes. I got about a 150 bolus. Do you want me to give anything more? No, that's fine. That's fine. All right. I got no seizure activity. Okay. Her pupils are better. They were fixed and dilated. Now they're mildly reactive and beginning to constrict with the light. Okay. So now they're somewhat reactive? Yes. Very sluggish, but I'm bouncing down the road here. Okay. That's okay. That's okay. Okay. And so GCS, I assume, was three when you arrived? Yes. Absolutely. Okay. She was pale, slightly mottled under the car even. Okay. Okay. Okay. So it was probably from impact to extrication a solid 30, 35 minutes. 30 and 35 minutes. Okay. From impact to extrication time, three more minutes with good CPR, and we got false effects. Okay. Okay. Okay. So you're 10 to 15 minutes out. You're at Grand Island right now. We'll see you guys when you arrive. If you need anything in the interim, please don't hesitate to call. Okay? All right. Thanks, Doc. We'll see you in a little bit. Thank you. Thank you. Bye.</t>
  </si>
  <si>
    <t>PCD is Dr. Hall. Hi, Doc. It's City of Lockport Paramedics calling about a patient that I'm bringing in to you guys. All right. I'm ready. All right. An eight-year-old female. She's conscious and breathing. She was involved in a [REDACTED]. The [REDACTED]. [REDACTED] for the road that they were traveling on. [REDACTED] when we got there by the police officers. [REDACTED] mostly. She does have [REDACTED]. She was in, like, a [REDACTED], you all know, car seat or anything. We do have a [REDACTED]. Her GCS is 15. Most recent set of vitals, heart rate, 124. Okay. Her blood pressure is 124 over 82. She's 98% on room air. Pupils are equal and reactive to light. So I'm just letting you know we're coming in. EPA, for us, goes probably like 15, 20 minutes. Okay. Did the airbags go off? I do have a name date of birth. It's in my phone. No, sorry. Did the airbags in the car go off? Oh, I'm sorry. The airbags. I thought you said info. Yes. There was [REDACTED]. Okay. All right. Well, we'll see you guys in about 20 minutes. Sounds good. Thank you. Thank you.</t>
  </si>
  <si>
    <t>Children's Emergency Department, this is Dr. Ruano. Hey, this is Michaela with OVEC calling in patient report. Okay. I have a 14-year-old female attacked by a pit bull. We do have a tourniquet applied to the left arm with reported tendon exposure. She also has injuries to her face, a puncture wound to her neck. I believe it is just superficial soft tissue. She has injuries to her right arm and right thigh. [REDACTED]. GCS is 15. Vitals are stable, 137 over 90, heart rate 106. She has 95% room air. Respirations are about 20 and regular. Like I said, she's [REDACTED]. Okay. And you said the tourniquet is on the left arm. Did it look like a pulsatile? I didn't see it. Police applied before I got there, and then the fire department applied the splint and the bandages prior to my arrival, and I didn't want to uncover them. I tried to evaluate it. I just left it all on. Okay. Did they say how it looked? Yeah. There was a volunteer paramedic on scene, but there was tendon exposure. Tendon exposure. Okay. Possible fracture? Yes. Okay. Okay. How far out are you guys? How far out are we? About 20 minutes. 20 minutes? Okay. Yes. Okay. I'm going to be able to get ID access. Perfect. How long has the tourniquet been on? The tourniquet was applied at around 1745. 1745. Okay. So about like 10 minutes? Yes. Try to take it off if you can, and like that we can assess it when they get here, because especially if there's like potentially an open fracture, if it's not spurting, that's okay. Okay. Yeah. Okay. Just because we don't want to risk further injury. Okay. Okay. And if it's spurting, I'm going to reapply it. Exactly. Do you want me to call back with another report? Up to you. Up to you. If it's definitely spurting, you can feel free to call me back, but otherwise you can just leave it as is. Okay. Sounds good. We'll see you then. Okay. Oh, just leave it. Oh, okay. My attending said you could just leave it. Do you want me to do it while you're on the phone? Wait, what's that? Yeah. Nope. Sorry. Sorry. Yep. You're good to remove it. Okay. Okay. Thank you so much. We'll see you guys soon. Bye. Bye. Bye.</t>
  </si>
  <si>
    <t>E.D. is Dr. Petrosky. Hey, Dr. Petrosky. This is Jonathan, paramedic with Twin City Ambulance. How are you? Good. How are you? Good. I'm coming to you with a 05-year-old male. He was with his mother at the playground doing the monkey bars when he fell from approximately 10 feet in height. It was witnessed he has a compound fracture on his left arm by his wrist and just below his elbow. There is some swelling. It's splinted. I gave him about 40 micrograms of fentanyl, and he's tolerating the pain right now. But other than that, there are no other injuries. It was witnessed, no LOC, didn't hit his head, and everything else is... Yep, I got [REDACTED]. I've got a pressure of 101 over... Sorry, one sec. 63, and I've got 97% on Ramir. Do you have an estimated weight on him? Yeah, he's about 24... Or, uh... So, 4... 44 pounds. He's about 20 kilos. About 20 kilos. Okay. Yeah. Okay, sounds good. How far are you guys? About 10 minutes. We're going to go light some sirens just because. All right, sounds great. Thank you. All right. See you, Doc.</t>
  </si>
  <si>
    <t>E.D. is Dr. Petrosky. Hey, Dr. Petrosky. This is Jonathan, paramedic with Twin City Ambulance. How are you? Good. How are you? Good. I'm coming to you with a 05-year-old male. He was with his mother at the playground doing the monkey bars when he fell from approximately 10 feet in height. It was witnessed he has a compound fracture on his left arm by his wrist and just below his elbow. There is some swelling. It's splinted. I gave him about 40 micrograms of fentanyl, and he's tolerating the pain right now. But other than that, there are no other injuries. It was witnessed, [REDACTED], [REDACTED], and everything else is... Yep, I got a pulse of 94. I've got a pressure of 101 over... Sorry, one sec. 63, and I've got 97% on Ramir. Do you have an estimated weight on him? Yeah, he's about 24... Or, uh... So, 4... 44 pounds. He's about 20 kilos. About 20 kilos. Okay. Yeah. Okay, sounds good. How far are you guys? About 10 minutes. We're going to go light some sirens just because. All right, sounds great. Thank you. All right. See you, Doc.</t>
  </si>
  <si>
    <t>E.D. is Dr. Petrosky. Hey, Dr. Petrosky. This is Jonathan, paramedic with Twin City Ambulance. How are you? Good. How are you? Good. I'm coming to you with a 05-year-old male. He was with his mother at the playground [REDACTED] when he [REDACTED]. It was witnessed he has a compound fracture on his left arm by his wrist and just below his elbow. There is some swelling. It's splinted. I gave him about 40 micrograms of fentanyl, and he's tolerating the pain right now. But other than that, there are no other injuries. It was witnessed, no LOC, didn't hit his head, and everything else is... Yep, I got a pulse of 94. I've got a pressure of 101 over... Sorry, one sec. 63, and I've got 97% on Ramir. Do you have an estimated weight on him? Yeah, he's about 24... Or, uh... So, 4... 44 pounds. He's about 20 kilos. About 20 kilos. Okay. Yeah. Okay, sounds good. How far are you guys? About 10 minutes. We're going to go light some sirens just because. All right, sounds great. Thank you. All right. See you, Doc.</t>
  </si>
  <si>
    <t>Children's ER, this is Dr. Weiss. Hi, this is Joe, paramedic on Lake Q8 with a potential trauma notification. Okay, what do you got? I have a 12-year-old male who's riding an electric skateboard and took a header off of it. He was wearing a helmet, but he's [REDACTED], [REDACTED]. Okay. His blood sugar is 87. His vitals are 124 over 69, 99% of room air, 65 on the heart rate. Like I said, he's [REDACTED]. We can wake him up and kind of acknowledge that we're here, but [REDACTED] and [REDACTED] like that. Okay. What's his GCS? Is he moving spontaneously? Is he moaning spontaneously? Is he moving spontaneously? Yeah. Okay. Is he opening his eyes spontaneously or only to voice or only to pain? He opens them to voice. Okay. And then is he able to, when he's talking, is he incoherent? Is he [REDACTED]? Is he [REDACTED]? Mumbles. I asked him what year he said no and things like that. I haven't really gotten much out of him besides knowing. Okay. All right. Sounds good. And then... Okay. So how far away are you guys? We're just coming down Elm, so probably around five or ten minutes. Awesome. If you don't mind, if you haven't already, if you just wouldn't mind, would be able to throw him in a collar before you guys get here, that'd be great. Yep. He's got one. Awesome. Thanks. We'll see you guys when you get here. Thank you. Bye. Bye. Bye.</t>
  </si>
  <si>
    <t>Hi, it's Dr. Kowalski. Hi, Dr. Kowalski, paramedic Blake with AMR. Hi. I have a 17-year-old male stabbed to the back. Oh, Jesus. Okay. About thoracic level, just mid-thoracic. Lung sounds are clear a little bit to the right side. And he also got stabbed in the left shoulder. Conscious alert oriented. [REDACTED]. I'll let you know in a second. Heart rate 110, 96 on room air. Or, sorry, 96 on, I got him on high flow too because he felt a little short of breath. Lung sounds were clear bilaterally. As soon as the blood pressure comes up for you, I'll give you a number. Okay. [REDACTED]. And this one is, come on, today. He's going to slip out of the infusible. He's going to slip out of the infusible. You said the left side of the back? Or the right side of the back? Right side. Sit up a little while. Double G. Right side. Just to the right of the spine. Of course, it didn't, it cycled out on me. Okay, that's fine. And then the respiratory rate is what? Respiratory rate is about 20. Okay. He's just slightly short of breath. Like I said, might be a little diminished in the right lower. But, you know, it's a little bit. Uppers and left side are clear. Absolutely clear. I'm going to listen again in a minute when my partner decides to turn the siren off for a second so I can hear. Okay. We are coming from Niagara Falls. So, actually, we're in Toronto right now. We'll be there in about another 10, 15 minutes. Okay. Thank you so much. If anything, please just call us back. Okay? Absolutely. Thanks. Bye. Bye.</t>
  </si>
  <si>
    <t>Dr. Sellers, PZD. Hi, this is Jeff with MercyPlex6. Can you hear me now? Okay, I can hear you now. Go ahead. Okay. All right. Coming to you with a pediatric trauma alert. Ten-year-old female. She was [REDACTED]. [REDACTED]. Extended loss of consciousness. She does have a pretty good abrasion, bruising, and swelling to the face. She has an abrasion over her upper right quadrant, right on the rib line. She was complaining of pretty severe pain there. Right side lung sounds were slightly diminished for me, but it could have just been her guarding at that point. Yep. She is a GCS. Sorry, can you say that one more time? The phone cut out. GCS of? 13-1-3. Okay. And the rest of her vitals? A grade of 89. Blood pressure 90 over 55. Respirations 34 and 90 percent of her man. And we're going to... Sorry, what's your ETA? Can you say it one more time? I can't hear you. ETA? I can't hear you. I can't hear you. Thanks, appreciate it. Have a nice rest of your day. Hello? Okay. Thank you.</t>
  </si>
  <si>
    <t>Children's ER. Hi, it's Rob on Mercy Flight 9. How are you? All right. I've got a child from an MVA. She looks like [REDACTED], but we're unsure because both her parents were unresponsive. She was in a car seat. She was in a car seat in the back seat. It was a T-bone collision, 55. Impact was right behind her door. There was about a 12-inch intrusion. The car seat was intact. On presentation, the only response was a painful stimuli. Then she goes right back out again. Her blood pressure is 111 over 71. Her heart rate is 120. She's standing at 98% on room air. Respiratory rate of about 28. She's got a little bit of blood coming from the nose, but her head is unremarkable. Lungs are clear. Endometriosis is soft. No obvious signs of long bone fractures. Unknown on history, meds, or allergies. We'll put her in the helicopter now, and we'll probably need you in about 22 to 23 minutes. From a GCS perspective, like the rest, you said responding to painful stimuli like eyes and other stuff? That's right. What would you do? She responds to pain. She starts screaming to painful stimuli. She does open her eyes, but she won't give us any verbal response. She just cries, and then once we stop stimulating her, she goes right back to sleep. Okay. I'll have to come up with a score if you guys... You feel very equal and reactive. Her blood sugar is 186. We've got two IVs established, and like I said, we'll be there in about 22 minutes. And she was in the car seat in the car still? Like she wasn't rejected or anything like that, correct? No, she was not. She was still intact in the car seat, correct? Okay. All right. Sounds like we'll see you in about 20 minutes or so. Thanks. Thanks. Okay. Bye.</t>
  </si>
  <si>
    <t>Children's ER. Hi, it's Rob on Mercy Flight 9. How are you? All right. I've got a child from an MVA. She looks like she's about three, but we're unsure because both her parents were unresponsive. She was in a car seat. She was in a car seat in the back seat. It was a T-bone collision, 55. Impact was right behind her door. There was about a 12-inch intrusion. The car seat was intact. On presentation, [REDACTED]. Then she goes right back out again. Her blood pressure is 111 over 71. Her heart rate is 120. She's standing at 98% on room air. Respiratory rate of about 28. She's got a little bit of blood coming from the nose, but her head is unremarkable. Lungs are clear. Endometriosis is soft. No obvious signs of long bone fractures. Unknown on history, meds, or allergies. We'll put her in the helicopter now, and we'll probably need you in about 22 to 23 minutes. From a GCS perspective, like the rest, you said responding to painful stimuli like eyes and other stuff? That's right. What would you do? [REDACTED]. [REDACTED]. [REDACTED]. She just cries, and then once we stop stimulating her, [REDACTED]. Okay. I'll have to come up with a score if you guys... You feel very equal and reactive. Her blood sugar is 186. We've got two IVs established, and like I said, we'll be there in about 22 minutes. And she was in the car seat in the car still? Like she wasn't rejected or anything like that, correct? No, she was not. She was still intact in the car seat, correct? Okay. All right. Sounds like we'll see you in about 20 minutes or so. Thanks. Thanks. Okay. Bye.</t>
  </si>
  <si>
    <t>Children's ER. Hi, it's Rob on Mercy Flight 9. How are you? All right. I've got a child from an [REDACTED]. She looks like she's about three, but we're unsure because both her parents were unresponsive. [REDACTED]. [REDACTED] in the back seat. [REDACTED], 55. [REDACTED]. [REDACTED]. [REDACTED]. On presentation, the only response was a painful stimuli. Then she goes right back out again. Her blood pressure is 111 over 71. Her heart rate is 120. She's standing at 98% on room air. Respiratory rate of about 28. She's got a little bit of blood coming from the nose, but her head is unremarkable. Lungs are clear. Endometriosis is soft. No obvious signs of long bone fractures. Unknown on history, meds, or allergies. We'll put her in the helicopter now, and we'll probably need you in about 22 to 23 minutes. From a GCS perspective, like the rest, you said responding to painful stimuli like eyes and other stuff? That's right. What would you do? She responds to pain. She starts screaming to painful stimuli. She does open her eyes, but she won't give us any verbal response. She just cries, and then once we stop stimulating her, she goes right back to sleep. Okay. I'll have to come up with a score if you guys... You feel very equal and reactive. Her blood sugar is 186. We've got two IVs established, and like I said, we'll be there in about 22 minutes. And [REDACTED]? Like [REDACTED], correct? No, she was not. She was still intact in the car seat, correct? Okay. All right. Sounds like we'll see you in about 20 minutes or so. Thanks. Thanks. Okay. Bye.</t>
  </si>
  <si>
    <t>Here is Dr. Ramon. Hey, Doctor. How are you doing? I have a 15-year-old female who was on the hood of a car partying where the driver of the car had to brake where she fell onto the street and her right ankle got rolled over by one of the tires. She's got a pretty gnarly abrasion to the right ankle and swelling, but no real significant injury. I didn't know if you wanted to page that out as a trauma, so I'm calling you guys out of curiosity. Did she have any other injury? Besides that ankle itself, she's not complaining of anything else, but [REDACTED], I'm pretty sure. Do you have any idea how fast they were going? It actually doesn't really matter. Nothing. The police officers on scene said nothing fast. It was 15 to 20 miles an hour before she hit the brake and kind of just rolled over the ankle. The driver of the car. Do you have vitals? Yeah. 122 for the heart rates. 100% room air. 133 over 87 with the pressure. Okay. And no signs of head injury. GCS is 15 to the best you can get. Yeah, yeah. With what we're dealing with, there's alcohol containers everywhere and she's kind of [REDACTED]. But [REDACTED]. I'm not seeing any real obvious signs of head injury. Yeah. What would be your ETA? 10-15 minutes. Okay. All right. We'll talk it over, but thanks for the heads up. Sorry, what's that? Yeah, we'll talk it over, but thanks for the heads up. Yeah, yeah. I get you. Okay. All right. Appreciate it. Bye. Bye.</t>
  </si>
  <si>
    <t>Here is Dr. Ramon. Hey, Doctor. How are you doing? I have a 15-year-old female who was [REDACTED] where the [REDACTED] where she [REDACTED] and her [REDACTED]. She's got a pretty gnarly [REDACTED], but no real significant injury. I didn't know if you wanted to page that out as a trauma, so I'm calling you guys out of curiosity. Did she have any other injury? Besides that ankle itself, she's not complaining of anything else, but she's also intoxicated, I'm pretty sure. Do you have any idea how fast they were going? It actually doesn't really matter. Nothing. The police officers on scene said nothing fast. It was 15 to 20 miles an hour before she hit the brake and kind of just rolled over the ankle. The driver of the car. Do you have vitals? Yeah. 122 for the heart rates. 100% room air. 133 over 87 with the pressure. Okay. And no signs of head injury. GCS is 15 to the best you can get. Yeah, yeah. With what we're dealing with, there's alcohol containers everywhere and she's kind of acting a little drunk. But she can still answer questions correctly. I'm not seeing any real obvious signs of head injury. Yeah. What would be your ETA? 10-15 minutes. Okay. All right. We'll talk it over, but thanks for the heads up. Sorry, what's that? Yeah, we'll talk it over, but thanks for the heads up. Yeah, yeah. I get you. Okay. All right. Appreciate it. Bye. Bye.</t>
  </si>
  <si>
    <t>You are Dr. Rahman. Hey, Doc. This is Mercy. I got a patient coming in. Okay. I got a 16-year-old male driving an ATV at high speed, estimated on 70 miles an hour, not wearing a helmet, sorbed, missed a deer, got thrown off the quad. He claims he probably ejected maybe 15, 20 feet. Conscious alert oriented, denies any lost consciousness, GCS of 15. Vitals are absolutely dutiful, complaining of less rib pain, less femur pain, less hip pain. Can move everything, PMS times four. I got Zofran on board along with some fentanyl. Okay. GCS 15. Vitals, what are his vitals? [REDACTED], heart rate 78, 100% on room air. Okay. No head injury, no lost consciousness. You said just left rib pain, left hip pain. What else? And left femur pain as well. Okay. Okay. He's breathing okay? Yeah, lungs are clear and bilateral, no diminished breathing at all. Okay. All right. He'll probably be at your roof in like 25, a year or so. Okay. All right. All right, thanks. Thanks, Doug. Bye.</t>
  </si>
  <si>
    <t>Children's stat line, it's Dr. Bradfield. Hi, Doctor. This is Barry calling with Monroe Ambulance. I'm giving you a trauma alert on a patient we're bringing in. Can I give a report? Sure, what's up? I have a 13-year-old that was [REDACTED]. He [REDACTED]. He's got a severe laceration down in the femoral artery area. Going around his leg down by his groin in that area. The bleeding is controlled. It's probably a 10-inch deep open laceration. There was no loss of consciousness with the patient. He has no other complaints at this time. [REDACTED]. Has no neck pain. Neurologically is intact. I have an ID of 18 days started. He's had fentanyl and delfran, alert and oriented. He's been treated with about a 10 to 12 minute ETA. Do you have vitals for me? Yes, I do. Sorry. Blood pressure 135 over 82. Heart rate is 70. Normal sinus rhythm. 17 for respirations and 100% set on room air. GCS? 15. Okay. All right. We'll see you when you get here. We'll be there in about 10. Thank you. Thanks. Bye-bye. Bye. Bye. Bye. Bye. Bye.</t>
  </si>
  <si>
    <t>Children's ER, Dr. Rahman. Hi, this is Basic EMT with AMR. I have a [REDACTED], [REDACTED], TSW, not through and through. Upper left shoulder. Vital when you're ready. Upper left shoulder? Yep. Okay, not into the chest cavity? No. Okay. No head injury, no neck injury? Nope. Okay. All right, what is it? Pressure, 160 over 90. Okay. Heart rate of 62. Okay. He was 95 on Ramirez. Okay. Sorry, GCS 15. Okay, is the bullet still inside, or did it just go through? Yes, there's no exit wound. So there's a penetrating bullet inside? Yep. Okay, all right, sounds good. What's your ETA? Five minutes. Five minutes, okay. Yep. All right, thanks. Five. Five.</t>
  </si>
  <si>
    <t>Children's ER, Dr. Rahman. Hi, this is Basic EMT with AMR. I have a 14-year-old male, minor, [REDACTED], not through and through. [REDACTED]. Vital when you're ready. [REDACTED]? Yep. Okay, not into the chest cavity? No. Okay. No head injury, no neck injury? Nope. Okay. All right, what is it? Pressure, 160 over 90. Okay. Heart rate of 62. Okay. He was 95 on Ramirez. Okay. Sorry, GCS 15. Okay, is the bullet still inside, or did it just go through? Yes, there's no exit wound. So there's a [REDACTED]? Yep. Okay, all right, sounds good. What's your ETA? Five minutes. Five minutes, okay. Yep. All right, thanks. Five. Five.</t>
  </si>
  <si>
    <t>Hi, this is Nick with Mercy Play. Just wanted to pre-notify for a trauma we're applying on. Yeah. We're going to be inbound with a 13-year-old male who was in a go-kart type motor vehicle. He was hit by a pickup truck in a 55-mile-an-hour road zone. Unknown how fast the truck was going. There was pretty significant damage to the go-kart. Right now he has GCS of 15. We're in [REDACTED]. He was wearing a helmet. He did have constipal LOSD because he [REDACTED]. It's unsure. He has obvious right wrist deformity, injury to the left femur, and an avalanche into the left knee, and various abrasions throughout his body. Currently vitals are 135 over 80. Heart rate of 90. SpO2 is 100% on room air. He's got a total of 150 of fentanyl for pain. Management, we're loading the aircraft now. We should be on your rooftop in about 20 minutes. Sounds good. We'll see you when you get here. All right. Thanks. Thanks.</t>
  </si>
  <si>
    <t>Hi, this is Nick with Mercy Play. Just wanted to pre-notify for a trauma we're applying on. Yeah. We're going to be inbound with a 13-year-old male who was [REDACTED]. He was [REDACTED] in a [REDACTED]. Unknown how fast the truck was going. There was pretty [REDACTED]. Right now he has GCS of 15. We're in oriented person place time. He was wearing a helmet. He did have constipal LOSD because he cannot remember the entire event. It's unsure. He has obvious right wrist deformity, injury to the left femur, and an avalanche into the left knee, and various abrasions throughout his body. Currently vitals are 135 over 80. Heart rate of 90. SpO2 is 100% on room air. He's got a total of 150 of fentanyl for pain. Management, we're loading the aircraft now. We should be on your rooftop in about 20 minutes. Sounds good. We'll see you when you get here. All right. Thanks. Thanks.</t>
  </si>
  <si>
    <t>Children's Zero, this is Dr. Weiss. Hey, Dr. Weiss. My name is Joe Chares, hemothermetic with Twin City. How are you? Good. How are you? I'm doing all right. I'm bringing you a 13-year-old that [REDACTED]. Okay. He's got kind of just like an open wound right above the main genitalia there. His vitals are all stable. Pressure's 124 over 81. He's 95 on room air, 170. I did give him 50 of fentanyl just for the pain. We are probably about 20 minutes away or so. We're coming from a 10-team. Yeah. Sorry, where exactly is this? Sorry, where exactly is the laceration or the injury? It's kind of just like an open tear. It's right above the genitalia, but it looks like there's some involvement of the penis as well. Okay. So it's more like above at the base of the shaft of the penis more than like abdominal? Yeah. Yeah. Just kind of right above. Kind of like right at the belt. Right at the spine area, I guess, is the better way of saying it. Okay. Sounds good. It doesn't look like there's any scrotal involvement. Just the shaft looks like it might have been nicked with it. Okay. Sounds good. We'll see him when he gets here. All right. Thanks, Doug. You said your name is Dr. Reit? Yeah. W-I-E-S-E. W-I-E-S-E? Yep. All right. Thanks, Doug. Yep. Bye.</t>
  </si>
  <si>
    <t>E.D., this is Susanna. Dr. Veruano. Hi, my name's Maddie. I just wanted to give an alert for an incoming patient. Yeah. So I have a 17-year-old male. Was in a car with his dad. The car flipped over. They were going about 30 miles an hour. He seat belted. He self-exercised. Vitals are stable. 81 heart rate. 110 over 67. 100% on room air. Currently has an 18 in the left AC. Is collared. Only injury is an abrasion to right above the left eye. Right below the left eye. [REDACTED]. [REDACTED]. Pupils are equal in responses. He's just 15. And can I get his heart rate? Heart rate? It was 63. 63 in his stats? 100% on room air. Respirators are 18. Okay. Okay. How far out are you guys? We're about 10 out. 10 minutes. Okay. Sounds good. Thank you very much. We're coming from the city of Lac Fort. Oh, okay. Sounds good. Thank you. Bye. Bye. Bye. Bye.</t>
  </si>
  <si>
    <t>E.D., this is Susanna. Dr. Veruano. Hi, my name's Maddie. I just wanted to give an alert for an incoming patient. Yeah. So I have a 17-year-old male. [REDACTED]. [REDACTED]. He seat belted. He self-exercised. Vitals are stable. 81 heart rate. 110 over 67. 100% on room air. Currently has an 18 in the left AC. Is collared. Only injury is an abrasion to right above the left eye. Right below the left eye. He's a little lethargic. Might have hit his head. Pupils are equal in responses. He's just 15. And can I get his heart rate? Heart rate? It was 63. 63 in his stats? 100% on room air. Respirators are 18. Okay. Okay. How far out are you guys? We're about 10 out. 10 minutes. Okay. Sounds good. Thank you very much. We're coming from the city of Lac Fort. Oh, okay. Sounds good. Thank you. Bye. Bye. Bye. Bye.</t>
  </si>
  <si>
    <t>Emergency Department, this is Dr. DePalma. Hi, good evening. This is Firefighter Pizek with Fredonia Fire. We're coming in with a patient to your facility, just looking for a patient to pass down to you guys. Okay. How old is the patient? She is 16. And what's his story? So she was involved in an ATV accident down by us this evening. There was multiple patients. We got her. When we arrived on scene, she was already immobilized with a C-collar. She has a left wrist fracture. We happened to mobilize the SAM roller bandage. Do you know how fast the ATV was going? Unknown speed to us. Okay. Any head injury? She's complaining of being tired, but her pupils are perla. In terms of her head, she has a lot of pain in her head. She has a lot of pain in her head. She has a left temple laceration. We have bleeding control with a 4x4 roller guard. Was she wearing a helmet? No. Okay. And you said no loss of consciousness? Say that again? Did she have loss of consciousness? No loss of consciousness. No vomiting after? Correct. Okay. She remembers the event entirely. She's consistently answering my questions appropriately. So would you say her GCS is 15? Like her eyes are spontaneously opening. She's verbally talking to you and all her motor movements. Okay. And do you have some vital signs for me? Yeah. Let's see. The last that I have is 141 over 96. Prior to that, it was almost textbook. She's currently standing 99, 100 room air. Current pulse is 101, 102. And respiratory rate? [REDACTED]. Okay. And how far away are you guys? We're about 20 minutes. Okay. Thank you. All right. We will see you when you get here. Wonderful. Thank you for the help this evening. We'll see you. All right. Bye. Bye. Bye.</t>
  </si>
  <si>
    <t>Emergency Department, this is Dr. DePalma. Hi, good evening. This is Firefighter Pizek with Fredonia Fire. We're coming in with a patient to your facility, just looking for a patient to pass down to you guys. Okay. How old is the patient? She is 16. And what's his story? So [REDACTED] down by us this evening. [REDACTED]. We got her. [REDACTED]. [REDACTED]. We happened to mobilize the SAM roller bandage. Do you know how fast the ATV was going? Unknown speed to us. Okay. Any head injury? She's complaining of being tired, but her pupils are perla. In terms of her head, she has a lot of pain in her head. She has a lot of pain in her head. [REDACTED]. We have bleeding control with a 4x4 roller guard. [REDACTED]. Okay. And you said no loss of consciousness? Say that again? Did she have loss of consciousness? No loss of consciousness. No vomiting after? Correct. Okay. She remembers the event entirely. She's consistently answering my questions appropriately. So would you say her GCS is 15? Like her eyes are spontaneously opening. She's verbally talking to you and all her motor movements. Okay. And do you have some vital signs for me? Yeah. Let's see. The last that I have is 141 over 96. Prior to that, it was almost textbook. She's currently standing 99, 100 room air. Current pulse is 101, 102. And respiratory rate? It's about a 16. Okay. And how far away are you guys? We're about 20 minutes. Okay. Thank you. All right. We will see you when you get here. Wonderful. Thank you for the help this evening. We'll see you. All right. Bye. Bye. Bye.</t>
  </si>
  <si>
    <t>Oshawa Emergency Department, Dr. Sellish. Hello, this is Sean Bush with AT&amp;T with AMR. We're going to be bringing you a 12-year-old male struck by a motor vehicle going approximately 30-35 miles an hour. Caused a velocity on the impact. He's breathing. [REDACTED]. He's superficial cuts to his arms, legs, and to the back of his head. Also potentially a broken right leg. We haven't splinted up as is right now. I got that vital if you want. Yes, please. 136 over 83 for a pressure. 97% on room air. Heart rate of 119. And you got, we're GCS 14. [REDACTED]. [REDACTED]. [REDACTED]. Sorry. Respiratory rate. He's breathing a good 24. Okay. All righty. And how far away are you guys? We're about, how far? We're about eight minutes out from you guys. Eight? Okay. All right. Thanks so much. Yep. Thank you. Bye.</t>
  </si>
  <si>
    <t>Hi, it's Dr. Amborski. What can I do for you? Hello, this is Maya, paramedic with AMR. I am bringing you what I am told is a 14-year-old female who was struck by a vehicle going approximately 40 to 50 miles per hour. I would give her GCS probably about a, maybe a 6 at this point. She's [REDACTED]. She [REDACTED]. Hello, I've got vitals of 118 for a heart rate, 100% on Lumare, 123 over 85 for a blood pressure, and 135 for a BG. She's got bilateral 18s, and I am on the way to you. You'll be there in approximately 7 to 10 minutes. Okay, thank you. Thank you. Yep, thanks.</t>
  </si>
  <si>
    <t>PPD, Dr. Hall. Hi, I am calling with a trauma with Arcade Fire Department. All right. I have an 11-year-old male who has extreme hip pain. We do have it splinted at this time. He is missing a left pedopulse, and he does not have – or the left side is where the pain is. He's got some collarbone pain. He's got some neck pain. We do have his wrist splinted as well because we suspect that might be broken. What happened? Do you know? [REDACTED]. [REDACTED]. [REDACTED]. [REDACTED]. We've got more patients coming. More pediatric patients coming? You have his brother coming. Okay. So you should be getting a call about that one too. Okay. Do they have any idea? Like, was anyone ejected from the car? Did anyone die at the scene? Anything like that? We do have a patient being flown from the scene, but no DOAs. Okay. Any idea how fast the car was going? Does anyone have any suggestions? About 50. 55. This is a [REDACTED]. Okay. And was he [REDACTED]? I'm sorry? Was he [REDACTED]? Do you know? Were you in a seat belt? Yes. Okay. And what are his vitals? What are his vitals? So we have been splinting, so we haven't had a chance. Okay. But he is breathing and talking to us just fine. His pupils are responsive and equal. His O2 was at 95, I believe. Okay. Okay. Okay. Just because I'm going to page this out and they'll ask for it, I'll give, can I just hold on the phone while someone gets at least like a heart rate and a blood pressure, that would be? Yes, of course. We can work on that right now for you. Thank you. And how old is his brother? Got to get her to find out. I'm going to put something on your finger. Are you okay? Five, four, six, seven. Put something on your finger. Do I have your finger? I'm not seeing a problem. I got it. I'll be back. And putCL photos on that. Yeah. And will we get pPoSüm that one out? True. But when are the school gonna relax there. Okay. Good. And so my son-in-law. Well you know, I love my baby though. Yeah. God. Is your father. Your father. Yes, he's�er. Oh. All right, we've got a CO2 of 96 and a pulse rate of 97. Okay. Any blood pressure on him yet? Did you catch that? Yes, heart rate of 97, pulse ox in 96. Just waiting on the blood pressure. Okay. She's currently trying to get blood pressure. How old is his brother? I believe the brother is nine years old. Okay. And does he seem just as sick or injured or less so, or do you know? He's not in this ambulance, so I don't really care. That's fine. That's no problem. They should be receiving a call about him. Yeah, you should be getting a call about him shortly. Thank you. It's in your arm, okay? Can you move it out for me a little bit? There it is. That's his brother. Could you? I'm just telling him to hold. Okay. And your mama's going to see you at the hospital, okay? And mother should be en route to the hospital also. They're flying in. I'm sorry, did you say anything, Sarah? I wasn't paying attention. Yeah. Yeah. Yeah. Yeah. Yeah. Yeah. Yeah. Yeah. Yeah. Yeah. Yeah. Yeah. Yeah. Yeah. Yeah. Yeah. Yeah. Yeah. Yeah. Yeah. Yeah. Yeah. Yeah. Yeah. Yeah. Yeah. will you write the blood pressure that they give you down 110 over 70 110 over 70 110 over 70 all right thank you okay what's your eta uh we are in our cage so i'm going to say probably 45 to 50 minutes 45 to 50 minutes okay all right yeah and they will probably be running hot okay because of uh nighttime traffic okay okay thanks all right all right bye</t>
  </si>
  <si>
    <t>Children's ER, Dr. Kenyon. Hey, Dr. Kenyon. Jamie, I'm with you. How are you? Good. What's up? I have a [REDACTED] patient, [REDACTED], who was bit by a large dog. He has multiple puncture wounds to his chest and back. It looks like some are pretty deep. I currently have a seal on them now. I'd say he's very semi-unstable at this point. His heart rate is currently 177 sinus pack on the monitor. He is very pale, almost like shocky pale. And we're about 15 to 20 minutes out. Okay. And you said [REDACTED]. Do you have any other vitals on him for me? Right now, I have a heart rate of 178, which is sinus pack. I'm working on getting an SPO2 now, but I'm not getting anything. I'm going to put him on high flow here in a minute, and I have not yet gotten a blood pressure yet. Okay. And you said it's mainly to the chest and abdomen? To the chest, back, and abdomen. Chest, back, and abdomen. Okay. Sounds good. And do you know how big of a dog or what kind of dog? Same. Very large dog. Okay. All right. Cool. We'll see you when you get here. We're going to go to the code room. All right. Thank you. Thanks. Bye.</t>
  </si>
  <si>
    <t>Children's ER, Dr. Kenyon. Hey, Dr. Kenyon. Jamie, I'm with you. How are you? Good. What's up? I have a nine-month-old male patient, zero, nine-month-old, who was bit by a large dog. He has multiple puncture wounds to his chest and back. It looks like some are pretty deep. I currently have a seal on them now. I'd say he's [REDACTED] at this point. His heart rate is currently 177 sinus pack on the monitor. He is [REDACTED]. And we're about 15 to 20 minutes out. Okay. And you said nine months. Do you have any other vitals on him for me? Right now, I have a heart rate of 178, which is sinus pack. I'm working on getting an SPO2 now, but I'm not getting anything. I'm going to put him on high flow here in a minute, and I have not yet gotten a blood pressure yet. Okay. And you said it's mainly to the chest and abdomen? To the chest, back, and abdomen. Chest, back, and abdomen. Okay. Sounds good. And do you know how big of a dog or what kind of dog? Same. Very large dog. Okay. All right. Cool. We'll see you when you get here. We're going to go to the code room. All right. Thank you. Thanks. Bye.</t>
  </si>
  <si>
    <t>Children's ER, Dr. Kenyon. Hey, Dr. Kenyon. Jamie, I'm with you. How are you? Good. What's up? I have a nine-month-old male patient, zero, nine-month-old, who was [REDACTED]. He has [REDACTED]. It looks like [REDACTED]. I currently have a seal on them now. I'd say he's very semi-unstable at this point. His heart rate is currently 177 sinus pack on the monitor. He is very pale, almost like shocky pale. And we're about 15 to 20 minutes out. Okay. And you said nine months. Do you have any other vitals on him for me? Right now, I have a heart rate of 178, which is sinus pack. I'm working on getting an SPO2 now, but I'm not getting anything. I'm going to put him on high flow here in a minute, and I have not yet gotten a blood pressure yet. Okay. And you said it's [REDACTED]? To the [REDACTED]. [REDACTED]. Okay. Sounds good. And do you know how big of a dog or what kind of dog? Same. Very large dog. Okay. All right. Cool. We'll see you when you get here. We're going to go to the code room. All right. Thank you. Thanks. Bye.</t>
  </si>
  <si>
    <t>Hey, Doc. I'm coming here with a 16-year-old male, post-MBC, with positive LLC, GCS-14. Okay. What did you take off for? I'm sorry? The GCS-14. What did you take off for? For confusion. For confusion? Yes. Okay. Was he belted? Correct. Positive LLC. Was he belted? Yes. Okay. About 50 to 60 miles an hour with a rollover and a box truck. Rollover and what was that? And a box truck. Oh, a box truck. Okay. Do you have a set of vitals? Yep. [REDACTED]. Restorative rate of 20. Life pressure 142. Okay. 93. 98% on Romare. 98%? Correct. Okay. How far out? About 10. All right. We'll see what you get there. Thanks. Bye. Bye. Bye. Bye.</t>
  </si>
  <si>
    <t>Hey, Doc. I'm coming here with a 16-year-old male, post-MBC, with positive LLC, GCS-14. Okay. What did you take off for? I'm sorry? The GCS-14. What did you take off for? [REDACTED]. [REDACTED] Okay. Was he belted? Correct. Positive LLC. Was he belted? Yes. Okay. About 50 to 60 miles an hour with a rollover and a box truck. Rollover and what was that? And a box truck. Oh, a box truck. Okay. Do you have a set of vitals? Yep. Heart rate of 130, 130. Restorative rate of 20. Life pressure 142. Okay. 93. 98% on Romare. 98%? Correct. Okay. How far out? About 10. All right. We'll see what you get there. Thanks. Bye. Bye. Bye. Bye.</t>
  </si>
  <si>
    <t>Hello, Dr. Reeves. Hi, Dr. Reeves. This is Jeremy with AMR. I didn't have another number but you. I'm coming in with an 8-year-old from Niagara Falls that got struck by a vehicle going about 30 miles an hour in the road. Witnesses said that he did go underneath the vehicle, complaining of abdominal pain, head pain. He does have some minor abrasions. Lung stones are clear. Vitals are stable. There's a questionable LLC at the scene. He's got a collar on. BP is 126 over 64. [REDACTED]. SpO2 is 100%. And we're probably like 10, 15 minutes out. And then you said he went under? Yeah, that's what the witnesses said that saw it. And the troopers are saying probably about 30 miles an hour for the car. There's cars. I didn't have a stop sign. And he ran out in front of it. Okay. All right. And then what was that blood pressure again? 126 over 64. His [REDACTED] feet. And then he's 100% right over there. And GCS right now? 15. 15. Okay. All right. Yeah, we'll see when you get here. Okay. All right. Cool. All right. Thanks. Thank you. Bye. Bye.</t>
  </si>
  <si>
    <t>Hello, Dr. Reeves. Hi, Dr. Reeves. This is Jeremy with AMR. I didn't have another number but you. I'm coming in with an 8-year-old from Niagara Falls that got [REDACTED] in the road. Witnesses said that [REDACTED], complaining of abdominal pain, head pain. He does have some minor abrasions. Lung stones are clear. Vitals are stable. There's a questionable LLC at the scene. He's got a collar on. BP is 126 over 64. Heart rate of 86. SpO2 is 100%. And we're probably like 10, 15 minutes out. And then you said he went under? Yeah, that's what the witnesses said that saw it. And the troopers are saying probably about 30 miles an hour for the car. There's cars. I didn't have a stop sign. And he [REDACTED]. Okay. All right. And then what was that blood pressure again? 126 over 64. His heart rate is 80 feet. And then he's 100% right over there. And GCS right now? 15. 15. Okay. All right. Yeah, we'll see when you get here. Okay. All right. Cool. All right. Thanks. Thank you. Bye. Bye.</t>
  </si>
  <si>
    <t>Hello, this is Dr. Reeves. Hi, this is Fnaz with AMR. I'm going to be coming in with a 16-year-old who was involved with the NBA with a rollover. He rolled his car about three times, and he did hit his head, but no LOC. His pressure is 157 over 110, [REDACTED], 96% room air. The only injury I see so far is left knee abrasion. I'm sorry, it's breast burn. Okay, so can you repeat the vitals again one more time? Vital is one. [REDACTED]. Oxygen is 97 on room air. Pressure is 157 over 110. And he says there might be glass in his eyes as well, and he's complaining about left upper. Chest pain. Left upper chest pain. He's in the sleep out. Okay, and GCS is what right now? 50. Okay. Respiratory rate? Respiratory is perfect. Respirations are normal, 80. Okay. All right, how far out are you? We're about eight minutes out, ten minutes out. Ten minutes out, you got him collared and stuff? Yes. Okay. All right. We'll see you in ten. See you in ten. All right, cool. Thanks. No problem. Bye-bye. Bye.</t>
  </si>
  <si>
    <t>Hello, this is Dr. Reeves. Hi, this is Fnaz with AMR. I'm going to be coming in with a 16-year-old who was involved with the NBA with a rollover. He rolled his car about three times, and he did hit his head, but no LOC. His pressure is 157 over 110, heart rate of 120, 96% room air. The only injury I see so far is left knee abrasion. I'm sorry, it's breast burn. Okay, so can you repeat the vitals again one more time? Vital is one. The heart rate is 132. Oxygen is 97 on room air. Pressure is 157 over 110. And he says there might be glass in his eyes as well, and he's complaining about left upper. Chest pain. Left upper chest pain. He's in the sleep out. Okay, and GCS is what right now? 50. Okay. [REDACTED] Okay. All right, how far out are you? We're about eight minutes out, ten minutes out. Ten minutes out, you got him collared and stuff? Yes. Okay. All right. We'll see you in ten. See you in ten. All right, cool. Thanks. No problem. Bye-bye. Bye.</t>
  </si>
  <si>
    <t>Dr. Boughton, can I help you? Thank you. Hello, Timothy from Paramedics with AMR, giving you a further update on the trial. Traum coming in? Yep. So, [REDACTED], has a [REDACTED]. Heart rate is 64, blood pressure is 118 on 67. He is in respiratory arrest at this point, working on intubation at this point. So, he's got a pulse, heart rate is 118, or blood pressure is 118 over 67? Yes. Heart rate is 64? Okay. And you're trying to evade him now? Correct. All right. I have an ER physician that was on scene on board with me, and also a pediatric ER nurse on board with me. You have an EM doc on board with you? I have an ER doc on board with me that was on scene bypassing. Okay. What's your ETA? Still probably 15 minutes out. Or what are his pupils doing? What were his pupils doing? Fixing dilators. Okay. Are we moving on his legs? Move his legs around. Is he moving? Yeah. Okay. So, you said he has a pulse? Yes. Strong pulse. He's kind of moaning over it, but he's not really holding his own respiratory drive. Okay. Who's the ER doc that's with you? She's from downstate. Here on vacation, driving by. Oh, somebody on scene, not one of the EM residents. Okay. Yeah. All right. All right. This is the . Oh, . All right. Thanks. Any other injuries? All right. Is that there? That's unnoted now. ET tube's in. Okay. Thanks so very much. Okay. So, yes. About 15 minutes out. All right. You guys got the tube? He's got good breath?</t>
  </si>
  <si>
    <t>Hello, this is Paramedic Brovic, AMR 267. Call in with a pedestrian struck. Okay. What you got? I have a 10-year-old male. He was on a bicycle crossing the street. A car driving at an unknown rate of speed struck him, then reportedly backed over him. Patient does not remember the incident. He's having severe pain in the abdomen with tenderness all over. Otherwise, just has some abrasions, bruises on his extremities. He feels hot, thirsty. We have a heart rate of 92. He's 99% Rumer. Blood pressure was 93 over 61. Current GPS of 15. Blood sugar was 160 and will probably be there in about 8 minutes. What's his [REDACTED]. [REDACTED] Okay. And then clear work of reason and stuff like that? Yeah. And collared and such? Yep. Collars applied. I'm going to look for IV access. Okay. And you said how long? 6 minutes? Probably 8 minutes or so. 8 minutes. Okay. All right. We will see when you get here. All right. See you soon. Yep. Bye.</t>
  </si>
  <si>
    <t>Hello, this is Paramedic Brovic, AMR 267. Call in with a [REDACTED]. Okay. What you got? I have a 10-year-old male. He was [REDACTED]. [REDACTED], then [REDACTED]. Patient does not remember the incident. He's having severe pain in the abdomen with tenderness all over. Otherwise, just has some abrasions, bruises on his extremities. He feels hot, thirsty. We have a heart rate of 92. He's 99% Rumer. Blood pressure was 93 over 61. Current GPS of 15. Blood sugar was 160 and will probably be there in about 8 minutes. What's his respiratory rate? One minute. About 24. 24? Okay. And then clear work of reason and stuff like that? Yeah. And collared and such? Yep. Collars applied. I'm going to look for IV access. Okay. And you said how long? 6 minutes? Probably 8 minutes or so. 8 minutes. Okay. All right. We will see when you get here. All right. See you soon. Yep. Bye.</t>
  </si>
  <si>
    <t>OSHA Emergency Department, Dr. Selish. Hey, this is Joe with OSHA CMS. Did PDAC or Urgent Care contact you? They might have contacted somebody else. I didn't speak to them, though. Okay. So I am coming to you with a 15-year-old male, fell about seven to eight feet off of a fence, onto the ground, hit his head, complaining of left side abdominal pain, guarding it a lot. It is definitely a lot more rigid and descended than the right side. Denied losing consciousness, but then hit his head. I put him in a C-collar. Vitals were good when I got there. Now he's sitting, [REDACTED]. What pressure is 60 over 43? So 150 over 40? Sorry, you said 150 over 43? No, 60 over 43. 50 over 43. Okay. Yes, that's why I'm calling you now. Yeah, yeah, yeah. Okay. Okay. Rest of his vitals, please. FBO 2 is 100% on room air, showing a [REDACTED]. Yeah. And I have turned him on fluids for now. Okay. I just kind of want you guys to be ready for me when I get there. Awake alert, otherwise okay? Yes, awake alert. Lung sounds are good. I'm going to check them again, and we'll be with you in probably like five minutes. Five minutes? Okay. Yeah. All right. We will see you in five minutes then. All right. Thank you. Thanks. Bye.</t>
  </si>
  <si>
    <t>OSHA Emergency Department, Dr. Selish. Hey, this is Joe with OSHA CMS. Did PDAC or Urgent Care contact you? They might have contacted somebody else. I didn't speak to them, though. Okay. So I am coming to you with a 15-year-old male, fell about seven to eight feet off of a fence, onto the ground, hit his head, complaining of left side abdominal pain, guarding it a lot. It is definitely a lot more rigid and descended than the right side. Denied losing consciousness, but then hit his head. I put him in a C-collar. Vitals were good when I got there. Now he's sitting, finest rhythm at 88. What [REDACTED]? So 150 over 40? Sorry, you said 150 over 43? No, 60 over 43. 50 over 43. Okay. Yes, that's why I'm calling you now. Yeah, yeah, yeah. Okay. Okay. Rest of his vitals, please. FBO 2 is 100% on room air, showing a finest rhythm at 90 on the monitor. Yeah. And I have turned him on fluids for now. Okay. I just kind of want you guys to be ready for me when I get there. Awake alert, otherwise okay? Yes, awake alert. Lung sounds are good. I'm going to check them again, and we'll be with you in probably like five minutes. Five minutes? Okay. Yeah. All right. We will see you in five minutes then. All right. Thank you. Thanks. Bye.</t>
  </si>
  <si>
    <t>Hello, Dr. Reif. Hey, Dr. Reif. This is Denise Sherald, paramedic on Mercy Playdate. How are you? I'm doing all right. And you? Was wearing a helmet. Helmet? You were in a helmet? What? You were not wearing a helmet. Okay. We're coming in with a [REDACTED] involved in an ATO rollover. Let me know when you're ready. An ATV rollover, you said? Yeah. Yeah. Okay. All right. Go for it. Okay. I've got a [REDACTED] was involved in an AT rollover. He felt that he was not wearing a helmet. I don't know how fast they were going, but the ATV landed on him, and when mom got to him, he was unresponsive and not breathing, and he was underneath the ATV. Once she knocked the ATV off of him, shook him, he did become conscious again. He threw up all over her, and he's been conscious and alert since then. Conscious, alert, and orientated, but, you know, clearly very upset. Airway's clear. Breathing is good. Sounds are clear bilaterally. Belly is fine. He's complaining of pain in his left hip, and I've got some external rotation of the left lower extremities with good distal pulses, motor, and sensation. I've got a blood pressure of 144 over 90. Got a heart rate of 131 with sinus attack on the monitor. He's got a respiratory rate of 34. He needs chatting at 100%. They've got him on an on-rebreather right now. Blood glucose level is 139. He does have a history of ASD, and he's got a device separating. His septum right now, so he is not a candidate for MRI, and he's on platypus. Okay. History of ASD. No MRIs. All right. And a big hematoma on the forehead. Hematoma on the forehead. Okay. And then, so, how long was he out for, do you think? I'm going to say probably maybe about a minute. Okay. It sounds like she was right there. Ran. Got him. Got the ATV off of him, and then was able to revive him. All right. GCS, which you say is like 15 right now, or? I'm sorry? Yeah, GCS is 15 right now. I mean, as close as it gets. I know he has fetal alcohol syndrome. I don't know, like, what his baseline is. Okay. But he's crying. He just keeps telling, you know, he's looking at me, makes eye contact. He keeps telling me he wants to go home. I told him so do I. He didn't really feel my pain. Yeah. Fair enough. All right. And then you said you've got IV access. Yeah. He's got a collar on IV access. He's got, like, they used a sheet for a pelvic binder. Worked out pretty well. We just gave him 30 mics of fentanyl, and it looks like that's calmed him down pretty good. So we'll keep a good eye on him as he's on the way out. Okay. And how far out are you? We'll be airborne, I'm going to say, in eight minutes, probably an 18-minute flight. So let's say 20 minutes to the rooftop. All right. All right. Awesome. Thanks so much. Okay. I'll see you then. Yep. Bye.</t>
  </si>
  <si>
    <t>Hello, Dr. Reif. Hey, Dr. Reif. This is Denise Sherald, paramedic on Mercy Playdate. How are you? I'm doing all right. And you? Was wearing a helmet. Helmet? You were in a helmet? What? You were not wearing a helmet. Okay. We're coming in with a five-year-old involved in an ATO rollover. Let me know when you're ready. An ATV rollover, you said? Yeah. Yeah. Okay. All right. Go for it. Okay. I've got a five-year-old male patient was involved in an AT rollover. He felt that he was not wearing a helmet. I don't know how fast they were going, but the ATV landed on him, and when mom got to him, [REDACTED], and he was underneath the ATV. Once she knocked the ATV off of him, shook him, [REDACTED]. He threw up all over her, and [REDACTED]. [REDACTED], but, you know, [REDACTED]. Airway's clear. Breathing is good. Sounds are clear bilaterally. Belly is fine. He's complaining of pain in his left hip, and I've got some external rotation of the left lower extremities with good distal pulses, motor, and sensation. I've got a blood pressure of 144 over 90. Got a heart rate of 131 with sinus attack on the monitor. He's got a respiratory rate of 34. He needs chatting at 100%. They've got him on an on-rebreather right now. Blood glucose level is 139. He does have a history of ASD, and he's got a device separating. His septum right now, so he is not a candidate for MRI, and he's on platypus. Okay. History of ASD. No MRIs. All right. And a big hematoma on the forehead. Hematoma on the forehead. Okay. And then, so, how long was he out for, do you think? I'm going to say probably maybe about a minute. Okay. It sounds like she was right there. Ran. Got him. Got the ATV off of him, and then was able to revive him. All right. GCS, which you say is like 15 right now, or? I'm sorry? Yeah, GCS is 15 right now. I mean, as close as it gets. I know he has fetal alcohol syndrome. I don't know, like, what his baseline is. Okay. But he's [REDACTED]. He just keeps telling, you know, he's looking at me, [REDACTED]. He keeps telling me he wants to go home. I told him so do I. He didn't really feel my pain. Yeah. Fair enough. All right. And then you said you've got IV access. Yeah. He's got a collar on IV access. He's got, like, they used a sheet for a pelvic binder. Worked out pretty well. We just gave him 30 mics of fentanyl, and it looks like that's calmed him down pretty good. So we'll keep a good eye on him as he's on the way out. Okay. And how far out are you? We'll be airborne, I'm going to say, in eight minutes, probably an 18-minute flight. So let's say 20 minutes to the rooftop. All right. All right. Awesome. Thanks so much. Okay. I'll see you then. Yep. Bye.</t>
  </si>
  <si>
    <t>Hello, Dr. Reif. Hey, Dr. Reif. This is Denise Sherald, paramedic on Mercy Playdate. How are you? I'm doing all right. And you? Was wearing a helmet. Helmet? You were in a helmet? What? You were not wearing a helmet. Okay. We're coming in with a five-year-old [REDACTED]. Let me know when you're ready. An ATV rollover, you said? Yeah. Yeah. Okay. All right. Go for it. Okay. I've got a five-year-old male patient was [REDACTED]. He felt that he was not wearing a helmet. I don't know how fast they were going, but the [REDACTED], and when mom got to him, he was unresponsive and not breathing, and he was [REDACTED]. Once she knocked the [REDACTED], shook him, he did become conscious again. He threw up all over her, and he's been conscious and alert since then. Conscious, alert, and orientated, but, you know, clearly very upset. Airway's clear. Breathing is good. Sounds are clear bilaterally. Belly is fine. He's complaining of pain in his left hip, and I've got some external rotation of the left lower extremities with good distal pulses, motor, and sensation. I've got a blood pressure of 144 over 90. Got a heart rate of 131 with sinus attack on the monitor. He's got a respiratory rate of 34. He needs chatting at 100%. They've got him on an on-rebreather right now. Blood glucose level is 139. He does have a history of ASD, and he's got a device separating. His septum right now, so he is not a candidate for MRI, and he's on platypus. Okay. History of ASD. No MRIs. All right. And a [REDACTED]. Hematoma on the forehead. Okay. And then, so, how long was he out for, do you think? I'm going to say probably maybe about a minute. Okay. It sounds like she was right there. Ran. Got him. Got the [REDACTED], and then was able to revive him. All right. GCS, which you say is like 15 right now, or? I'm sorry? Yeah, GCS is 15 right now. I mean, as close as it gets. I know he has fetal alcohol syndrome. I don't know, like, what his baseline is. Okay. But he's crying. He just keeps telling, you know, he's looking at me, makes eye contact. He keeps telling me he wants to go home. I told him so do I. He didn't really feel my pain. Yeah. Fair enough. All right. And then you said you've got IV access. Yeah. He's got a collar on IV access. He's got, like, they used a sheet for a pelvic binder. Worked out pretty well. We just gave him 30 mics of fentanyl, and it looks like that's calmed him down pretty good. So we'll keep a good eye on him as he's on the way out. Okay. And how far out are you? We'll be airborne, I'm going to say, in eight minutes, probably an 18-minute flight. So let's say 20 minutes to the rooftop. All right. All right. Awesome. Thanks so much. Okay. I'll see you then. Yep. Bye.</t>
  </si>
  <si>
    <t>Hi, Emergency Department, Dr. Salish. Hey, Doc, how you doing? This is Paramount Ship with AMR. Okay. I am inbound to you with a 14-year-old female. She was [REDACTED]. It was a low speed. What happened was she was [REDACTED], like a driveway type of thing on a busy street coming out of a commercial place. And the guy didn't see her, and he [REDACTED]. Okay. She's got a lot of road rash, things like that. The only significant injuries I can find is on her right knee area. It's an open wound. And I also see from her right shoulder area, she's got a wound in the back of her, you know, penetration instead of back of her right shoulder. But she has a lot of road rash from head to toe. And it was small. And it was a little bit of a rash ratio on top. There was no loss of conscious. Yes. I was going to say, can I have the vitals, but finish. Go for it. Oh, absolutely. 114 over 70. She's got a heart rate of 120. Respirations are 18, 95% on room air. Conscious hula hoop times three. I do have an IV excess. I do have a C collar. And we're going to be there probably within seven minutes. Seven minutes. Okay. Fabulous. We will see you then. Okay. Okay. Thank you, Doc. Thank you. Bye-bye.</t>
  </si>
  <si>
    <t>Hey, this is Dr. Penella Children's. Hi, Doc. It's Tom Ritter, paramedic with AMR here. I got an ambulance going to you, paramedic level there, with a 12-year-old. [REDACTED]. [REDACTED]. Don't know anything else at this time. Unsure of loss of consciousness. He is conscious and alert now. He's crying in pain. Vital is 116 over 69 for pressure. Pulse rate is 80. Set 99 on 2 liters. Right now working on ALS, and they're leaving now. We're right under the Peace Bridge in Niagara. Probably about seven to eight minutes. We'll be there. How old did you say he was? One, two, 12. 12. Thank you. You're welcome. We're going to get here. Bye. Bye. Bye.</t>
  </si>
  <si>
    <t>Children's Air, this is Dr. Reese. Hi, Dr. Reese. This is Joy from AMR. I'm coming in with you with a pediatric trauma. I have a 15-year-old male that was an unrestrained passenger of a vehicle, [REDACTED], injuries to the left forearm as well as jaw and face with fluid coming out of his ear. Bloody fluid or? Bloody fluid coming out of his ear. Bloody fluid, okay. All right. What are his vitals right now? Last set of vitals was 172 over 96. Heart rate is currently 87. SpO2 is 95 on the air. And GCS is 15? Yes, GCS is 15. He's just really, really freaked out right now. Sorry, he's really, really what? Sorry. [REDACTED]. Okay. He was unrestrained and he did pass out. Okay. That's the biggest thing. That's the biggest thing for you here. Sounds good. He's in a collar? Yep, in a collar, all bandaged up, full trauma assessment done already for you. Awesome. We're, I think, five minutes out. Okay. And does he have an IV? Just for? No, we're BLS only. Okay. There are three passengers in this vehicle that all got. Okay. Are the other passengers adults? Do we expect him? They're adults. So he's the only pediatric. Okay. Sounds good. We'll see you in about five minutes. All right. Thank you. Yep. Bye.</t>
  </si>
  <si>
    <t>Children's Air, this is Dr. Reese. Hi, Dr. Reese. This is Joy from AMR. I'm coming in with you with a pediatric trauma. I have a 15-year-old male that was an [REDACTED], positive LOC, injuries to the left forearm as well as jaw and face with fluid coming out of his ear. Bloody fluid or? Bloody fluid coming out of his ear. Bloody fluid, okay. All right. What are his vitals right now? Last set of vitals was 172 over 96. Heart rate is currently 87. SpO2 is 95 on the air. And GCS is 15? Yes, GCS is 15. He's just really, really freaked out right now. Sorry, he's really, really what? Sorry. He's just freaked out right now. Okay. He was [REDACTED]. Okay. That's the biggest thing. That's the biggest thing for you here. Sounds good. He's in a collar? Yep, in a collar, all bandaged up, full trauma assessment done already for you. Awesome. We're, I think, five minutes out. Okay. And does he have an IV? Just for? No, we're BLS only. Okay. There are three passengers in this vehicle that all got. Okay. Are the other passengers adults? Do we expect him? They're adults. So he's the only pediatric. Okay. Sounds good. We'll see you in about five minutes. All right. Thank you. Yep. Bye.</t>
  </si>
  <si>
    <t>Hello, this is Dr. Reeve. Hello? Hello? Hello, can you hear me? Yeah, now I can hear you. This is Dr. Reeve. Oh, hi. What can I do for you? This is Mercy Flight Number 6. We're going to be launching in about five minutes with an ET to your helipad in about 30 minutes. I have a [REDACTED] who went down into a 10-foot creek off his ATV, no loss of consciousness. His helmet's actually intact pretty good. He's looking like he has a left ankle, right ankle, and left wrist fracture. There was no loss of consciousness, no bouts of hypotension. He's doing okay right now. He's just in a lot of pain. He also has a lot of mid to lower back pain. Neurologically, he's intact. Everything sounds good. He's alert and oriented and everything. Like I said, we're going to be there in 30 minutes. Do you want a set of vitals? Yeah, that'd be great. All right, last set of vitals on this young man was... We got stats are 94. He's 112 over 62 for blood pressure. His respiratory effort is about 14 and normal. He's been on a lot of medications for a long time. He's been on a lot of medications for a long time. What was the heart rate? Heart rate was 84. 84, and then how old is he? [REDACTED]. Okay. All right. And then, so, we've got back and abdominal pain? No, just mid to lower back pain. So, like lower to lumbar back pain. Right. Right ankle. Right ankle. Looks like fracture left. Ankle or left wrist fracture. Okay. And that's... Deformities? Oh, yeah, it's deformities. They have them all splinted up. Okay. And GCS of 15? He's 15. There was no alteredness, no loss of consciousness or anything. There was somebody with him when this all happened. Okay. It just took forever. This happened like around 12 o'clock. It took forever for them to get him out of the ditch to extricate him. So, we actually... We waited almost 25 minutes for them to bring him back. We waited almost 25 minutes for them to bring him to the LZ, so... Okay. All right. All right. So, about 35 minutes. Yeah, three, 35 minutes we should be at your pad. All right. Cool. All right. Thank you. Bye. Thank you. Bye. Bye. Bye. Bye. Bye. Bye. Bye. Bye. Bye. Bye. Bye. Bye. Bye. Bye. Bye. Bye. Bye. Bye.</t>
  </si>
  <si>
    <t>Hello, this is Dr. Reeve. Hello? Hello? Hello, can you hear me? Yeah, now I can hear you. This is Dr. Reeve. Oh, hi. What can I do for you? This is Mercy Flight Number 6. We're going to be launching in about five minutes with an ET to your helipad in about 30 minutes. I have a 13-year-old gentleman who went down into a 10-foot creek off his ATV, no loss of consciousness. His helmet's actually intact pretty good. He's looking like he has a left ankle, right ankle, and left wrist fracture. There was no loss of consciousness, no bouts of hypotension. He's doing okay right now. He's just in a lot of pain. He also has a lot of mid to lower back pain. Neurologically, he's intact. Everything sounds good. He's alert and oriented and everything. Like I said, we're going to be there in 30 minutes. Do you want a set of vitals? Yeah, that'd be great. All right, last set of vitals on this young man was... We got stats are 94. He's 112 over 62 for blood pressure. His [REDACTED] and normal. He's been on a lot of medications for a long time. He's been on a lot of medications for a long time. What was the heart rate? Heart rate was 84. 84, and then how old is he? He's 1313. Okay. All right. And then, so, we've got back and abdominal pain? No, just mid to lower back pain. So, like lower to lumbar back pain. Right. Right ankle. Right ankle. Looks like fracture left. Ankle or left wrist fracture. Okay. And that's... Deformities? Oh, yeah, it's deformities. They have them all splinted up. Okay. And GCS of 15? He's 15. There was no alteredness, no loss of consciousness or anything. There was somebody with him when this all happened. Okay. It just took forever. This happened like around 12 o'clock. It took forever for them to get him out of the ditch to extricate him. So, we actually... We waited almost 25 minutes for them to bring him back. We waited almost 25 minutes for them to bring him to the LZ, so... Okay. All right. All right. So, about 35 minutes. Yeah, three, 35 minutes we should be at your pad. All right. Cool. All right. Thank you. Bye. Thank you. Bye. Bye. Bye. Bye. Bye. Bye. Bye. Bye. Bye. Bye. Bye. Bye. Bye. Bye. Bye. Bye. Bye. Bye.</t>
  </si>
  <si>
    <t>Hello, this is Dr. Reeve. Hello? Hello? Hello, can you hear me? Yeah, now I can hear you. This is Dr. Reeve. Oh, hi. What can I do for you? This is Mercy Flight Number 6. We're going to be launching in about five minutes with an ET to your helipad in about 30 minutes. I have a 13-year-old gentleman who went down into a 10-foot creek off his ATV, [REDACTED]. His helmet's actually intact pretty good. He's looking like he has a left ankle, right ankle, and left wrist fracture. There was [REDACTED], no bouts of hypotension. He's doing okay right now. He's just in a lot of pain. He also has a lot of mid to lower back pain. Neurologically, he's intact. Everything sounds good. He's [REDACTED] and everything. Like I said, we're going to be there in 30 minutes. Do you want a set of vitals? Yeah, that'd be great. All right, last set of vitals on this young man was... We got stats are 94. He's 112 over 62 for blood pressure. His respiratory effort is about 14 and normal. He's been on a lot of medications for a long time. He's been on a lot of medications for a long time. What was the heart rate? Heart rate was 84. 84, and then how old is he? He's 1313. Okay. All right. And then, so, we've got back and abdominal pain? No, just mid to lower back pain. So, like lower to lumbar back pain. Right. Right ankle. Right ankle. Looks like fracture left. Ankle or left wrist fracture. Okay. And that's... Deformities? Oh, yeah, it's deformities. They have them all splinted up. Okay. And GCS of 15? He's 15. There was [REDACTED] or anything. There was somebody with him when this all happened. Okay. It just took forever. This happened like around 12 o'clock. It took forever for them to get him out of the ditch to extricate him. So, we actually... We waited almost 25 minutes for them to bring him back. We waited almost 25 minutes for them to bring him to the LZ, so... Okay. All right. All right. So, about 35 minutes. Yeah, three, 35 minutes we should be at your pad. All right. Cool. All right. Thank you. Bye. Thank you. Bye. Bye. Bye. Bye. Bye. Bye. Bye. Bye. Bye. Bye. Bye. Bye. Bye. Bye. Bye. Bye. Bye. Bye.</t>
  </si>
  <si>
    <t>Hello, this is Dr. Reeve. Hello? Hello? Hello, can you hear me? Yeah, now I can hear you. This is Dr. Reeve. Oh, hi. What can I do for you? This is Mercy Flight Number 6. We're going to be launching in about five minutes with an ET to your helipad in about 30 minutes. I have a 13-year-old gentleman who [REDACTED], no loss of consciousness. His helmet's actually intact pretty good. He's looking like he has a left ankle, right ankle, and left wrist fracture. There was no loss of consciousness, no bouts of hypotension. He's doing okay right now. He's just in a lot of pain. He also has a lot of mid to lower back pain. Neurologically, he's intact. Everything sounds good. He's alert and oriented and everything. Like I said, we're going to be there in 30 minutes. Do you want a set of vitals? Yeah, that'd be great. All right, last set of vitals on this young man was... We got stats are 94. He's 112 over 62 for blood pressure. His respiratory effort is about 14 and normal. He's been on a lot of medications for a long time. He's been on a lot of medications for a long time. What was the heart rate? Heart rate was 84. 84, and then how old is he? He's 1313. Okay. All right. And then, so, we've got back and abdominal pain? No, just mid to lower back pain. So, like lower to lumbar back pain. Right. Right ankle. Right ankle. Looks like fracture left. Ankle or left wrist fracture. Okay. And that's... Deformities? Oh, yeah, it's deformities. They have them all splinted up. Okay. And GCS of 15? He's 15. There was no alteredness, no loss of consciousness or anything. There was somebody with him when [REDACTED]. Okay. It just took forever. This [REDACTED]. It [REDACTED]. So, we actually... We waited almost 25 minutes for them to bring him back. We waited almost 25 minutes for them to bring him to the LZ, so... Okay. All right. All right. So, about 35 minutes. Yeah, three, 35 minutes we should be at your pad. All right. Cool. All right. Thank you. Bye. Thank you. Bye. Bye. Bye. Bye. Bye. Bye. Bye. Bye. Bye. Bye. Bye. Bye. Bye. Bye. Bye. Bye. Bye. Bye.</t>
  </si>
  <si>
    <t>Hey, Children's, this is Ashlyn. Hey, this is Hannah with Mercy Flight. Hi. You okay? Yeah. We're bringing in the 14-year-old to you guys who fell off a bike, lost consciousness, and has some head trauma, a little laugh to his eyebrow, and some abrasion. Other than that, no obvious injuries. All right. All right. And has had stable vitals. I'm just getting, like, fluid, KBO, no meds from EMF. He has two lines, and we're about 15 minutes out. Okay. Do you mind giving me his most recent vitals? Yeah, let me make sure I can give you that one. [REDACTED]. Pressure, 127 over 68. Breastfords are 30, and stats, 99. And then we're more. Okay. GPS is 14. 14. And what did you say his [REDACTED]. Okay. All righty. We will see you guys shortly. All right. Bye. Thanks. Thank you. Thank you. Bye.</t>
  </si>
  <si>
    <t>Hey, Children's, this is Ashlyn. Hey, this is Hannah with Mercy Flight. Hi. You okay? Yeah. We're bringing in the 14-year-old to you guys who [REDACTED], lost consciousness, and has some [REDACTED], a little [REDACTED], and some [REDACTED]. Other than that, no obvious injuries. All right. All right. And has had stable vitals. I'm just getting, like, fluid, KBO, no meds from EMF. He has two lines, and we're about 15 minutes out. Okay. Do you mind giving me his most recent vitals? Yeah, let me make sure I can give you that one. Heart rate, 90. Pressure, 127 over 68. Breastfords are 30, and stats, 99. And then we're more. Okay. GPS is 14. 14. And what did you say his heart rate was again? Sorry, it cut out. 90. Okay. All righty. We will see you guys shortly. All right. Bye. Thanks. Thank you. Thank you. Bye.</t>
  </si>
  <si>
    <t>Children's Statline, it's Dr. Bradfield. Hi, this is Thomas A. Amar. I'm bringing you a 10- or 11-month-old child, infant, involved in a motor vehicle accident at unknown speed. Airbags were deployed. A bystander told police that they saw the baby laying in the street, unable to verify if the child was ejected or carried out and put on the street, or if the child was actually in the street at all. But that's the story we got. So far, I've just found one tiny laceration at the bottom of his foot. [REDACTED], [REDACTED]. Also, 112, 99% on room air, 133 over 89. So the baby looks good overall, though. Yeah, [REDACTED]. Is this with the same accident that we just got a call about that somebody brought in? Bailey and Delavan? I don't know. Was that a Bailey and Delavan, this one? I'm just making sure because we have a lot of MVCs coming in right now, and I don't know if they're all related or not related. Yeah. I don't know if anybody came to Children's or not from this one. I was, like, the last call called in. Okay. All right. Okay, thank you. All right. We'll see you. How far out are you? All right. About 10. 10. Okay. All right. Thank you. Thank you. Bye-bye. Bye. Bye. Bye. Bye. Bye. Bye. Bye. Bye. Bye. Bye. Bye. Bye. Bye. Bye. Bye. Bye. Bye. Bye. Bye. Bye. Bye. Bye. Bye. Bye. Bye. Bye.</t>
  </si>
  <si>
    <t>Children's Statline, it's Dr. Bradfield. Hi, this is Thomas A. Amar. I'm bringing you a 10- or 11-month-old child, infant, involved in a [REDACTED] at unknown speed. [REDACTED]. A [REDACTED], [REDACTED], or if the child was actually in the street at all. But that's the story we got. So far, I've just found one tiny laceration at the bottom of his foot. Alert and oriented, he's been crying the whole time. Also, 112, 99% on room air, 133 over 89. So the baby looks good overall, though. Yeah, he seems to be acting appropriately for his age. Is this with the same accident that we just got a call about that somebody brought in? Bailey and Delavan? I don't know. Was that a Bailey and Delavan, this one? I'm just making sure because we have a lot of MVCs coming in right now, and I don't know if they're all related or not related. Yeah. I don't know if anybody came to Children's or not from this one. I was, like, the last call called in. Okay. All right. Okay, thank you. All right. We'll see you. How far out are you? All right. About 10. 10. Okay. All right. Thank you. Thank you. Bye-bye. Bye. Bye. Bye. Bye. Bye. Bye. Bye. Bye. Bye. Bye. Bye. Bye. Bye. Bye. Bye. Bye. Bye. Bye. Bye. Bye. Bye. Bye. Bye. Bye. Bye. Bye.</t>
  </si>
  <si>
    <t>Hi, Doc. It's Seth, Advanced Namer, 280. I got a 14-year-old male who was struck by a vehicle while riding a bicycle. He has a head injury, positive LOC, some minor controlled bleeding of the nose, and road rash everywhere else. We're about nine minutes out, and vitals are ready. Let's have him. I'm sorry? Vitals, you got him? Yeah, 107 over 71. Okay. Heart rate, 64. All right. SPO, 299 on room air. All right. You got a GCS? Yeah, it's about 14. [REDACTED]. So, taking off for orientation, you think, or commands? Yeah, orientation. Okay. And was he hominid? Yeah. No, no helmet. Okay. They can't give us a speed for the vehicle, but I guess he was, as they said, slightly bumped by the car and fell off his bike. But... Okay. We will be on the on-lookup for you guys. We'll have to reach in the trauma. All right. Thank you. Thanks.</t>
  </si>
  <si>
    <t>Hi, Doc. It's Seth, Advanced Namer, 280. I got a 14-year-old male who was [REDACTED]. He has a [REDACTED], [REDACTED], [REDACTED], and [REDACTED]. We're about nine minutes out, and vitals are ready. Let's have him. I'm sorry? Vitals, you got him? Yeah, 107 over 71. Okay. Heart rate, 64. All right. SPO, 299 on room air. All right. You got a GCS? Yeah, it's about 14. He's kind of lethargic at this time. So, taking off for orientation, you think, or commands? Yeah, orientation. Okay. And was he hominid? Yeah. No, no helmet. Okay. They can't give us a speed for the vehicle, but I guess he was, as they said, [REDACTED]. But... Okay. We will be on the on-lookup for you guys. We'll have to reach in the trauma. All right. Thank you. Thanks.</t>
  </si>
  <si>
    <t>Jones here, Dr. Shadow. Hey, this is Betsy. I'm just calling from UCM Cicicoco with the four-month-old. Okay. Intubated. Palsas and perfusion are good. He is intubated with a 3-0 at 11. They said the tube looked good. I'm going to have one of the nurses bring in the x-ray just so we can double-check. He does have bilateral breath sounds, though. They were bagging him when we came in, so we just put him on some settings. What did you put him on, Jen? PEEP of 5, rate of 30, tidal volume of 45, 40%. He's setting 100. [REDACTED], heart rate 135, respiratory rate 30. They've just been spot-dosing him with PRN fentanyl for sedation, like, as needed. He's, like, minimally responsive to pain. Like, he kind of, like, bugs on me. He doesn't, like, really react. But then I really got to, like, pinch down on his fingers. And it seems almost a little reflexatory to me. Pupils are still pinpoint. Fontanel feels a little full to me. He does have the bilateral. They found bilateral bleeds on his head CT. The rest of the scans they said were fine. They have not given any seizure prophylaxis. I was going to see if you wanted anything. Yeah, give 60 per kilo of Keppra. Okay. I'm just finishing up an ISAT, just finishing up running. I did an initial one. His gas looked okay. He was 729. But his CO2 is 50. His potassium is reading 7.8. And his glucose is reading 54. So I am just repeating it just to make sure, like, it wasn't. So the new gas, sorry, 7.20 CO2. Okay. Okay. Okay. Okay. Base excess negative for bicarb 22.4. CCO2 24. O2 percent is 80. Sodium 139. Potassium 4.4. ICAL is 5.8. Glucose 63. Hemoglobin 8.8. And hematocrit 26. Okay. I would. So. Generally, I would just grab him and go. So. Okay. Whatever he's got now, just pack him up and get up, moving with him. Okay. If you can run the cap right in route, I would start him on some D10F maintenance in route. Okay. And then if, because they did all the imaging anyway, if we can get those images so that we don't have to repeat all of them here, that'd be ideal. Yeah, I have a deck. Awesome. Then do you have a [REDACTED]. Okay. And what do you anticipate ETA? The flight back is like 30. The flight back is 15 minutes, so probably we'll be back in less than 30 minutes. So 25. Okay. Yeah. I can. I'll call charge to like right as we're loading up to just so we have a better ETA, but. Easy. And then I'll have them let you know. He's here next to me, so 25 is good. Okay. We'll just go with that. Cool. Thanks. All right. Sounds good. All right. Bye. Bye. Bye.</t>
  </si>
  <si>
    <t>Jones here, Dr. Shadow. Hey, this is Betsy. I'm just calling from UCM Cicicoco with the four-month-old. Okay. Intubated. Palsas and perfusion are good. He is intubated with a 3-0 at 11. They said the tube looked good. I'm going to have one of the nurses bring in the x-ray just so we can double-check. He does have bilateral breath sounds, though. They were bagging him when we came in, so we just put him on some settings. What did you put him on, Jen? PEEP of 5, rate of 30, tidal volume of 45, 40%. He's setting 100. Blood pressure is 101 over 51, heart rate 135, respiratory rate 30. They've just been spot-dosing him with PRN fentanyl for sedation, like, as needed. He's, like, [REDACTED]. Like, [REDACTED]. [REDACTED]. But then [REDACTED]. And it [REDACTED]. Pupils are still pinpoint. Fontanel feels a little full to me. He does have the bilateral. They found bilateral bleeds on his head CT. The rest of the scans they said were fine. They have not given any seizure prophylaxis. I was going to see if you wanted anything. Yeah, give 60 per kilo of Keppra. Okay. I'm just finishing up an ISAT, just finishing up running. I did an initial one. His gas looked okay. He was 729. But his CO2 is 50. His potassium is reading 7.8. And his glucose is reading 54. So I am just repeating it just to make sure, like, it wasn't. So the new gas, sorry, 7.20 CO2. Okay. Okay. Okay. Okay. Base excess negative for bicarb 22.4. CCO2 24. O2 percent is 80. Sodium 139. Potassium 4.4. ICAL is 5.8. Glucose 63. Hemoglobin 8.8. And hematocrit 26. Okay. I would. So. Generally, I would just grab him and go. So. Okay. Whatever he's got now, just pack him up and get up, moving with him. Okay. If you can run the cap right in route, I would start him on some D10F maintenance in route. Okay. And then if, because they did all the imaging anyway, if we can get those images so that we don't have to repeat all of them here, that'd be ideal. Yeah, I have a deck. Awesome. Then do you have a pressure for him? Like a blood pressure? Yeah. 101 over 51. Okay. And what do you anticipate ETA? The flight back is like 30. The flight back is 15 minutes, so probably we'll be back in less than 30 minutes. So 25. Okay. Yeah. I can. I'll call charge to like right as we're loading up to just so we have a better ETA, but. Easy. And then I'll have them let you know. He's here next to me, so 25 is good. Okay. We'll just go with that. Cool. Thanks. All right. Sounds good. All right. Bye. Bye. Bye.</t>
  </si>
  <si>
    <t>Children's Emergency Department, this is Dr. Ruano. Doctor, this is Bob McLean. I'm a paramedic with AMR. Hi, how are you? We're in your, well, not well. We're in your facility with a, we believe, 17-year-old male who was run over by a garbage truck. Okay. The patient has obvious pelvis and lower extremity deformities, altered mental status. He does have a heat C collar in place. He's [REDACTED]. Okay. I am attempting a blood pressure and do what I can in route. We're probably four to five. Four to five minutes out. Can I get a GCS? Yeah. Let's say seven. Seven, GCS of seven. Okay. And I do need a blood pressure just to page it out as a trauma. Okay. We're attempting it. I'm attempting it. Yes. I'm just going to have to try it again. But hit the button. Just we've got some involuntary movement going on. Okay. So I'm having a difficult time getting a blood pressure. Can I pass it? Is that going? Like that you can give her the blood pressure when you get it while I put the page out? Thank you. Sure. Oh. Hi, this is Crystal. It's Brian. Hey. I can try a manual. Nope. Just. Olivia, I need you guys in there getting set up for a 17 year old trauma. And we need the airway box because the GCS is seven. Yeah. He's got. Obvious belly. It's not. It looks like it ran over him. Well, all this and upper extremities. So is he currently currently being bagged right now? No, he's not currently breathing on his own. Currently breathing on his own. Belly's very low. Yep. Rate of 24. Rate of 24. No obvious chest injuries. The injuries are right at his. Navel area and down. Below her for the injury. She's attempting right now. [REDACTED]. Blood pressure's still there. [REDACTED]. It fell off his finger. That's all. Okay. All right. No, it just fell off. No. 180. Yeah. Who the hell is that? Sorry. That's my wife. She's a nurse. She's a nurse. She's a nurse. She's a nurse. She's a nurse. She's a nurse. She's a nurse. She's a nurse. She's a nurse. She's a nurse. Good morning. [REDACTED]. Hi. Everybody. Okay. Okay. Okay. Okay. 17-year-olds with a GCS of seven. I need everybody back there. So, sorry. Yep. We need the airway box. So, oh, my God. Okay. We're going with a blood pressure. The rate of pressure is 90 over 60, let's say. Okay. Pulses are what? I mean, uppers are okay. Okay. Okay. Okay. Okay. Okay. Okay. The pulses? Yeah. [REDACTED]. Okay. No, no. I meant, like, physically feeling pulses. Like, does he have pulses in his lower? Yes. Okay. Yes. Yes. Yes. Well, no, not in his lower extremities. I'm having a difficult time going to. We're here. Okay. Okay. All right. I'll meet you at the door. All right. Bye. Bye. Bye. Bye. Bye. Bye. Bye. Bye. Bye. Bye. Bye. Bye. Bye. Bye. Bye. Bye. Bye. Bye. Bye.</t>
  </si>
  <si>
    <t>Children's Emergency Department, this is Dr. Ruano. Doctor, this is Bob McLean. I'm a paramedic with AMR. Hi, how are you? We're in your, well, not well. We're in your facility with a, we believe, 17-year-old male who was run over by a garbage truck. Okay. The patient has obvious pelvis and lower extremity deformities, altered mental status. He does have a heat C collar in place. He's tacky on the monitor, rated 180s. Okay. I am attempting a blood pressure and do what I can in route. We're probably four to five. Four to five minutes out. Can I get a GCS? Yeah. Let's say seven. Seven, GCS of seven. Okay. And [REDACTED] just to page it out as a trauma. Okay. [REDACTED]. I'm attempting it. Yes. I'm just going to have to try it again. But hit the button. Just we've got some involuntary movement going on. Okay. So [REDACTED]. Can I pass it? Is that going? Like that you can [REDACTED] while I put the page out? Thank you. Sure. Oh. Hi, this is Crystal. It's Brian. Hey. I can try a manual. Nope. Just. Olivia, I need you guys in there getting set up for a 17 year old trauma. And we need the airway box because the GCS is seven. Yeah. He's got. Obvious belly. It's not. It looks like it ran over him. Well, all this and upper extremities. So is he currently currently being bagged right now? No, he's not currently breathing on his own. Currently breathing on his own. Belly's very low. Yep. Rate of 24. Rate of 24. No obvious chest injuries. The injuries are right at his. Navel area and down. Below her for the injury. She's attempting right now. Heart rate's 59. [REDACTED]. Heart rate's 59 or 69? No, it was 180. It fell off his finger. That's all. Okay. All right. No, it just fell off. No. 180. Yeah. Who the hell is that? Sorry. That's my wife. She's a nurse. She's a nurse. She's a nurse. She's a nurse. She's a nurse. She's a nurse. She's a nurse. She's a nurse. She's a nurse. She's a nurse. Good morning. Heart rate's still there. Hi. Everybody. Okay. Okay. Okay. Okay. 17-year-olds with a GCS of seven. I need everybody back there. So, sorry. Yep. We need the airway box. So, oh, my God. Okay. We're going with a [REDACTED]. Okay. Pulses are what? I mean, uppers are okay. Okay. Okay. Okay. Okay. Okay. Okay. The pulses? Yeah. His pulse is 180. Okay. No, no. I meant, like, physically feeling pulses. Like, does he have pulses in his lower? Yes. Okay. Yes. Yes. Yes. Well, no, not in his lower extremities. I'm having a difficult time going to. We're here. Okay. Okay. All right. I'll meet you at the door. All right. Bye. Bye. Bye. Bye. Bye. Bye. Bye. Bye. Bye. Bye. Bye. Bye. Bye. Bye. Bye. Bye. Bye. Bye. Bye.</t>
  </si>
  <si>
    <t>Children's Emergency Department, this is Dr. Ruano. Doctor, this is Bob McLean. I'm a paramedic with AMR. Hi, how are you? We're in your, well, not well. We're in your facility with a, we believe, 17-year-old male who was run over by a garbage truck. Okay. The patient has obvious pelvis and lower extremity deformities, altered mental status. He does have a heat C collar in place. He's tacky on the monitor, rated 180s. Okay. I am attempting a blood pressure and do what I can in route. We're probably four to five. Four to five minutes out. Can I get a GCS? Yeah. Let's say seven. Seven, GCS of seven. Okay. And I do need a blood pressure just to page it out as a trauma. Okay. We're attempting it. I'm attempting it. Yes. I'm just going to have to try it again. But hit the button. Just we've got some involuntary movement going on. Okay. So I'm having a difficult time getting a blood pressure. Can I pass it? Is that going? Like that you can give her the blood pressure when you get it while I put the page out? Thank you. Sure. Oh. Hi, this is Crystal. It's Brian. Hey. I can try a manual. Nope. Just. Olivia, I need you guys in there getting set up for a 17 year old trauma. And we need the airway box because the GCS is seven. Yeah. He's got. Obvious belly. It's not. It looks like it ran over him. Well, all this and upper extremities. So is he currently currently being bagged right now? No, he's not [REDACTED]. [REDACTED]. Belly's very low. Yep. [REDACTED]. [REDACTED]. No obvious chest injuries. The injuries are right at his. Navel area and down. Below her for the injury. She's attempting right now. Heart rate's 59. Blood pressure's still there. Heart rate's 59 or 69? No, it was 180. It fell off his finger. That's all. Okay. All right. No, it just fell off. No. 180. Yeah. Who the hell is that? Sorry. That's my wife. She's a nurse. She's a nurse. She's a nurse. She's a nurse. She's a nurse. She's a nurse. She's a nurse. She's a nurse. She's a nurse. She's a nurse. Good morning. Heart rate's still there. Hi. Everybody. Okay. Okay. Okay. Okay. 17-year-olds with a GCS of seven. I need everybody back there. So, sorry. Yep. We need the airway box. So, oh, my God. Okay. We're going with a blood pressure. The rate of pressure is 90 over 60, let's say. Okay. Pulses are what? I mean, uppers are okay. Okay. Okay. Okay. Okay. Okay. Okay. The pulses? Yeah. His pulse is 180. Okay. No, no. I meant, like, physically feeling pulses. Like, does he have pulses in his lower? Yes. Okay. Yes. Yes. Yes. Well, no, not in his lower extremities. I'm having a difficult time going to. We're here. Okay. Okay. All right. I'll meet you at the door. All right. Bye. Bye. Bye. Bye. Bye. Bye. Bye. Bye. Bye. Bye. Bye. Bye. Bye. Bye. Bye. Bye. Bye. Bye. Bye.</t>
  </si>
  <si>
    <t>Children's Emergency Department, this is Dr. Ruano. Doctor, this is Bob McLean. I'm a paramedic with AMR. Hi, how are you? We're in your, well, not well. We're in your facility with a, we believe, 17-year-old male who was [REDACTED]. Okay. The patient has obvious pelvis and lower extremity deformities, altered mental status. He does have a heat C collar in place. He's tacky on the monitor, rated 180s. Okay. I am attempting a blood pressure and do what I can in route. We're probably four to five. Four to five minutes out. Can I get a GCS? Yeah. Let's say seven. Seven, GCS of seven. Okay. And I do need a blood pressure just to page it out as a trauma. Okay. We're attempting it. I'm attempting it. Yes. I'm just going to have to try it again. But hit the button. Just we've got some involuntary movement going on. Okay. So I'm having a difficult time getting a blood pressure. Can I pass it? Is that going? Like that you can give her the blood pressure when you get it while I put the page out? Thank you. Sure. Oh. Hi, this is Crystal. It's Brian. Hey. I can try a manual. Nope. Just. Olivia, I need you guys in there getting set up for a 17 year old trauma. And we need the airway box because the GCS is seven. Yeah. He's got. Obvious belly. It's not. It looks like it ran over him. Well, all this and upper extremities. So is he currently currently being bagged right now? No, he's not currently breathing on his own. Currently breathing on his own. Belly's very low. Yep. Rate of 24. Rate of 24. No obvious chest injuries. The injuries are right at his. Navel area and down. Below her for the injury. She's attempting right now. Heart rate's 59. Blood pressure's still there. Heart rate's 59 or 69? No, it was 180. It fell off his finger. That's all. Okay. All right. No, it just fell off. No. 180. Yeah. Who the hell is that? Sorry. That's my wife. She's a nurse. She's a nurse. She's a nurse. She's a nurse. She's a nurse. She's a nurse. She's a nurse. She's a nurse. She's a nurse. She's a nurse. Good morning. Heart rate's still there. Hi. Everybody. Okay. Okay. Okay. Okay. 17-year-olds with a GCS of seven. I need everybody back there. So, sorry. Yep. We need the airway box. So, oh, my God. Okay. We're going with a blood pressure. The rate of pressure is 90 over 60, let's say. Okay. Pulses are what? I mean, uppers are okay. Okay. Okay. Okay. Okay. Okay. Okay. The pulses? Yeah. His pulse is 180. Okay. No, no. I meant, like, physically feeling pulses. Like, does he have pulses in his lower? Yes. Okay. Yes. Yes. Yes. Well, no, not in his lower extremities. I'm having a difficult time going to. We're here. Okay. Okay. All right. I'll meet you at the door. All right. Bye. Bye. Bye. Bye. Bye. Bye. Bye. Bye. Bye. Bye. Bye. Bye. Bye. Bye. Bye. Bye. Bye. Bye. Bye.</t>
  </si>
  <si>
    <t>I'm a right femur. Hello, my name is Cameron Lang with AMR. I was letting you guys know I'm bringing in a 16-year-old [REDACTED]. [REDACTED] on Belford. He's got an obvious right femur fracture, no loss of consciousness, nothing like that. Vitals are stable. Minor abrasion is kind of all over the body. It's really about it. Just wanted to let you guys know I'm bringing him in, though. Do you have vitals for me? Yeah, absolutely. We've got 158 over 90 for the BP. Pulse is 76 right now. 98 on our mirror. Any meds given? No, I'm basic, so I can't really do a whole lot other than get him there. Okay. Is he in a collar? Yeah, I got a collar on him and all that. We got the legs straightened out the best we could. Okay. What's your ET? I'm looking at probably about 10 minutes, roughly. Okay. Is anybody with him? No, he's the only one in the car. Yeah. The other one's going to be going to East DMC. Was he the driver? No, he was a backseat passenger, he stated. Okay. Okay. We'll see you when you get here, then. Okay, thanks. All right, thanks. Bye.</t>
  </si>
  <si>
    <t>Children's stat line is Dr. Bradfield-McGee. Hi, Deb. Dr. Sorgeberg, EMS. We're coming in with an 11-year-old female. Patient was [REDACTED], was with her brother. She was unresponsive. She had been [REDACTED]. [REDACTED]. Rescue breaths were given. She did vomit blood. She is currently breathing on her own, but she's still not 100% alert. We're coming in probably about 20 minutes out, you guys. So we don't know exactly kind of what happened? I'm not sure. [REDACTED], and he came upstairs and grabbed his dad. I'm not sure. The downtime doesn't make it very much. Dad did give two rescue breaths, and she vomited blood. Family says she does have some GI issues. Okay. Good job, buddy. Good job. Okay. Do you have a set of vitals right now? Did you say a male or a female? A female. She's 11 years old. Okay. Yeah. Okay. We're just packaging her up, but we're going to let her go. Okay. If you'd like to call back, I can see about the ins and outs of the fucking route. But she's breathing on her own. We are in rescue breaths right now, but she's breathing on her own, and she has some response. Okay. Okay. Okay. Sure. Yeah. I mean, if there's anything else that changes, let us know. But you said about 20 minutes? Correct. Yep. Okay. All right. Thank you. All right. Thank you, Dad.</t>
  </si>
  <si>
    <t>Children's Medical Direction, this is Dr. Doan. Hey, this is AMR Dispatch. I'm calling in at pre-alert for a crew coming into the air. Okay. So they have a 17-year-old male, has a [REDACTED], trying to get applied as of 1657. Current vital signs, blood pressure 140 over 82, heart rate of 115, SVO 299, GCS of 15. They have approximately seven minute EPA. Okay. Sorry, can you just give me those labels again? Sure. BPA 140 over 82, heart rate 115, SVO 299 on room air, and GCS of 15. And do you know why the tourniquet's on? I would assume bleeding control. It was a [REDACTED]. It was a [REDACTED]. Okay. Okay. All right. We'll see them when they get here. All right. Thank you. Thanks. Oh, sorry. Do you know how far out that crew is? They were about nine minutes when they called me. It's been about two minutes, 1267. Okay. They're definitely coming here, too, not ECMC. They are. Okay. Sounds good. Okay. Thanks. Bye. Bye. Bye. Bye.</t>
  </si>
  <si>
    <t>Hello, Dr. Reeves. Hi, this is Shannon Melnick, a paramedic with Twin City Ambulance. I'm just calling about a patient that we're bringing to you. Okay. So I have a 15-year-old male. He was riding his bike along the side of the street when he was struck by a vehicle going approximately 30 to 35 miles per hour. He did fall off his bike. He hit his head. He did lose consciousness. He currently has a GCS of 14. He has some abrasions on the side of his face, some elbow pain, and some leg pain. His vitals are stable, [REDACTED]. Heart rate 98, 97% room air. But we're bringing him over to you. [REDACTED] Respiratory rate was what? Our respiratory is 18 currently. 18. And then it says bicycle versus car. And he's... How old was he? 15. 15. No vomiting, no loss of consciousness. No, he's pretty with it. He's just a little bit of confusion on some of the questions. Like he told me to at St. Patrick's Day. He told me it was Saturday. That sort of thing. But then he kind of remembers and answers correctly after a little bit. But from the point he did lose consciousness, we have a C-Con as a precaution. Pupils are equal and reactive by allowed. And then any difficulty breathing, any other things going on? No. Chest pain or anything like that? No, mainly just a little bit of confusion. He's talking and all of a sudden... Okay. All right. How far out are you? We're about 12 minutes. 12 minutes. All right. Any medicine given or anything? No. I'm going to try to get IV access on the way, but I don't see any indication from the lab side of the knee. Okay. We'll let the team know. Okay. Sounds good. Thank you. Yeah. All right. Bye. All right. Bye.</t>
  </si>
  <si>
    <t>Hello, Dr. Reeves. Hi, this is Shannon Melnick, a paramedic with Twin City Ambulance. I'm just calling about a patient that we're bringing to you. Okay. So I have a 15-year-old male. He was riding his bike along the side of the street when he was struck by a vehicle going approximately 30 to 35 miles per hour. He did fall off his bike. He hit his head. He did lose consciousness. He currently has a GCS of 14. He has some abrasions on the side of his face, some elbow pain, and some leg pain. His vitals are stable, 128 over 76. Heart rate 98, 97% room air. But we're bringing him over to you. What's the stomach again? 128 over 76. 76. Respiratory rate was what? Our respiratory is 18 currently. 18. And then it says bicycle versus car. And he's... How old was he? 15. 15. No vomiting, no loss of consciousness. [REDACTED] He's [REDACTED]. Like he told me to at St. Patrick's Day. He told me it was Saturday. That sort of thing. But then [REDACTED]. But from the point he did lose consciousness, we have a C-Con as a precaution. Pupils are equal and reactive by allowed. And then any difficulty breathing, any other things going on? No. Chest pain or anything like that? No, [REDACTED]. He's talking and all of a sudden... Okay. All right. How far out are you? We're about 12 minutes. 12 minutes. All right. Any medicine given or anything? No. I'm going to try to get IV access on the way, but I don't see any indication from the lab side of the knee. Okay. We'll let the team know. Okay. Sounds good. Thank you. Yeah. All right. Bye. All right. Bye.</t>
  </si>
  <si>
    <t>Hello, Dr. Reeves. Hi, this is Shannon Melnick, a paramedic with Twin City Ambulance. I'm just calling about a patient that we're bringing to you. Okay. So I have a 15-year-old male. He was [REDACTED] going approximately 30 to 35 miles per hour. [REDACTED]. [REDACTED]. He did lose consciousness. He currently has a GCS of 14. He has some abrasions on the side of his face, some elbow pain, and some leg pain. His vitals are stable, 128 over 76. Heart rate 98, 97% room air. But we're bringing him over to you. What's the stomach again? 128 over 76. 76. Respiratory rate was what? Our respiratory is 18 currently. 18. And then it says [REDACTED]. And he's... How old was he? 15. 15. No vomiting, no loss of consciousness. No, he's pretty with it. He's just a little bit of confusion on some of the questions. Like he told me to at St. Patrick's Day. He told me it was Saturday. That sort of thing. But then he kind of remembers and answers correctly after a little bit. But from the point he did lose consciousness, we have a C-Con as a precaution. Pupils are equal and reactive by allowed. And then any difficulty breathing, any other things going on? No. Chest pain or anything like that? No, mainly just a little bit of confusion. He's talking and all of a sudden... Okay. All right. How far out are you? We're about 12 minutes. 12 minutes. All right. Any medicine given or anything? No. I'm going to try to get IV access on the way, but I don't see any indication from the lab side of the knee. Okay. We'll let the team know. Okay. Sounds good. Thank you. Yeah. All right. Bye. All right. Bye.</t>
  </si>
  <si>
    <t>Hello, this is Sean Bush, Advanced CMT with AMR. I'm calling because we're bringing you a 15-year-old female that was in a motor vehicle accident on the thruway, was in the back passenger, did not appear to be belted. She has a large gash across her forehead. It appears that you can see her skull underneath, and she also has some skull deformity on the front. Right now, she's GCS 14. [REDACTED]. Her vitals at this time are stable. We got a last pressure was 116 on 71. We're cycling a fresh one right now. Heart rate 100. She's 100% on room air. She's got a 20 in her left AC for you guys. On that, we're maybe about 2, 3. She's almost a week. She does have a C-collar applied. Unknown if there's loss of consciousness on impact. On that, how about that? What did you call the deformity? It looks like it's indented on the front. There's a gash. You can see the bone underneath, and then to the side of that, it's indented as well. How old is she? 15. Okay. We'll see what you do. Sounds good. Thank you. Thanks. Bye. Bye.</t>
  </si>
  <si>
    <t>Hello, this is Sean Bush, Advanced CMT with AMR. I'm calling because we're bringing you a 15-year-old female that was in a [REDACTED], [REDACTED]. She has a large gash across her forehead. It appears that you can see her skull underneath, and she also has some skull deformity on the front. Right now, she's GCS 14. She's with us. She's drowsable, feeling very white-headed, having some head and neck pain. Her vitals at this time are stable. We got a last pressure was 116 on 71. We're cycling a fresh one right now. Heart rate 100. She's 100% on room air. She's got a 20 in her left AC for you guys. On that, we're maybe about 2, 3. She's almost a week. She does have a C-collar applied. Unknown if there's loss of consciousness on impact. On that, how about that? What did you call the deformity? It looks like it's indented on the front. There's a gash. You can see the bone underneath, and then to the side of that, it's indented as well. How old is she? 15. Okay. We'll see what you do. Sounds good. Thank you. Thanks. Bye. Bye.</t>
  </si>
  <si>
    <t>Dr. Bowden, can I help you? Good evening. This is Eligible Ambulance. And we are in... What's that? Go ahead. This is Eligible Ambulance. And we are inbound with a 16-year-old female patient who fell while skiing this evening and has a fractured left hip. Possible pelvis involvement. There's also head trauma, significant head trauma where she [REDACTED]. She's [REDACTED]. She's in quite a lot of pain. I gave her 200 mics of fentanyl. Last set of vitals. Heart rate 124 on regular. Blood pressure 129 over 88. Respirations about 24. Lungs clear. SpO2 99. I got her in four liters. I did give her out. Have I established a neighbor or leader? ETH in about five to ten minutes. Any questions or orders at this time? There's quite a lot of things. Her GCS, I'd say, is 13. [REDACTED]. Okay. [REDACTED]. Okay. 13, 14. Okay. See you in a couple. Thanks. All right. Bye.</t>
  </si>
  <si>
    <t>Dr. Bowden, can I help you? Good evening. This is Eligible Ambulance. And we are in... What's that? Go ahead. This is Eligible Ambulance. And we are inbound with a 16-year-old female patient who [REDACTED] this evening and has a fractured left hip. Possible pelvis involvement. There's also [REDACTED], [REDACTED] where she doesn't remember entero and retrograde amnesia. She's a little delirious. She's in quite a lot of pain. I gave her 200 mics of fentanyl. Last set of vitals. Heart rate 124 on regular. Blood pressure 129 over 88. Respirations about 24. Lungs clear. SpO2 99. I got her in four liters. I did give her out. Have I established a neighbor or leader? ETH in about five to ten minutes. Any questions or orders at this time? There's quite a lot of things. Her GCS, I'd say, is 13. She's pretty out mentally. Okay. She's very confused. Okay. 13, 14. Okay. See you in a couple. Thanks. All right. Bye.</t>
  </si>
  <si>
    <t>Dr. Belton, can I help you? Hi, Doctor. This is Ellicottville Ambulance, and we are inbound with a 14-year-old female patient who is out skiing at Holiday Valley this evening and went over a jump, crashed, and injured her pelvis. She was executed by ski patrol and examined by a military surgeon there at the site there, and he's very concerned about her pelvis. She's the last set of vitals, heart rate 115 and regular, blood pressure 102 over 62, [REDACTED], regular, lungs clear, 98% on room air. She's resting comfortably in a position of comfort. I do have IVs established. She's not running any fluids at this time. Her ETA is about 10 minutes. Conscious alert oriented. No other traumas that we could find. No neural deficits. Any questions or orders at this time. So why do we think she has a pelvis fracture? She couldn't stand up, and she complained on lateral compression on her pelvis, as well as the surgeon who, as far as, ski patrol said he palpated her pubic bone, and she screamed. She's in a lot of pain. So her position of comfort is a semi-fetal position on her back, but her leg is drawn up. She grabbed it in, and it's the only position she's in. She cannot extend her legs without being in a lot of pain. Okay. Okay. Dr. Yowie was very concerned about her pelvis. So we're bringing her in. All right. We'll see you when you get here. How far out are you? Okay. Say that again. What's your ETA? ETA is about 10 minutes. Okay. Sounds good. We'll see you. Okay. Thank you. All right. Okay. Thank you. Bye-bye. Bye-bye. Bye-bye. Bye-bye. Bye-bye. Bye-bye. Bye-bye. Bye-bye. Bye-bye. Bye-bye. Bye-bye. Bye-bye. Bye-bye. Bye-bye. Bye-bye. Bye-bye. Bye-bye. Bye-bye.</t>
  </si>
  <si>
    <t>Dr. Belton, can I help you? Hi, Doctor. This is Ellicottville Ambulance, and we are inbound with a 14-year-old female patient who is [REDACTED] this evening and [REDACTED]. She was executed by ski patrol and examined by a military surgeon there at the site there, and he's very concerned about her pelvis. She's the last set of vitals, heart rate 115 and regular, blood pressure 102 over 62, respiration about 16, regular, lungs clear, 98% on room air. She's resting comfortably in a position of comfort. I do have IVs established. She's not running any fluids at this time. Her ETA is about 10 minutes. Conscious alert oriented. No other traumas that we could find. No neural deficits. Any questions or orders at this time. So why do we think she has a pelvis fracture? She couldn't stand up, and she complained on lateral compression on her pelvis, as well as the surgeon who, as far as, ski patrol said he palpated her pubic bone, and she screamed. She's in a lot of pain. So her position of comfort is a semi-fetal position on her back, but her leg is drawn up. She grabbed it in, and it's the only position she's in. She cannot extend her legs without being in a lot of pain. Okay. Okay. Dr. Yowie was very concerned about her pelvis. So we're bringing her in. All right. We'll see you when you get here. How far out are you? Okay. Say that again. What's your ETA? ETA is about 10 minutes. Okay. Sounds good. We'll see you. Okay. Thank you. All right. Okay. Thank you. Bye-bye. Bye-bye. Bye-bye. Bye-bye. Bye-bye. Bye-bye. Bye-bye. Bye-bye. Bye-bye. Bye-bye. Bye-bye. Bye-bye. Bye-bye. Bye-bye. Bye-bye. Bye-bye. Bye-bye. Bye-bye.</t>
  </si>
  <si>
    <t>Hello, this is Dr. Reeve. Hi, Doctor. This is Eritani Parames, a seven-year-old male who was riding a dirt bike and got struck by another dirt bike. [REDACTED]. He's repetitive. He has a laceration above his right eye. His eye is swollen. He's also complaining pain in the orbit area, complaining pain in the lower abdominal right area, and he's got what looks like an avulsion near his penis on the right side. He is boarded and collared at this time. His vitals are all stable. We'll be there in about seven, eight minutes. Can I get his GCS of 15? Oh, yeah. Right now, [REDACTED], so I'll give him about a 13. Okay. And then... Vitals are 137 over 97. Pulse rate is... Pulse rate is between 70 and 115. He's tightening at 100%. We're calming his breathing down because he is hyperventilating. So I put it around 22. Okay. All right? All right. Thank you. You're welcome. Bye. Bye.</t>
  </si>
  <si>
    <t>Hello, this is Dr. Reeve. Hi, Doctor. This is Eritani Parames, a seven-year-old male who was [REDACTED]. Possible loss of consciousness. He's repetitive. He has a laceration above his right eye. His eye is swollen. He's also complaining pain in the orbit area, complaining pain in the lower abdominal right area, and he's got what looks like an avulsion near his penis on the right side. He is boarded and collared at this time. His vitals are all stable. We'll be there in about seven, eight minutes. Can I get his GCS of 15? Oh, yeah. Right now, he's confused, so I'll give him about a 13. Okay. And then... Vitals are 137 over 97. Pulse rate is... Pulse rate is between 70 and 115. He's tightening at 100%. We're calming his breathing down because he is hyperventilating. So I put it around 22. Okay. All right? All right. Thank you. You're welcome. Bye. Bye.</t>
  </si>
  <si>
    <t>Dr. Otto's paramedic on AMR 292. Got a bit of a trauma alert for you. Neck, possible spinal injury. I had a 13-year-old male that was [REDACTED] out in East Aurora. Had a [REDACTED] trying to score. Got [REDACTED]. Went down hard and appeared to have a brief loss of consciousness. When he came to, he complained that he could not move his feet or feel anything from the chest down. Since that time when I first arrived, he was like that. Very minimal movement in his upper extremities. A bit of a decortic and kind of posturing of his hands. That has since relaxed and seems to be gaining some sensation and feeling back in his arms and legs. Still generally weak, more so on the left side of the body than the right. He is alert and oriented at this time. Current vital signs. Pulse rate is 98. O2 stats 96% on room. Blood pressure is 139 over 85. Blood sugar is normal. Father is with us. He actually videotaped the collision. Did look like he had a momentary loss of consciousness. Lung fields are clear. No other injuries felt. I didn't feel any crepitus in his neck. He is fully immobilized with cervical collar and backboard. IVs established. Coming from East Aurora and our ETA to you guys now is going to be about 10 to 12 minutes. Okay. GCS, what would you give him? I'm sorry, what? His GCS? His GCS is 15. 15. Okay. He's been 15 the entire time since I've had him. Like I said, the main thing is the sensation and motor deficits of his extremities. They seem to be improving, but he's still pretty diminished. Okay. All right. And he is complaining of sharp pain in his neck. I didn't feel any crepitus or deformity when we put the collar on him. Okay. Sounds good. All right. We'll see you when you get here. Thank you. All right. Thank you. Bye. Bye. Bye. Bye. Bye.</t>
  </si>
  <si>
    <t>Hi, it's Dr. Borski. What can I do for you? Hey, Dr. Borski. My name is Joe Tracy. I'm a paramedic with Twin City Ambulance. How are you? Good. What's up? I'm bringing you a three-year-old [REDACTED]. She's going to be a trans-working suburban. Yeah, we have the doctor on the line right now. Oh, do you? Okay. Yeah, somebody's calling Dr. Boughton. But go ahead. You can tell me. So, we've got a I.O. in her right femur. We have 22 on her right hand. Innovated with a 4-17-0 line. Serum vitals are 8.4. Pressure 121 over 70. 100% on room air. Cap no is a little low. It's around 20. Even with solar baggage. Yeah, we're about 15 minutes away or so. We're at 17 kilos. What's her size? We're sat. We're sat right now? 100%? Okay. Any other injuries that you can obviously see? Nothing obvious, but [REDACTED]. Okay. Do you see, like... I know there was another person in the vehicle as well, I believe it was her father. He's also pretty messed up all the time. Okay. He's at insufficiency. So another paramedic took him, so I didn't see him. Okay. Do you see any, like, scalp swellings on this guy, this girl, or is it where? Do I need... I'm sorry, say it one more time? Scalp swelling, like anything on the head that looks swollen? I think she's got a slight abrasion on her forehead, but honestly, it's... Okay. That's a bad case. So no major injury, pregnancy, or whatever. Okay. I think she has to go to hospital for a few minutes. So Suburban did do a... Okay. Okay. Do you... What meds are you running right now? Do you have an epidermal? Right now, it's just saline. There's no epidrip. Her pressure is good enough without it. Saline, no drip. Okay. Do you... And they didn't... Do you know if they used anything when they intubated? Like... I believe they did not. However, I do have succinylcholine and etomidate that's needed. Okay. Okay. Well, she's not doing it. Or her pupils? Can you look at her pupils? Can you look at her pupils? Sure. I sure can. Yeah. Thanks. They are... I don't know what you think. Which is... I mean, they're brown eyes, but what do you think? Here. Give me one second. I just got to turn the lights off. Thanks. Right. Normal and reactive. Woo! Hello. They're reactive? All right. Yeah. Really? Okay. Yeah. Left and right are reactive, so... Okay. All right. So... What time... When are you going to be here? We are right now 10 minutes away. 10 minutes. Okay. Thanks. All righty. Thanks, Sal. Okay. Bye. Bye.</t>
  </si>
  <si>
    <t>So, this is Dr. Weiss. It's Valerie from the DAT team. Hey, Val. How are you? Good. I am on my way back, or I'm just about to leave. Okay. Change channel. The baby looks good, actually. The thing around the eyes, it looks more, I don't know if she's got skull finishes, but it looks more like a cellulitis thing. But they're saying bruising, but the forehead is all red, too. But anyways, baby looks good. Heart rate's 167, 100% in room air. Breathing in the 46. 66 over 44 is blood pressure. 66 over 44? Yes. Okay. But he hasn't gotten any fluids. I just got a line in the mouth. Yeah. We did an IST. Glucose was fine. It was 82 on the IST. Okay. It was 134 G6 before on the way here. I told him to get one. But they fed him to it at 130. Okay. Anyways, acting right, you know, not acting anything weird to me. Doesn't sound to me any bruising or anything anywhere else. Okay. That's nice. 734, 43. The O2 on the BBG was 22, minus 3. Bicarb was 23. PCO2 was 25. 34% fats in room air. Okay. That's on the IST. Sodium was 135. The K was 6.0. Ionide calcium 5.5. The H&amp;H on the IST was 25 and 8.5. It was a little higher on their CBC than they did. Sure. They had pulled them off. [REDACTED]. She was in the NICU. On our NICU. [REDACTED]. Okay. So we'll have a little bit from there. They only kept her for like a couple weeks to feed her. Okay. Okay. Okay. Okay. Okay. Okay. Okay. Okay. Okay. Okay. Okay. Okay. Okay. Okay. Okay. Okay. Okay. Okay. Okay. Okay. Okay. Okay. Okay. Okay. Okay. Okay. Okay. Okay. Okay. Okay. Okay. Okay. the films with me. Awesome. And I have that. Awesome. Yeah, I definitely give them just a little bit of fluids. Yeah, yeah. I think you can do D5 normal saline with 20K maintenance. I don't know if I have it. Oh, okay. Sorry. The K was 6.0 on the ice jack, too. Do you have just D5 normal saline? Probably, yeah. Yeah, if you have D5 normal saline, you could run D5. I have D5 and I have normal saline. I think I have D5.9 or D5. Yeah. I don't have D5 enough. If you have D5 normal saline, I would run D5 normal saline at like 15 an hour. Okay, okay. Awesome. Sounds good. All right, we'll see you when you get here. Okay, bye.</t>
  </si>
  <si>
    <t>So, this is Dr. Weiss. It's Valerie from the DAT team. Hey, Val. How are you? Good. I am on my way back, or I'm just about to leave. Okay. Change channel. The baby looks good, actually. The thing around the eyes, it looks more, I don't know if she's got skull finishes, but it looks more like a cellulitis thing. But they're saying bruising, but the forehead is all red, too. But anyways, baby looks good. Heart rate's 167, 100% in room air. Breathing in the 46. [REDACTED]. [REDACTED] Yes. Okay. But he hasn't gotten any fluids. I just got a line in the mouth. Yeah. We did an IST. Glucose was fine. It was 82 on the IST. Okay. It was 134 G6 before on the way here. I told him to get one. But they fed him to it at 130. Okay. Anyways, acting right, you know, not acting anything weird to me. Doesn't sound to me any bruising or anything anywhere else. Okay. That's nice. 734, 43. The O2 on the BBG was 22, minus 3. Bicarb was 23. PCO2 was 25. 34% fats in room air. Okay. That's on the IST. Sodium was 135. The K was 6.0. Ionide calcium 5.5. The H&amp;H on the IST was 25 and 8.5. It was a little higher on their CBC than they did. Sure. They had pulled them off. She weighs 3.2 kilos. She was in the NICU. On our NICU. She was a 34-weeker. Okay. So we'll have a little bit from there. They only kept her for like a couple weeks to feed her. Okay. Okay. Okay. Okay. Okay. Okay. Okay. Okay. Okay. Okay. Okay. Okay. Okay. Okay. Okay. Okay. Okay. Okay. Okay. Okay. Okay. Okay. Okay. Okay. Okay. Okay. Okay. Okay. Okay. Okay. Okay. Okay. the films with me. Awesome. And I have that. Awesome. Yeah, I definitely give them just a little bit of fluids. Yeah, yeah. I think you can do D5 normal saline with 20K maintenance. I don't know if I have it. Oh, okay. Sorry. The K was 6.0 on the ice jack, too. Do you have just D5 normal saline? Probably, yeah. Yeah, if you have D5 normal saline, you could run D5. I have D5 and I have normal saline. I think I have D5.9 or D5. Yeah. I don't have D5 enough. If you have D5 normal saline, I would run D5 normal saline at like 15 an hour. Okay, okay. Awesome. Sounds good. All right, we'll see you when you get here. Okay, bye.</t>
  </si>
  <si>
    <t>TTI, this is Dr. Kohler. Hi, Doc. This is Paramedic A. Morgan. I have a [REDACTED] who was belted in a car seat, passenger, rear seat passenger of a car, involved in a rollover MDA, like a lot of runs and passenger side damage. Was taken out of the vehicle by a father before we got there. His wake and alert GCS at 15 crying. Looks like he has an eye injury, a little contusion, a little blutter on the eye. But other than that, no other obvious deficits or deformity. Heart rate was 160, 100% room air. Where can I get my blood pressure? It'll be there in like three minutes. Perfect. And I'm sorry, what was the age? [REDACTED]. [REDACTED]. [REDACTED]. Okay. Perfect. We'll see him soon. Thank you so much. All right. Thank you.</t>
  </si>
  <si>
    <t>TTI, this is Dr. Kohler. Hi, Doc. This is Paramedic A. Morgan. I have a one-year-old male who was belted in a car seat, passenger, rear seat passenger of a car, involved in a rollover MDA, like a lot of runs and passenger side damage. Was taken out of the vehicle by a father before we got there. His [REDACTED] GCS at 15 [REDACTED]. Looks like he has an eye injury, a little contusion, a little blutter on the eye. But other than that, no other obvious deficits or deformity. Heart rate was 160, 100% room air. Where can I get my blood pressure? It'll be there in like three minutes. Perfect. And I'm sorry, what was the age? One. Just a little over one. 11, 27, 20, 21 was the birth rate. Okay. Perfect. We'll see him soon. Thank you so much. All right. Thank you.</t>
  </si>
  <si>
    <t>TTI, this is Dr. Kohler. Hi, Doc. This is Paramedic A. Morgan. I have a one-year-old male who was [REDACTED], passenger, [REDACTED], involved in a [REDACTED], like a lot of runs and [REDACTED]. Was [REDACTED] before we got there. His wake and alert GCS at 15 crying. Looks like he has an eye injury, a little contusion, a little blutter on the eye. But other than that, no other obvious deficits or deformity. Heart rate was 160, 100% room air. Where can I get my blood pressure? It'll be there in like three minutes. Perfect. And I'm sorry, what was the age? One. Just a little over one. 11, 27, 20, 21 was the birth rate. Okay. Perfect. We'll see him soon. Thank you so much. All right. Thank you.</t>
  </si>
  <si>
    <t>Children's here, Dr. Kenyon. Hi, Dr. Kenyon, Daniel from Mercy Flight Number 6. I think I have a dead report. Yes. Go ahead. I have a transfer from only a general 10-year-old female, ATDX, with a head injury. She's [REDACTED], large hematoma over her left eye. We're believing she has a loss of consciousness. We call the defense. Looks like a broken collarbone, an x-ray. My mother's are glitched at a heart rate of 116, blood pressure 114 over 75, pulse oxy, I remember it was 100%. Currently getting salivate potassium. Also got a dose of HEPRA. And we have about a seven minute VGA. Any questions? No. We'll see you when you get here. Thanks. Happy to. Thank you. Bye-bye.</t>
  </si>
  <si>
    <t>Children's here, Dr. Kenyon. Hi, Dr. Kenyon, Daniel from Mercy Flight Number 6. I think I have a dead report. Yes. Go ahead. I have a transfer from only a general 10-year-old female, ATDX, with a [REDACTED]. She's wake-oriented, [REDACTED]. We're believing she has a [REDACTED]. We call the defense. Looks like a [REDACTED], an x-ray. My mother's are glitched at a heart rate of 116, blood pressure 114 over 75, pulse oxy, I remember it was 100%. Currently getting salivate potassium. Also got a dose of HEPRA. And we have about a seven minute VGA. Any questions? No. We'll see you when you get here. Thanks. Happy to. Thank you. Bye-bye.</t>
  </si>
  <si>
    <t>Oshai Children's Hospital, this is Dr. Thalish. Hi, Doc, paramedic, Nielsen Mercy Flight 6. Hi. Can you hear me okay? I can, yep. Okay, perfect. [REDACTED] who was, hang on a second. We might have a, hang on. Mm-hmm. You there, Doc? Yeah, I'm still here. Okay, okay, 19-year-old female, under strain in an Amish buggy that went off the road and rolled over. Mother landed on her, reported to be unconscious when EMS arrived. Currently she's conscious. She's vomited now three times. Conscious and crying now. Blood pressure is 98 over 56. Heart rate is 110. FPO2 is 99, and we're about 15 minutes to the rooftop, and we do have the mother with us, too. She refused EMS, but she, she got some bumps and bruises, but she signed off with the MSM team. Okay, sorry, what was your ETA? About 15 minutes. 15 minutes, okay. Yep. And what would you give her for a GCS right now? Right now she's a 15. She's a 15, okay. Yeah, she's appropriate. She was unrestrained, NBC, that rolled over? It was an Amish buggy. Oh, with the buggy. She was in the mother's arms. Okay. Yeah, the horse spoke, and they went off the road and rolled the buggy over. Okay. Do we know if... Like, if the buggy fell on her or anything like that, or...? They said the mother fell on her. I don't... I think the buggy remained intact, but it's like they remained inside the patient compartment of the buggy, but the mother did land on top of her. Okay. Inside the buggy, so... All righty. All right, thanks so much. All right. See you soon. Bye. Bye.</t>
  </si>
  <si>
    <t>Oshai Children's Hospital, this is Dr. Thalish. Hi, Doc, paramedic, Nielsen Mercy Flight 6. Hi. Can you hear me okay? I can, yep. Okay, perfect. 19-month-old female who was, hang on a second. We might have a, hang on. Mm-hmm. You there, Doc? Yeah, I'm still here. Okay, okay, 19-year-old female, under strain in an [REDACTED] that went off the road and rolled over. [REDACTED], reported to be unconscious when EMS arrived. Currently she's conscious. She's vomited now three times. Conscious and crying now. Blood pressure is 98 over 56. Heart rate is 110. FPO2 is 99, and we're about 15 minutes to the rooftop, and we do have the mother with us, too. She refused EMS, but she, she got some bumps and bruises, but she signed off with the MSM team. Okay, sorry, what was your ETA? About 15 minutes. 15 minutes, okay. Yep. And what would you give her for a GCS right now? Right now she's a 15. She's a 15, okay. Yeah, she's appropriate. She was [REDACTED]? It was an [REDACTED]. Oh, with the buggy. She was in the mother's arms. Okay. Yeah, [REDACTED]. Okay. Do we know if... Like, if the buggy fell on her or anything like that, or...? They said the mother fell on her. I don't... I think the buggy remained intact, but it's like they remained inside the patient compartment of the buggy, but [REDACTED]. Okay. Inside the buggy, so... All righty. All right, thanks so much. All right. See you soon. Bye. Bye.</t>
  </si>
  <si>
    <t>Dr. Salish, PZD. Hi, it's Kramer, my colleague. How are you doing? Good. What's going on? So, I'm bringing you guys a six-year-old female that was involved in an 18-year-old over. Unknown to the deck of health badge she was going when it rolled. Was wearing her helmet. Parked her father. She was [REDACTED], but [REDACTED]. Mm-hmm. She's playing a mid-back pain, a palm palpation in general. Got multiple abrasions throughout. Mm-hmm. No pain anywhere else I've palpated. Her vitals are stable. I got a heart rate of 92, 96 over 57 for her pressure. Getting 100% on room air. I got a C-tiller on her, and cry for an IV, but couldn't get it. We're about 40 or so minutes out. 40 minutes out? Okay. And she's 15 for you guys? Yes. Okay. Pulse ox normal, respiratory normal? Yep. Okay. All righty. And did it roll on top of her? Did she get flung from it, or do we not know that? From what her father described, it sounds like it rolled on top of her, but wasn't on top of her very long. Okay. As soon as it rolled on top of her, it was more or less off her as it finished rolling. Okay. Gotcha, gotcha. All righty. Sounds good. So, yeah, give us a call back if anything changes, if she [REDACTED] or anything like that. Okay? All right. Will do. All right. Thanks so much. Bye. Thanks. Bye.</t>
  </si>
  <si>
    <t>Dr. Salish, PZD. Hi, it's Kramer, my colleague. How are you doing? Good. What's going on? So, I'm bringing you guys a six-year-old female that was [REDACTED]. Unknown to the deck of health badge she was going when [REDACTED]. Was wearing her helmet. Parked her father. She was unresponsive for about 20 to 30 seconds, but once she came to, was acting for normal. Mm-hmm. She's playing a mid-back pain, a palm palpation in general. Got multiple abrasions throughout. Mm-hmm. No pain anywhere else I've palpated. Her vitals are stable. I got a heart rate of 92, 96 over 57 for her pressure. Getting 100% on room air. I got a C-tiller on her, and cry for an IV, but couldn't get it. We're about 40 or so minutes out. 40 minutes out? Okay. And she's 15 for you guys? Yes. Okay. Pulse ox normal, respiratory normal? Yep. Okay. All righty. And did it roll on top of her? Did she get flung from it, or do we not know that? From what her father described, it sounds like it [REDACTED], but [REDACTED]. Okay. [REDACTED]. Okay. Gotcha, gotcha. All righty. Sounds good. So, yeah, give us a call back if anything changes, if she starts mentating not normally or anything like that. Okay? All right. Will do. All right. Thanks so much. Bye. Thanks. Bye.</t>
  </si>
  <si>
    <t>Hello, Dr. Sadesky, I'm going to help you. Hi, Doctor, this is Ryan, a paramedic with AMR. I'm going to be coming in with a 9-year-old female hit by a car approximately 30 miles an hour. [REDACTED]. Blood pressure is 134 over 92, 132 for the heart rate, 100% on room air. It looks like the car ran over both of her legs. She has some cuts and abrasions on both legs with pain and palpation in both lower legs. We're about 15 out at this point, and I want to give her some fentanyl for the pain. She weighs about 90 pounds. Are you guys good with me giving the fentanyl? Yeah, you can give it. Do you see us as 15? Yeah. Yeah, you can give the fentanyl for the pain. Perfect. Thank you, Doc. And you're 15 minutes away, you said? Yeah, about 15, 20, right? Okay. Sounds good. We'll wait for you here. Thank you. Thanks.</t>
  </si>
  <si>
    <t>Hello, Dr. Sadesky, I'm going to help you. Hi, Doctor, this is Ryan, a paramedic with AMR. I'm going to be coming in with a 9-year-old female [REDACTED]. She's alert and oriented times 3. Blood pressure is 134 over 92, 132 for the heart rate, 100% on room air. It looks like [REDACTED]. She has some cuts and abrasions on both legs with pain and palpation in both lower legs. We're about 15 out at this point, and I want to give her some fentanyl for the pain. She weighs about 90 pounds. Are you guys good with me giving the fentanyl? Yeah, you can give it. Do you see us as 15? Yeah. Yeah, you can give the fentanyl for the pain. Perfect. Thank you, Doc. And you're 15 minutes away, you said? Yeah, about 15, 20, right? Okay. Sounds good. We'll wait for you here. Thank you. Thanks.</t>
  </si>
  <si>
    <t>Oshai Emergency Department, Dr. Sellish. Hi, this is Nate Osborne of Paramedicals for Donia Firehouse. How are you doing? Good. What's going on? I have a [REDACTED]. I'm just calling basically just kind of to make sure I get him to the right facility. Obviously, [REDACTED] of whether I come to you guys or if I go to ECMC. Okay. I got a [REDACTED]. He was involved in an ATV accident tonight. No LOC, no neck or back pain. The only real injuries that we have are ankle injuries to both ankles. On the right, on the inside of his ankle, it's pretty deep abrasion down to tendons and ligaments and all that. Not sure if it's swollen up. I'm not sure if it's 100% broken. I think it's more so just a super deep gash. Does he have a hole set below that area or distal to it? Yes, yes. Okay. And then I just... On the way up here, I looked at his other ankle and he's got... I'm assuming that... I'm thinking that one's more broken. I think that one's more of an open fracture on his left ankle. Mm-hmm. Bleeding. I just got him comfortable. We had to take a break while I was trying to get him bleeding controlled and all that stuff. So I wanted to make sure I got him to you or to ECMC. Well, which facility are you guys closer to? Because you can bring him to either. We're on the 90 coming from Fredonia. So it's... It's... It's six, one-half dozen, the other. It's just whatever's the best for him, honestly. I mean, you know, we'll take him here. They'll take him there. So that's perfectly fine, either one. Okay. But can I just have the rest of his vitals from you? Yep. Blood pressure 136 over 83. Heart rate at 70. Sinus on the monitor. Mm-hmm. I've given him 50 of fentanyl and four of Zolprain right now. Okay. Stabbing 100% on room air. Yep. Okay. And UCS has been 15 the whole time for you guys? Yep. Yep. He remembers the whole accident and everything like that. No LLC, nothing. Okay. The only issues are the vehicles. Okay. Yeah. If you guys are coming this way, what's your ETA, roughly? Adam, where are we at? We're not even at Silver Creek yet, so probably 30-plus minutes at this point. 30 minutes. Okay. Yeah. You guys are welcome to bring him here. That's fine. We'll just bring him. I already gave you the report, so we'll just come right and talk to you. All righty. Sounds good. Thank you. All right. See you in a bit. Do you want me to call and get a little closer, or are you all set? If there's clinical concerns or changes, you can always call back, but otherwise, it's fine. Okay. All righty. We'll see you when we get there. Thanks. Bye. Bye. Bye. Bye.</t>
  </si>
  <si>
    <t>Oshai Emergency Department, Dr. Sellish. Hi, this is Nate Osborne of Paramedicals for Donia Firehouse. How are you doing? Good. What's going on? I have a 16-year-old male. I'm just calling basically just kind of to make sure I get him to the right facility. Obviously, 16 is kind of just on that borderline of whether I come to you guys or if I go to ECMC. Okay. I got a 16-year-old male. He was involved in an ATV accident tonight. No LOC, no neck or back pain. The only real injuries that we have are ankle injuries to both ankles. On the right, on the inside of his ankle, it's pretty deep abrasion down to tendons and ligaments and all that. Not sure if it's swollen up. I'm not sure if it's 100% broken. I think it's more so just a super deep gash. Does he have a hole set below that area or distal to it? Yes, yes. Okay. And then I just... On the way up here, I looked at his other ankle and he's got... I'm assuming that... I'm thinking that one's more broken. I think that one's more of an open fracture on his left ankle. Mm-hmm. Bleeding. I just got him comfortable. We had to take a break while I was trying to get him bleeding controlled and all that stuff. So I wanted to make sure I got him to you or to ECMC. Well, which facility are you guys closer to? Because you can bring him to either. We're on the 90 coming from Fredonia. So it's... It's... It's six, one-half dozen, the other. It's just whatever's the best for him, honestly. I mean, you know, we'll take him here. They'll take him there. So that's perfectly fine, either one. Okay. But can I just have the rest of his vitals from you? Yep. [REDACTED]. Heart rate at 70. Sinus on the monitor. Mm-hmm. I've given him 50 of fentanyl and four of Zolprain right now. Okay. Stabbing 100% on room air. Yep. Okay. And UCS has been 15 the whole time for you guys? Yep. Yep. He remembers the whole accident and everything like that. No LLC, nothing. Okay. The only issues are the vehicles. Okay. Yeah. If you guys are coming this way, what's your ETA, roughly? Adam, where are we at? We're not even at Silver Creek yet, so probably 30-plus minutes at this point. 30 minutes. Okay. Yeah. You guys are welcome to bring him here. That's fine. We'll just bring him. I already gave you the report, so we'll just come right and talk to you. All righty. Sounds good. Thank you. All right. See you in a bit. Do you want me to call and get a little closer, or are you all set? If there's clinical concerns or changes, you can always call back, but otherwise, it's fine. Okay. All righty. We'll see you when we get there. Thanks. Bye. Bye. Bye. Bye.</t>
  </si>
  <si>
    <t>Oshai Emergency Department, Dr. Sellish. Hi, this is Nate Osborne of Paramedicals for Donia Firehouse. How are you doing? Good. What's going on? I have a 16-year-old male. I'm just calling basically just kind of to make sure I get him to the right facility. Obviously, 16 is kind of just on that borderline of whether I come to you guys or if I go to ECMC. Okay. I got a 16-year-old male. He was involved in an ATV accident tonight. No LOC, no neck or back pain. The only real injuries that we have are ankle injuries to both ankles. On the right, on the inside of his ankle, it's pretty deep abrasion down to tendons and ligaments and all that. Not sure if it's swollen up. I'm not sure if it's 100% broken. I think it's more so just a super deep gash. Does he have a hole set below that area or distal to it? Yes, yes. Okay. And then I just... On the way up here, I looked at his other ankle and he's got... I'm assuming that... I'm thinking that one's more broken. I think that one's more of an open fracture on his left ankle. Mm-hmm. Bleeding. I just got him comfortable. We had to take a break while I was trying to get him bleeding controlled and all that stuff. So I wanted to make sure I got him to you or to ECMC. Well, which facility are you guys closer to? Because you can bring him to either. We're on the 90 coming from Fredonia. So it's... It's... It's six, one-half dozen, the other. It's just whatever's the best for him, honestly. I mean, you know, we'll take him here. They'll take him there. So that's perfectly fine, either one. Okay. But can I just have the rest of his vitals from you? Yep. Blood pressure 136 over 83. Heart rate at 70. Sinus on the monitor. Mm-hmm. I've given him 50 of fentanyl and four of Zolprain right now. Okay. Stabbing 100% on room air. Yep. Okay. And UCS has been 15 the whole time for you guys? Yep. Yep. [REDACTED]. [REDACTED]. Okay. The only issues are the vehicles. Okay. Yeah. If you guys are coming this way, what's your ETA, roughly? Adam, where are we at? We're not even at Silver Creek yet, so probably 30-plus minutes at this point. 30 minutes. Okay. Yeah. You guys are welcome to bring him here. That's fine. We'll just bring him. I already gave you the report, so we'll just come right and talk to you. All righty. Sounds good. Thank you. All right. See you in a bit. Do you want me to call and get a little closer, or are you all set? If there's clinical concerns or changes, you can always call back, but otherwise, it's fine. Okay. All righty. We'll see you when we get there. Thanks. Bye. Bye. Bye. Bye.</t>
  </si>
  <si>
    <t>Oshai Emergency Department, Dr. Sellish. Hi, this is Nate Osborne of Paramedicals for Donia Firehouse. How are you doing? Good. What's going on? I have a 16-year-old male. I'm just calling basically just kind of to make sure I get him to the right facility. Obviously, 16 is kind of just on that borderline of whether I come to you guys or if I go to ECMC. Okay. I got a 16-year-old male. He was [REDACTED]. No LOC, no neck or back pain. The only real injuries that we have are ankle injuries to both ankles. On the right, on the inside of his ankle, it's pretty deep abrasion down to tendons and ligaments and all that. Not sure if it's swollen up. I'm not sure if it's 100% broken. I think it's more so just a super deep gash. Does he have a hole set below that area or distal to it? Yes, yes. Okay. And then I just... On the way up here, I looked at his other ankle and he's got... I'm assuming that... I'm thinking that one's more broken. I think that one's more of an open fracture on his left ankle. Mm-hmm. Bleeding. I just got him comfortable. We had to take a break while I was trying to get him bleeding controlled and all that stuff. So I wanted to make sure I got him to you or to ECMC. Well, which facility are you guys closer to? Because you can bring him to either. We're on the 90 coming from Fredonia. So it's... It's... It's six, one-half dozen, the other. It's just whatever's the best for him, honestly. I mean, you know, we'll take him here. They'll take him there. So that's perfectly fine, either one. Okay. But can I just have the rest of his vitals from you? Yep. Blood pressure 136 over 83. Heart rate at 70. Sinus on the monitor. Mm-hmm. I've given him 50 of fentanyl and four of Zolprain right now. Okay. Stabbing 100% on room air. Yep. Okay. And UCS has been 15 the whole time for you guys? Yep. Yep. He remembers the whole accident and everything like that. No LLC, nothing. Okay. The only issues are the vehicles. Okay. Yeah. If you guys are coming this way, what's your ETA, roughly? Adam, where are we at? We're not even at Silver Creek yet, so probably 30-plus minutes at this point. 30 minutes. Okay. Yeah. You guys are welcome to bring him here. That's fine. We'll just bring him. I already gave you the report, so we'll just come right and talk to you. All righty. Sounds good. Thank you. All right. See you in a bit. Do you want me to call and get a little closer, or are you all set? If there's clinical concerns or changes, you can always call back, but otherwise, it's fine. Okay. All righty. We'll see you when we get there. Thanks. Bye. Bye. Bye. Bye.</t>
  </si>
  <si>
    <t>Children's area, this is Dr. Weiss. Hey, Doctor, this is Adam on Mercy Flight 8. Can you hear me okay? Yep. I've got an 11-month-old female, fall from unknown heights. Ever since then, she's been kind of an [REDACTED], [REDACTED]. At first, [REDACTED] or anything, but when I just closed the doors to the helicopter, [REDACTED], but that's [REDACTED]. We're probably at about an hour now since she fell. That's the best guess. Her vitals are pretty stable. Blood pressure is 131 over 79. Heart rate's 162. Respiratory rate's 40. Pulse ox is 100, but that's on a pediatric non-rebreather. She de-sets pretty quickly if we take her off the oxygen. And we've probably got about a 10- to 12-minute ETA to the rooftop. Okay, so where are you guys coming from? Billboard, New York, so down Allegheny County area. Okay, and were they seen at a hospital, or did you guys get involved right away? No, this is a call for an eye. This is an on-scene. She hasn't been evaluated at all yet. Okay, so her GCS right now, you're kind of saying eye-opening to voice type of thing. That gives me kind of a three. What is she doing motor-wise? Motor-wise, she [REDACTED]. I mean, [REDACTED]. Does she withdraw to pain? Is she posturing at all? She did not. I started an IV on her, and I stuck her twice, and [REDACTED]. Okay. Like I said, [REDACTED], and [REDACTED]. Okay. Before that, [REDACTED]. All right, and was she moaning at all with the IV? Has she done any sorts of vocalizations at all for you? I guess not. I guess not. It doesn't matter. Are you still there, Doc? Yes. Sorry I lost you. I was just trying to figure out what her GCS was, especially with kind of fall from unknown height. I'd give her, I'd probably give her like. I don't know if you can still hear me or not, Doc, but I'd give her like. You'd give her like an eight? Is that what I heard, an eight? Yeah. I'm not sure. Yeah. Okay. All right. I think you're saying eight, but I can't fully hear you. I know you're kind of in the air. Okay. I would, again. All right. I would, if she is, if you can hear me, if she is not in a collar, I'd put her in a collar. I would have a low threshold to kind of supplement her oxygen by bagging her, and we'll be here when you get here. We'll be ready when you get here. Yeah. You can't hear. I don't think I'm saying. All right. So. Okay.</t>
  </si>
  <si>
    <t>Children's area, this is Dr. Weiss. Hey, Doctor, this is Adam on Mercy Flight 8. Can you hear me okay? Yep. I've got an 11-month-old female, [REDACTED]. Ever since then, she's been kind of an altered mental, disconjugate gaze to the right. At first, she wasn't reacting towards pain or anything, but when I just closed the doors to the helicopter, the slamming actually startled her, but that's the first real reaction I've had from her. We're probably at about an hour now since she fell. That's the best guess. Her vitals are pretty stable. Blood pressure is 131 over 79. Heart rate's 162. Respiratory rate's 40. Pulse ox is 100, but that's on a pediatric non-rebreather. She de-sets pretty quickly if we take her off the oxygen. And we've probably got about a 10- to 12-minute ETA to the rooftop. Okay, so where are you guys coming from? Billboard, New York, so down Allegheny County area. Okay, and were they seen at a hospital, or did you guys get involved right away? No, this is a call for an eye. This is an on-scene. She hasn't been evaluated at all yet. Okay, so her GCS right now, you're kind of saying eye-opening to voice type of thing. That gives me kind of a three. What is she doing motor-wise? Motor-wise, she hasn't really done any. I mean, she's got tone. Does she withdraw to pain? Is she posturing at all? She did not. I started an IV on her, and I stuck her twice, and she didn't flinch for either one of them. Okay. Like I said, she just started reacting a little bit now, and she was stuttered by the noise. Okay. Before that, almost nothing. All right, and was she moaning at all with the IV? Has she done any sorts of vocalizations at all for you? I guess not. I guess not. It doesn't matter. Are you still there, Doc? Yes. Sorry I lost you. I was just trying to figure out what her GCS was, especially with kind of [REDACTED]. I'd give her, I'd probably give her like. I don't know if you can still hear me or not, Doc, but I'd give her like. You'd give her like an eight? Is that what I heard, an eight? Yeah. I'm not sure. Yeah. Okay. All right. I think you're saying eight, but I can't fully hear you. I know you're kind of in the air. Okay. I would, again. All right. I would, if she is, if you can hear me, if she is not in a collar, I'd put her in a collar. I would have a low threshold to kind of supplement her oxygen by bagging her, and we'll be here when you get here. We'll be ready when you get here. Yeah. You can't hear. I don't think I'm saying. All right. So. Okay.</t>
  </si>
  <si>
    <t>Children's Emergency Department, this is Dr. Ruano. Hi, Doctor. This is Christian. I'm a paramedic with Count Tonawanda Paramedics. We're coming to you with a 4-year-old male that fell out of the windows for a story, maybe 5, 6 feet. 5, 6 feet. He fell kind of 5, 6 feet right. [REDACTED], but he did hit his head. He's got a pretty good hematoma on his forehead and on his little bit of abrasion on his nose. But he does have a deformity to his closed wrist fracture to the left wrist. He's mildly autistic, but [REDACTED]. I did give him 0.2 micrograms of fentanyl due to his pain, and [REDACTED], not wanting this to touch him. So I gave him a 0.2 IM, and [REDACTED]. Vitals are great, 130 over 74. Heart rate's 1. 117 in regular. Respirations about 35 in regular. Stats 99. I was able to put a C-collar on him, too, thanks to the fentanyl, though, because otherwise he wouldn't have let me do it. But, yeah, so in the ground that he hit, it was concrete. It was just kind of pushed on a back window and fell headfirst. Okay, so it was like the main floor, like it wasn't like a second or third floor? Correct. Okay. Correct, like, yeah, yeah. And like I said, it was about 5, 6 feet. We're probably about 8 minutes away. Okay. Okay, sounds good. And no LLT again, right? Correct. No, the father heard it and heard him cry and then went out there right away. Okay. Okay. Okay, sounds good. We'll see him when he gets here. Let us know if you need anything in the interim, okay? Sounds great. Thank you, doctor. Thank you. Bye. Bye. Bye.</t>
  </si>
  <si>
    <t>Children's Emergency Department, this is Dr. Ruano. Hi, Doctor. This is Christian. I'm a paramedic with Count Tonawanda Paramedics. We're coming to you with a 4-year-old male that [REDACTED]. 5, 6 feet. He [REDACTED] right. No loss of consciousness, but he did [REDACTED]. He's got a pretty good hematoma on his forehead and on his little bit of abrasion on his nose. But he does have a deformity to his closed wrist fracture to the left wrist. He's mildly autistic, but he is verbal to a point. I did give him 0.2 micrograms of fentanyl due to his pain, and he was really kind of freaking out, not wanting this to touch him. So I gave him a 0.2 IM, and right now he's pretty mellow. Vitals are great, 130 over 74. Heart rate's 1. 117 in regular. Respirations about 35 in regular. Stats 99. I was able to put a C-collar on him, too, thanks to the fentanyl, though, because otherwise he wouldn't have let me do it. But, yeah, so in the ground that he [REDACTED]. It was just kind of [REDACTED]. Okay, so it was like the main floor, like it wasn't like a second or third floor? Correct. Okay. Correct, like, yeah, yeah. And like I said, it was about 5, 6 feet. We're probably about 8 minutes away. Okay. Okay, sounds good. And no LLT again, right? Correct. No, the father heard it and heard him cry and then went out there right away. Okay. Okay. Okay, sounds good. We'll see him when he gets here. Let us know if you need anything in the interim, okay? Sounds great. Thank you, doctor. Thank you. Bye. Bye. Bye.</t>
  </si>
  <si>
    <t>PPD, it's Dr. Hall. Mar, I just wanted to give you an update about a trauma patient we're going to be bringing in. Okay, I'm ready. [REDACTED] struck by a train. Patient is conscious right now. She has a 15. She has abdominal evisceration, injuries to the lower legs, possible pelvis injuries. He's conscious right now. Okay. Heart rate of, like, 120. Blood pressure was 127 over 76. 98% O2. Respiratory rate of about 22. Okay. And 15. [REDACTED]. [REDACTED]. Okay, and how far out are you guys? About 10. Okay, and any obvious deformities to the lower extremities of the pelvis? Hello? Can you hear me? Hello? All right, I think I may have lost them. Okay. Can you hear me? Yes. Any obvious? Yeah, I know I can hear you. Is there any obvious deformities to the lower extremity or the pelvis? Okay. Yeah. Okay, I can't hear you, but we're going to page. We're going to finish this out now, okay? We'll see you guys in a few minutes. Okay. Bye. Okay, thank you so much. Bye. Bye. Bye. Bye. Bye.</t>
  </si>
  <si>
    <t>Hello. Hi, this is Adam on Mercy Flight 6. Who's this? Hi, Dr. Chata. Oh, hey, what's going on? Hey. I've got a 16-year-old male who was found laying on the pavement down in Yorkshire. He was on an electric bicycle and it looks like he wiped out with a head injury. He's been unresponsive for the ground crew that found him. So they RSI'd him and we're going to be coming to you. His vitals are, can you turn the monitor, please? Blood pressure is 151 over 94, heart rate 89, [REDACTED]. We're about to put him on the ventilator. Entitles 46, pulse ox is 100. Okay. Okay. How far out are you? We're still in the Angles, so it'll probably be about half an hour by the time we get there. Okay. All right. If anything changes, let us know. Actually, could you do me a favor? Like, if all you guys... What's up? If you, like, 10 minutes out, could you just call us as of well so I can better time it out for our team here? If that's possible. Okay. There you go. Yeah, I'll call you about 10 minutes out. Once we get airborne, it's probably going to be about 15, so... But I'll give you a call when we're 10 minutes out. Okay. And let you know for sure. Bilateral access, too, by the way. 18 and 16. I didn't catch that. I love that thing. Bilateral what? Bilateral IP access. Okay. An 18 on one side and a 16 on the other. Okay. Is he colored? Yes. Okay, good. All right. Great. Thank you. Yep, we'll see you in a little bit. Okay. Bye-bye. Bye-bye. Bye-bye.</t>
  </si>
  <si>
    <t>Hello. Hi, this is Adam on Mercy Flight 6. Who's this? Hi, Dr. Chata. Oh, hey, what's going on? Hey. I've got a 16-year-old male who was found laying on the pavement down in Yorkshire. He was on an electric bicycle and it looks like he wiped out with a head injury. He's been [REDACTED]. So they RSI'd him and we're going to be coming to you. His vitals are, can you turn the monitor, please? Blood pressure is 151 over 94, heart rate 89, respiratory rate's about 13 right now with us bagging him. We're about to put him on the ventilator. Entitles 46, pulse ox is 100. Okay. Okay. How far out are you? We're still in the Angles, so it'll probably be about half an hour by the time we get there. Okay. All right. If anything changes, let us know. Actually, could you do me a favor? Like, if all you guys... What's up? If you, like, 10 minutes out, could you just call us as of well so I can better time it out for our team here? If that's possible. Okay. There you go. Yeah, I'll call you about 10 minutes out. Once we get airborne, it's probably going to be about 15, so... But I'll give you a call when we're 10 minutes out. Okay. And let you know for sure. Bilateral access, too, by the way. 18 and 16. I didn't catch that. I love that thing. Bilateral what? Bilateral IP access. Okay. An 18 on one side and a 16 on the other. Okay. Is he colored? Yes. Okay, good. All right. Great. Thank you. Yep, we'll see you in a little bit. Okay. Bye-bye. Bye-bye. Bye-bye.</t>
  </si>
  <si>
    <t>OCH Emergency Department, Dr. Sosh. Hi, it's Dr. Sosh. How are you doing? I'm doing all right. What's up? Well, I'm bringing you guys a [REDACTED] that was involved in a rather serious MDA, a pickup truck in Swift Street. She was in the back seat, reportedly in the car seat. Knock on wood, the only injury that I found on her is a small hematoma to the right side of her forehead. Otherwise, her physical exam was unremarkable. She was acting inappropriate for [REDACTED]. The last set of vitals I had on her was 124 for heart rate, 108 or 64 for pressure. I just kind of want to see the guys that had the upset. We're probably looking at about 50 to 60 mile an hour speeds of the adult she was in. 50 to 60 miles per hour? Airbags went off, I'm guessing? Yeah, airbags went off. Sorry, yes, sir. She was in the front passenger side. Okay. Her mother got mercy flighted to ECMC. Dad was battened out of that scooter with a can of X. Okay. And how far away are you guys from us? We are about 35 to 40 minutes to get her take back. 35 to 40 minutes? Yeah, on the car 50 stables. All righty. Yeah, so she's doing okay otherwise. So give us a call back if anything changes in the interim, but we'll see you guys in 35 minutes. All right. Thanks. Thanks. Bye.</t>
  </si>
  <si>
    <t>OCH Emergency Department, Dr. Sosh. Hi, it's Dr. Sosh. How are you doing? I'm doing all right. What's up? Well, I'm bringing you guys a two-year-old female that was [REDACTED], [REDACTED]. [REDACTED], [REDACTED]. Knock on wood, the only injury that I found on her is a small hematoma to the right side of her forehead. Otherwise, her physical exam was unremarkable. She was acting inappropriate for a two-year-old. The last set of vitals I had on her was 124 for heart rate, 108 or 64 for pressure. I just kind of want to see the guys that had the upset. We're probably looking at about 50 to 60 mile an hour speeds of the adult she was in. 50 to 60 miles per hour? [REDACTED], I'm guessing? Yeah, [REDACTED]. Sorry, yes, sir. She was [REDACTED]. Okay. Her mother got mercy flighted to ECMC. Dad was battened out of that scooter with a can of X. Okay. And how far away are you guys from us? We are about 35 to 40 minutes to get her take back. 35 to 40 minutes? Yeah, on the car 50 stables. All righty. Yeah, so she's doing okay otherwise. So give us a call back if anything changes in the interim, but we'll see you guys in 35 minutes. All right. Thanks. Thanks. Bye.</t>
  </si>
  <si>
    <t>PPD, it's Dr. Oh, yes. Hi, this is Phil O'Shea at Paramedic Twin City Andoans. How you doing? Good. How are you? Hey, I'm doing okay. I wanted to give you a heads up. I'm inbound with a nine-year-old boy who was hit by a vehicle out in Clarence. The vehicle reportedly doing about 45, 50 miles an hour, clipped him on the front driver's side. Reported of airborne about three to four feet. No reported loss of consciousness. He's got a small abrasion on the back of the head. No massive bleeding. He's got abrasions on both elbows, both knees, and also on the left flank going into the back. Those are the most problematic areas. Stable pelvis, stable hips. No flail chest. He's got good lung movement, good air movement. No distension in the abdomen. It's soft, not tender. He's got good PMS in all extremities. Current vitals right now, 130 for heart rate. 108 over 60. 47 for blood pressure. He's sat in right now at 100% on a non-rebreather. Initially he was a little bit low in type of a non-rebreather and he was sitting around 88. But all lung sounds were clear. I had no signs of like a pneumothorax or anything. Okay. Okie doke. And his GCS? GCS, I'm going to give him about a 15 right now. [REDACTED] at this point. Okay. And what is your EPA? Okay. Give us probably about going, we're going to say about 15. 15. All right. About 15 minutes out. Soon. Okay. Thank you very much. Thanks. All right. Thank you. Bye.</t>
  </si>
  <si>
    <t>So shy, this is Dr. Pathers. Hi, Doc. This is Ian Stone, paramedic with Mercy Flight. I'm coming in by ground with your transfer from Lockport. Okay. The five-year-old male talking to mom, it sounds like he was trying to climb up the tree. Initially, I guess, Timmy might have told you guys five feet. Now that we're talking, we believe it was at least eight feet up the tree, and he fell backwards onto a cement paver that was around the base of the tree. We don't believe there was any loss of consciousness. He's immediately awake and crying, and his family found him. He's definitely having intermittent periods of decreased responsiveness, and he comes back and starts crying. When he does come back, he is oriented, but then he just kind of has a period of decreased consciousness again. Okay. [REDACTED], depending on whether he's minimally responsible or crying. His last pressure was 136 over 86. His O2 stat is 98 on two liters currently. I also have him on a nasal end tidal. His end tidal is anywhere from like 38 to 44. It's still kind of in the, you know, permissible range. I've been unable to get a blood sugar or anything on him that way, even though I don't think that's an issue. Okay. Is that a thought-towering? Did you repeat that part? Did you? Sorry. Sorry. Sorry. Sorry. Sorry. Did you get any, like, IV access, kiddo? No. They were unable to get an IV access, and I haven't been trying. I've been trying to just keep them calm on the way there. This is the 110 walkport. And I guess they were able to do a chest x-ray, but they weren't able to do any imaging as well. So it's not like he got a dry, pesky period or anything like that before he walked in. Okay. All right. And then what would you say the GCS is right now? Right now, when he's awake, anywhere from 13 to 15. When he goes out, I would say maybe 11 or 12. Okay. Okay. All right. And our EPA view is probably eight minutes, if that. Okay. All right. We will see you when you get here. All right. Thanks, Doc. Bye. Bye. Bye. Bye. Bye.</t>
  </si>
  <si>
    <t>So shy, this is Dr. Pathers. Hi, Doc. This is Ian Stone, paramedic with Mercy Flight. I'm coming in by ground with your transfer from Lockport. Okay. The five-year-old male talking to mom, it sounds like he was trying to climb up the tree. Initially, I guess, Timmy might have told you guys five feet. Now that we're talking, we believe it was at least eight feet up the tree, and he fell backwards onto a cement paver that was around the base of the tree. We don't believe there was any loss of consciousness. He's immediately awake and crying, and his family found him. He's definitely having intermittent periods of decreased responsiveness, and he comes back and starts crying. When he does come back, he is oriented, but then he just kind of has a period of decreased consciousness again. Okay. His rate is anywhere from 80 to 120, depending on whether he's minimally responsible or crying. [REDACTED]. His O2 stat is 98 on two liters currently. I also have him on a nasal end tidal. His end tidal is anywhere from like 38 to 44. It's still kind of in the, you know, permissible range. I've been unable to get a blood sugar or anything on him that way, even though I don't think that's an issue. Okay. Is that a thought-towering? Did you repeat that part? Did you? Sorry. Sorry. Sorry. Sorry. Sorry. Did you get any, like, IV access, kiddo? No. They were unable to get an IV access, and I haven't been trying. I've been trying to just keep them calm on the way there. This is the 110 walkport. And I guess they were able to do a chest x-ray, but they weren't able to do any imaging as well. So it's not like he got a dry, pesky period or anything like that before he walked in. Okay. All right. And then what would you say the GCS is right now? Right now, when he's awake, anywhere from 13 to 15. When he goes out, I would say maybe 11 or 12. Okay. Okay. All right. And our EPA view is probably eight minutes, if that. Okay. All right. We will see you when you get here. All right. Thanks, Doc. Bye. Bye. Bye. Bye. Bye.</t>
  </si>
  <si>
    <t>So shy, this is Dr. Pathers. Hi, Doc. This is Ian Stone, paramedic with Mercy Flight. I'm coming in by ground with your transfer from Lockport. Okay. The five-year-old male talking to mom, it sounds like he was trying to climb up the tree. Initially, I guess, Timmy might have told you guys five feet. Now that we're talking, we believe it was at least eight feet up the tree, and he fell backwards onto a cement paver that was around the base of the tree. We don't believe there was any loss of consciousness. He's immediately awake and crying, and his family found him. He's definitely having [REDACTED], and he comes back and starts crying. When he does come back, [REDACTED]. Okay. His rate is anywhere from 80 to 120, depending on whether he's minimally responsible or crying. His last pressure was 136 over 86. His O2 stat is 98 on two liters currently. I also have him on a nasal end tidal. His end tidal is anywhere from like 38 to 44. It's still kind of in the, you know, permissible range. I've been unable to get a blood sugar or anything on him that way, even though I don't think that's an issue. Okay. Is that a thought-towering? Did you repeat that part? Did you? Sorry. Sorry. Sorry. Sorry. Sorry. Did you get any, like, IV access, kiddo? No. They were unable to get an IV access, and I haven't been trying. I've been trying to just keep them calm on the way there. This is the 110 walkport. And I guess they were able to do a chest x-ray, but they weren't able to do any imaging as well. So it's not like he got a dry, pesky period or anything like that before he walked in. Okay. All right. And then what would you say the GCS is right now? Right now, when he's awake, anywhere from 13 to 15. When he goes out, I would say maybe 11 or 12. Okay. Okay. All right. And our EPA view is probably eight minutes, if that. Okay. All right. We will see you when you get here. All right. Thanks, Doc. Bye. Bye. Bye. Bye. Bye.</t>
  </si>
  <si>
    <t>So shy, this is Dr. Pathers. Hi, Doc. This is Ian Stone, paramedic with Mercy Flight. I'm coming in by ground with your transfer from Lockport. Okay. The five-year-old male talking to mom, it sounds like [REDACTED]. Initially, I guess, Timmy might have told you guys five feet. Now that we're talking, we believe it was at least eight feet up the tree, and [REDACTED] that was around the base of the tree. We don't believe there was any loss of consciousness. He's immediately awake and crying, and his family found him. He's definitely having intermittent periods of decreased responsiveness, and he comes back and starts crying. When he does come back, he is oriented, but then he just kind of has a period of decreased consciousness again. Okay. His rate is anywhere from 80 to 120, depending on whether he's minimally responsible or crying. His last pressure was 136 over 86. His O2 stat is 98 on two liters currently. I also have him on a nasal end tidal. His end tidal is anywhere from like 38 to 44. It's still kind of in the, you know, permissible range. I've been unable to get a blood sugar or anything on him that way, even though I don't think that's an issue. Okay. Is that a thought-towering? Did you repeat that part? Did you? Sorry. Sorry. Sorry. Sorry. Sorry. Did you get any, like, IV access, kiddo? No. They were unable to get an IV access, and I haven't been trying. I've been trying to just keep them calm on the way there. This is the 110 walkport. And I guess they were able to do a chest x-ray, but they weren't able to do any imaging as well. So it's not like he got a dry, pesky period or anything like that before he walked in. Okay. All right. And then what would you say the GCS is right now? Right now, when he's awake, anywhere from 13 to 15. When he goes out, I would say maybe 11 or 12. Okay. Okay. All right. And our EPA view is probably eight minutes, if that. Okay. All right. We will see you when you get here. All right. Thanks, Doc. Bye. Bye. Bye. Bye. Bye.</t>
  </si>
  <si>
    <t>This is the emergency department. This is Dr. Ruano. Hey, it's Rachel from Tom and Tom and Wanda Paramedic. How are you? Good, thanks. How are you? Good. I just have a situation here. I have a 23-year-old female mom and her [REDACTED] that was involved in an MVC car accident. They both want to be seen, but he's complaining a little bit of belly pain. He was wearing a seatbelt and got jarred around a little bit. They want to stay together. I just don't want to send him to an adult facility, but I don't want to separate them. Yeah. So I'm in a hard place right here. Yeah. Tell me a little bit more about the MVC. There's a good significant front-end damage. It's probably about a foot and a half intrusion. They're both wearing seatbelts. There's airbag deployment. He was in the back in a booster, you said, or in a car seat? Hang on. I've got to find that out because I'm looking in here right now. No worries. It doesn't look like he was in anything. Oh, not in a car seat? Just a seatbelt? No. Okay. And [REDACTED]. Yeah, [REDACTED], too. Any, like, bruising or anything like that? Not the nice thing right now, but he's just holding on to his belly, and he's crying. Like, he's upset about it. But I touched around. I didn't see anything obvious. And did they rear-end someone? Honestly, they T-boned somebody. T-boned. So it was, like, the front of the car, and he was in the back seat anyways. Any loss of consciousness? None that we know of, no. He got up and he was crying right away. Yeah. I just don't want to separate them. I know. I know. So just with the belly pain, we might end up activating him as a trauma. Do you know how fast the car was going, actually? How fast were you guys going roughly? You were coming down Sheridan. It said, like, 35, 40 miles per hour car. Okay. Yeah. Did you just have the light green, or did you have to stop and then go? Oh, no, I knew. Were you just going through the intersection, and then you were going? Okay. So probably I would say about, like, 30, 35. 30 and 35. Yeah, intersection, yeah. So this is, like, a 30-mile. Yeah. So normally we wouldn't activate it as a trauma. He's someone that we would see how his belly pain is determined. So he's definitely someone that I would recommend getting evaluated here instead of elsewhere. But mom, we wouldn't be able to evaluate her. So she would be, if she ends up coming in and she wants to be cared, she would be, like, an MSC, like a stabilization evaluation, and then a transfer most likely to ECMC versus Buffalo General. I don't think she would be a trauma. I don't think she would be a trauma if no one had any loss of consciousness or anything like that. No, she looks good. She's got shoulder pain, like, from the seatbelt and all that. So I'm not, like, I could talk to her and see if she wants to get evaluated after and sign with her. Right, right. If she can be with him. That's what I'm thinking, but. Yeah, probably better off. Just so you give me a heads up. Yeah, better off bringing them here first, and then, you know, if mom wants to see care afterwards, we could either, like, stabilize her, arrange transfer, or if she wants, she doesn't have to check in, and she could just be seen somewhere after the fact. Okay. I'll work on that, but I'll try. I'm going to try to get him two days, okay? Yeah, yeah, yeah. Can I get his last set of vitals? I have to do that right now. Right now I'm in the middle of the intersection with them, so, yeah. But right now his respiration is about 22, and I have to get for them that. So I'm sorry. Yeah, no, that's okay. When you guys are on your way, just, if you wouldn't mind giving us a call, just like that, we have an ETA on him, and if we want to activate him as a trauma, we can. It sounds like we might not anyways. We might see him first and decide, but. Okay. No, that's not a problem. Yeah, I'll have that all arranged for you guys. Thank you so much. Awesome. Thank you so much. Okay, bye. Bye.</t>
  </si>
  <si>
    <t>This is the emergency department. This is Dr. Ruano. Hey, it's Rachel from Tom and Tom and Wanda Paramedic. How are you? Good, thanks. How are you? Good. I just have a situation here. I have a 23-year-old female mom and her 4-year-old son that was involved in an MVC car accident. They both want to be seen, but he's complaining a little bit of belly pain. He was wearing a seatbelt and got jarred around a little bit. They want to stay together. I just don't want to send him to an adult facility, but I don't want to separate them. Yeah. So I'm in a hard place right here. Yeah. Tell me a little bit more about the MVC. There's a good significant front-end damage. It's probably about a foot and a half intrusion. They're both wearing seatbelts. There's airbag deployment. He was in the back in a booster, you said, or in a car seat? Hang on. I've got to find that out because I'm looking in here right now. No worries. It doesn't look like he was in anything. Oh, not in a car seat? Just a seatbelt? No. Okay. And he's four. Yeah, he's a tiny four, too. Any, like, bruising or anything like that? Not the nice thing right now, but he's just holding on to his belly, and he's crying. Like, he's upset about it. But I touched around. I didn't see anything obvious. And did they rear-end someone? Honestly, they T-boned somebody. T-boned. So it was, like, the front of the car, and he was in the back seat anyways. Any loss of consciousness? None that we know of, no. [REDACTED]. Yeah. I just don't want to separate them. I know. I know. So just with the belly pain, we might end up activating him as a trauma. Do you know how fast the car was going, actually? How fast were you guys going roughly? You were coming down Sheridan. It said, like, 35, 40 miles per hour car. Okay. Yeah. Did you just have the light green, or did you have to stop and then go? Oh, no, I knew. Were you just going through the intersection, and then you were going? Okay. So probably I would say about, like, 30, 35. 30 and 35. Yeah, intersection, yeah. So this is, like, a 30-mile. Yeah. So normally we wouldn't activate it as a trauma. He's someone that we would see how his belly pain is determined. So he's definitely someone that I would recommend getting evaluated here instead of elsewhere. But mom, we wouldn't be able to evaluate her. So she would be, if she ends up coming in and she wants to be cared, she would be, like, an MSC, like a stabilization evaluation, and then a transfer most likely to ECMC versus Buffalo General. I don't think she would be a trauma. I don't think she would be a trauma if no one had any loss of consciousness or anything like that. No, she looks good. She's got shoulder pain, like, from the seatbelt and all that. So I'm not, like, I could talk to her and see if she wants to get evaluated after and sign with her. Right, right. If she can be with him. That's what I'm thinking, but. Yeah, probably better off. Just so you give me a heads up. Yeah, better off bringing them here first, and then, you know, if mom wants to see care afterwards, we could either, like, stabilize her, arrange transfer, or if she wants, she doesn't have to check in, and she could just be seen somewhere after the fact. Okay. I'll work on that, but I'll try. I'm going to try to get him two days, okay? Yeah, yeah, yeah. Can I get his last set of vitals? I have to do that right now. Right now I'm in the middle of the intersection with them, so, yeah. But right now his respiration is about 22, and I have to get for them that. So I'm sorry. Yeah, no, that's okay. When you guys are on your way, just, if you wouldn't mind giving us a call, just like that, we have an ETA on him, and if we want to activate him as a trauma, we can. It sounds like we might not anyways. We might see him first and decide, but. Okay. No, that's not a problem. Yeah, I'll have that all arranged for you guys. Thank you so much. Awesome. Thank you so much. Okay, bye. Bye.</t>
  </si>
  <si>
    <t>This is the emergency department. This is Dr. Ruano. Hey, it's Rachel from Tom and Tom and Wanda Paramedic. How are you? Good, thanks. How are you? Good. I just have a situation here. I have a 23-year-old female mom and her 4-year-old son that was [REDACTED]. They both want to be seen, but he's complaining a little bit of belly pain. He was wearing a seatbelt and got jarred around a little bit. They want to stay together. I just don't want to send him to an adult facility, but I don't want to separate them. Yeah. So I'm in a hard place right here. Yeah. Tell me a little bit more about the MVC. There's a good [REDACTED]. It's probably about a [REDACTED]. They're both [REDACTED]. There's [REDACTED]. He was in the back in a booster, you said, or in a car seat? Hang on. I've got to find that out because I'm looking in here right now. No worries. It doesn't look like he was in anything. Oh, not in a car seat? Just a seatbelt? No. Okay. And he's four. Yeah, he's a tiny four, too. Any, like, bruising or anything like that? Not the nice thing right now, but he's just holding on to his belly, and he's crying. Like, he's upset about it. But I touched around. I didn't see anything obvious. And did they rear-end someone? Honestly, they [REDACTED]. T-boned. So it was, like, the [REDACTED], and [REDACTED] anyways. Any loss of consciousness? None that we know of, no. He got up and he was crying right away. Yeah. I just don't want to separate them. I know. I know. So just with the belly pain, we might end up activating him as a trauma. Do you know how fast the car was going, actually? How fast were you guys going roughly? You were [REDACTED]. It said, like, [REDACTED]. Okay. Yeah. Did you just have the light green, or did you have to stop and then go? Oh, no, I knew. Were you just [REDACTED], and then you were going? Okay. So probably I would say about, like, [REDACTED]. 30 and 35. Yeah, intersection, yeah. So this is, like, a [REDACTED]. Yeah. So normally we wouldn't activate it as a trauma. He's someone that we would see how his belly pain is determined. So he's definitely someone that I would recommend getting evaluated here instead of elsewhere. But mom, we wouldn't be able to evaluate her. So she would be, if she ends up coming in and she wants to be cared, she would be, like, an MSC, like a stabilization evaluation, and then a transfer most likely to ECMC versus Buffalo General. I don't think she would be a trauma. I don't think she would be a trauma if no one had any loss of consciousness or anything like that. No, she looks good. She's got shoulder pain, like, from the [REDACTED]. So I'm not, like, I could talk to her and see if she wants to get evaluated after and sign with her. Right, right. If she can be with him. That's what I'm thinking, but. Yeah, probably better off. Just so you give me a heads up. Yeah, better off bringing them here first, and then, you know, if mom wants to see care afterwards, we could either, like, stabilize her, arrange transfer, or if she wants, she doesn't have to check in, and she could just be seen somewhere after the fact. Okay. I'll work on that, but I'll try. I'm going to try to get him two days, okay? Yeah, yeah, yeah. Can I get his last set of vitals? I have to do that right now. Right now I'm in the middle of the intersection with them, so, yeah. But right now his respiration is about 22, and I have to get for them that. So I'm sorry. Yeah, no, that's okay. When you guys are on your way, just, if you wouldn't mind giving us a call, just like that, we have an ETA on him, and if we want to activate him as a trauma, we can. It sounds like we might not anyways. We might see him first and decide, but. Okay. No, that's not a problem. Yeah, I'll have that all arranged for you guys. Thank you so much. Awesome. Thank you so much. Okay, bye. Bye.</t>
  </si>
  <si>
    <t>Hi, this is Lewis and Chu calling to give a report for a patient we're bringing in. Sure. Okay. I have a [REDACTED] involved in a motor vehicle accident. Okay. Right now, her vitals are 148 over 110. Heart rate is about 100, and the rest are 25. She has a couple of scuffs on her knees, no loss of consciousness, no neck pain, she does have deformity in the lower right leg. Okay. What was the, like, how fast was the car going? Was she in the car or was she hit by a car? She was in the passenger side front with airbag deployment. Okay. Do they have any idea how fast the car was going? No, nobody knows. She was riding with her grandma, and her grandma went unresponsive, and they hit a tree. Oh, okay. Okay, okay. What is her GPS? Probably about 10, maybe 10 minutes. Oh, sorry, her GCS, like her... Oh, 15, 15. Yeah, she's conscious and alert and aware and all that. And her staff are okay? Yeah, yeah, she seems like she's doing okay. She's got good movement and pulses in her extremity that has obvious deformity. Okay. All right. We will see you in about 10 minutes. Anything else I can do for you right now? No, that's it. All right, thank you. All right. See you soon.</t>
  </si>
  <si>
    <t>Hi, this is Lewis and Chu calling to give a report for a patient we're bringing in. Sure. Okay. I have a 10-year-old female involved in a motor vehicle accident. Okay. Right now, her vitals are 148 over 110. [REDACTED], and the rest are 25. She has a couple of scuffs on her knees, no loss of consciousness, no neck pain, she does have deformity in the lower right leg. Okay. What was the, like, how fast was the car going? Was she in the car or was she hit by a car? She was in the passenger side front with airbag deployment. Okay. Do they have any idea how fast the car was going? No, nobody knows. She was riding with her grandma, and her grandma went unresponsive, and they hit a tree. Oh, okay. Okay, okay. What is her GPS? Probably about 10, maybe 10 minutes. Oh, sorry, her GCS, like her... Oh, 15, 15. Yeah, she's conscious and alert and aware and all that. And her staff are okay? Yeah, yeah, she seems like she's doing okay. She's got good movement and pulses in her extremity that has obvious deformity. Okay. All right. We will see you in about 10 minutes. Anything else I can do for you right now? No, that's it. All right, thank you. All right. See you soon.</t>
  </si>
  <si>
    <t>Hi, this is Lewis and Chu calling to give a report for a patient we're bringing in. Sure. Okay. I have a 10-year-old female involved in a motor vehicle accident. Okay. Right now, her vitals are [REDACTED]. Heart rate is about 100, and the rest are 25. She has a couple of scuffs on her knees, no loss of consciousness, no neck pain, she does have deformity in the lower right leg. Okay. What was the, like, how fast was the car going? Was she in the car or was she hit by a car? She was in the passenger side front with airbag deployment. Okay. Do they have any idea how fast the car was going? No, nobody knows. She was riding with her grandma, and her grandma went unresponsive, and they hit a tree. Oh, okay. Okay, okay. What is her GPS? Probably about 10, maybe 10 minutes. Oh, sorry, her GCS, like her... Oh, 15, 15. Yeah, she's conscious and alert and aware and all that. And her staff are okay? Yeah, yeah, she seems like she's doing okay. She's got good movement and pulses in her extremity that has obvious deformity. Okay. All right. We will see you in about 10 minutes. Anything else I can do for you right now? No, that's it. All right, thank you. All right. See you soon.</t>
  </si>
  <si>
    <t>Hi, this is Lewis and Chu calling to give a report for a patient we're bringing in. Sure. Okay. I have a 10-year-old female involved in a motor vehicle accident. Okay. Right now, her vitals are 148 over 110. Heart rate is about 100, and [REDACTED]. She has a couple of scuffs on her knees, no loss of consciousness, no neck pain, she does have deformity in the lower right leg. Okay. What was the, like, how fast was the car going? Was she in the car or was she hit by a car? She was in the passenger side front with airbag deployment. Okay. Do they have any idea how fast the car was going? No, nobody knows. She was riding with her grandma, and her grandma went unresponsive, and they hit a tree. Oh, okay. Okay, okay. What is her GPS? Probably about 10, maybe 10 minutes. Oh, sorry, her GCS, like her... Oh, 15, 15. Yeah, she's conscious and alert and aware and all that. And her staff are okay? Yeah, yeah, she seems like she's doing okay. She's got good movement and pulses in her extremity that has obvious deformity. Okay. All right. We will see you in about 10 minutes. Anything else I can do for you right now? No, that's it. All right, thank you. All right. See you soon.</t>
  </si>
  <si>
    <t>Hi, this is Lewis and Chu calling to give a report for a patient we're bringing in. Sure. Okay. I have a 10-year-old female involved in a motor vehicle accident. Okay. Right now, her vitals are 148 over 110. Heart rate is about 100, and the rest are 25. She has a couple of scuffs on her knees, no loss of consciousness, no neck pain, she does have deformity in the lower right leg. Okay. What was the, like, how fast was the car going? Was she in the car or was she hit by a car? She was in the passenger side front with airbag deployment. Okay. Do they have any idea how fast the car was going? No, nobody knows. She was riding with her grandma, and her grandma went unresponsive, and they hit a tree. Oh, okay. Okay, okay. What is her GPS? Probably about 10, maybe 10 minutes. Oh, sorry, her GCS, like her... Oh, 15, 15. Yeah, [REDACTED]. And her staff are okay? Yeah, yeah, she seems like she's doing okay. She's got good movement and pulses in her extremity that has obvious deformity. Okay. All right. We will see you in about 10 minutes. Anything else I can do for you right now? No, that's it. All right, thank you. All right. See you soon.</t>
  </si>
  <si>
    <t>Hi, this is Lewis and Chu calling to give a report for a patient we're bringing in. Sure. Okay. I have a 10-year-old female [REDACTED]. Okay. Right now, her vitals are 148 over 110. Heart rate is about 100, and the rest are 25. She has a couple of scuffs on her knees, no loss of consciousness, no neck pain, she does have deformity in the lower right leg. Okay. What was the, like, how fast was the car going? Was she in the car or was she hit by a car? [REDACTED]. Okay. Do they have any idea how fast the car was going? No, nobody knows. She was riding with her grandma, and her grandma went unresponsive, and [REDACTED]. Oh, okay. Okay, okay. What is her GPS? Probably about 10, maybe 10 minutes. Oh, sorry, her GCS, like her... Oh, 15, 15. Yeah, she's conscious and alert and aware and all that. And her staff are okay? Yeah, yeah, she seems like she's doing okay. She's got good movement and pulses in her extremity that has obvious deformity. Okay. All right. We will see you in about 10 minutes. Anything else I can do for you right now? No, that's it. All right, thank you. All right. See you soon.</t>
  </si>
  <si>
    <t>Hi, this is Steve from the staff team. I have Raylan Sherwood. Did you hear about this [REDACTED]? It's a [REDACTED]. Was that Bradford? Yeah. You did? Yeah, I did, yeah. Okay. So this is a [REDACTED] that was involved in a, seems like a, oh. Sorry about that. This was airborne. Yeah. So this is a [REDACTED] that was involved in, like, an attack by a dog, unwitnessed. There was a babysitter watching the [REDACTED], and she stepped out of the room for a short while. A dog got out and was found on top of the [REDACTED]. Yeah. So the [REDACTED] has. What I'm looking at is a lot of superficial lacerations and ecchymosis to the, primarily the frontal and temporal regions. Yeah. Had a head CT and a CT of the neck, which was negative. For them, she presented with a temp of 34, 34-something. She is normal thermic now. She is vitally stable. Her temperature is about 36.7 now. Yeah. Partly, like, 140s, normal tensive. Sat in high 90s on room air. Okay. They didn't have a collar on her. We just kind of made an impromptu collar with a towel. And so she's immobilized there. She's in an isolate, maintaining her temperature. Mm-hmm. Okay. So, from a standpoint. Like, awake and otherwise acting okay? Yeah. Yeah. Yeah. She's vigorous, moving all her extremities. Pupils are brisk to react to light. Okay. Good breath sounds. Perfusion's good. So, we established IV access. Her ISAT was pretty much, everything was benign. Her last glucose was 92. Okay. And they had a order for ceftriaxone. Mm-hmm. Because they were treating her as sepsis, I guess. Yeah. I heard that part. Versus NAC. Do you want me to go ahead with giving ceftriaxone or? I think we would want augmented. Julie, does Rosethan good enough for dog bites or? It's so good. So, it's going to be a bit. Why Rosethan? Yeah. I'm not sure. They just have IV access. Oh, no. Okay. No, no. Okay. All right. Um, please. Did you do that? Am I allowed to give augmented? Yeah. That's okay to do the Rosethan now, and then we'll give augmented. All right. So, 50? Yeah. 50 per kilo. 50 per kilo. Yeah. Okay. All right. And, um. Do you think we're going to need, like, ENT or facial or somebody to come fix these? Are they, like, very extensive or? Uh, there's. They're primarily. Superficial. Okay. She did have some bleeding from the left ear. Yeah. Which they explored, and they didn't really see anything. Okay. But the. The ecchymosis is pretty significant to her. Yeah. Her scalp and her temporal. Bilateral temporal region. Okay. So, I'm. I'm not sure if we should do this as a. A level two. Yeah. That's kind of what I'm wondering, too. But. Um. Why don't. How far away are you guys? We're about an hour and 20 minutes. An hour and 20 minutes. Okay. Yeah. I am. I think unless something changes, we can just kind of make that determination when you guys get here. Um. If that works. Okay. Yeah. All right. Is there anything that you would want me to address? Um. I mean, as long as she's got normal vital, she's breathing on her own, we can give her the antibiotics. Um. And then, yeah. We've immobilized as best we could for her neck. So. Um. Yeah. Nothing else I'd add right now unless things change. Okay. Okay. Sounds good. All right. Thank you. We'll see how we get here. Bye-bye. Thanks. Bye. Bye. Bye. Bye. Bye.</t>
  </si>
  <si>
    <t>Hi, this is Steve from the staff team. I have Raylan Sherwood. Did you hear about this baby? It's a four-month-old. Was that Bradford? Yeah. You did? Yeah, I did, yeah. Okay. So this is a four-month-old that was involved in a, seems like a, oh. Sorry about that. This was airborne. Yeah. So this is a four-month-old that was involved in, like, an attack by a dog, unwitnessed. There was a babysitter watching the baby, and she stepped out of the room for a short while. A dog got out and was found on top of the baby. Yeah. So the baby has. What I'm looking at is a lot of superficial lacerations and ecchymosis to the, primarily the frontal and temporal regions. Yeah. Had a head CT and a CT of the neck, which was negative. For them, she presented with a temp of 34, 34-something. She is normal thermic now. She is vitally stable. Her temperature is about 36.7 now. Yeah. [REDACTED], normal tensive. Sat in high 90s on room air. Okay. They didn't have a collar on her. We just kind of made an impromptu collar with a towel. And so she's immobilized there. She's in an isolate, maintaining her temperature. Mm-hmm. Okay. So, from a standpoint. Like, awake and otherwise acting okay? Yeah. Yeah. Yeah. She's vigorous, moving all her extremities. Pupils are brisk to react to light. Okay. Good breath sounds. Perfusion's good. So, we established IV access. Her ISAT was pretty much, everything was benign. Her last glucose was 92. Okay. And they had a order for ceftriaxone. Mm-hmm. Because they were treating her as sepsis, I guess. Yeah. I heard that part. Versus NAC. Do you want me to go ahead with giving ceftriaxone or? I think we would want augmented. Julie, does Rosethan good enough for dog bites or? It's so good. So, it's going to be a bit. Why Rosethan? Yeah. I'm not sure. They just have IV access. Oh, no. Okay. No, no. Okay. All right. Um, please. Did you do that? Am I allowed to give augmented? Yeah. That's okay to do the Rosethan now, and then we'll give augmented. All right. So, 50? Yeah. 50 per kilo. 50 per kilo. Yeah. Okay. All right. And, um. Do you think we're going to need, like, ENT or facial or somebody to come fix these? Are they, like, very extensive or? Uh, there's. They're primarily. Superficial. Okay. She did have some bleeding from the left ear. Yeah. Which they explored, and they didn't really see anything. Okay. But the. The ecchymosis is pretty significant to her. Yeah. Her scalp and her temporal. Bilateral temporal region. Okay. So, I'm. I'm not sure if we should do this as a. A level two. Yeah. That's kind of what I'm wondering, too. But. Um. Why don't. How far away are you guys? We're about an hour and 20 minutes. An hour and 20 minutes. Okay. Yeah. I am. I think unless something changes, we can just kind of make that determination when you guys get here. Um. If that works. Okay. Yeah. All right. Is there anything that you would want me to address? Um. I mean, as long as she's got normal vital, she's breathing on her own, we can give her the antibiotics. Um. And then, yeah. We've immobilized as best we could for her neck. So. Um. Yeah. Nothing else I'd add right now unless things change. Okay. Okay. Sounds good. All right. Thank you. We'll see how we get here. Bye-bye. Thanks. Bye. Bye. Bye. Bye. Bye.</t>
  </si>
  <si>
    <t>Hi, this is Steve from the staff team. I have Raylan Sherwood. Did you hear about this baby? It's a four-month-old. Was that Bradford? Yeah. You did? Yeah, I did, yeah. Okay. So this is a four-month-old that was involved in a, seems like a, oh. Sorry about that. This was airborne. Yeah. So this is a four-month-old that was involved in, like, an attack by a dog, unwitnessed. There was a babysitter watching the baby, and she stepped out of the room for a short while. A dog got out and was found on top of the baby. Yeah. So the baby has. What I'm looking at is a lot of superficial lacerations and ecchymosis to the, primarily the frontal and temporal regions. Yeah. Had a head CT and a CT of the neck, which was negative. For them, she presented with a temp of 34, 34-something. She is normal thermic now. She is vitally stable. Her temperature is about 36.7 now. Yeah. Partly, like, 140s, [REDACTED]. Sat in high 90s on room air. Okay. They didn't have a collar on her. We just kind of made an impromptu collar with a towel. And so she's immobilized there. She's in an isolate, maintaining her temperature. Mm-hmm. Okay. So, from a standpoint. Like, awake and otherwise acting okay? Yeah. Yeah. Yeah. She's vigorous, moving all her extremities. Pupils are brisk to react to light. Okay. Good breath sounds. Perfusion's good. So, we established IV access. Her ISAT was pretty much, everything was benign. Her last glucose was 92. Okay. And they had a order for ceftriaxone. Mm-hmm. Because they were treating her as sepsis, I guess. Yeah. I heard that part. Versus NAC. Do you want me to go ahead with giving ceftriaxone or? I think we would want augmented. Julie, does Rosethan good enough for dog bites or? It's so good. So, it's going to be a bit. Why Rosethan? Yeah. I'm not sure. They just have IV access. Oh, no. Okay. No, no. Okay. All right. Um, please. Did you do that? Am I allowed to give augmented? Yeah. That's okay to do the Rosethan now, and then we'll give augmented. All right. So, 50? Yeah. 50 per kilo. 50 per kilo. Yeah. Okay. All right. And, um. Do you think we're going to need, like, ENT or facial or somebody to come fix these? Are they, like, very extensive or? Uh, there's. They're primarily. Superficial. Okay. She did have some bleeding from the left ear. Yeah. Which they explored, and they didn't really see anything. Okay. But the. The ecchymosis is pretty significant to her. Yeah. Her scalp and her temporal. Bilateral temporal region. Okay. So, I'm. I'm not sure if we should do this as a. A level two. Yeah. That's kind of what I'm wondering, too. But. Um. Why don't. How far away are you guys? We're about an hour and 20 minutes. An hour and 20 minutes. Okay. Yeah. I am. I think unless something changes, we can just kind of make that determination when you guys get here. Um. If that works. Okay. Yeah. All right. Is there anything that you would want me to address? Um. I mean, as long as she's got normal vital, she's breathing on her own, we can give her the antibiotics. Um. And then, yeah. We've immobilized as best we could for her neck. So. Um. Yeah. Nothing else I'd add right now unless things change. Okay. Okay. Sounds good. All right. Thank you. We'll see how we get here. Bye-bye. Thanks. Bye. Bye. Bye. Bye. Bye.</t>
  </si>
  <si>
    <t>Hi, this is Steve from the staff team. I have Raylan Sherwood. Did you hear about this baby? It's a four-month-old. Was that Bradford? Yeah. You did? Yeah, I did, yeah. Okay. So this is a four-month-old that was involved in a, seems like a, oh. Sorry about that. This was airborne. Yeah. So this is a four-month-old that was involved in, like, an attack by a dog, unwitnessed. There was a babysitter watching the baby, and she stepped out of the room for a short while. A dog got out and was found on top of the baby. Yeah. So the baby has. What I'm looking at is a lot of superficial lacerations and ecchymosis to the, primarily the frontal and temporal regions. Yeah. Had a head CT and a CT of the neck, which was negative. For them, she presented with a temp of 34, 34-something. She is normal thermic now. She is vitally stable. Her temperature is about 36.7 now. Yeah. Partly, like, 140s, normal tensive. Sat in high 90s on room air. Okay. They didn't have a collar on her. We just kind of made an impromptu collar with a towel. And so she's immobilized there. She's in an isolate, maintaining her temperature. Mm-hmm. Okay. So, from a standpoint. Like, [REDACTED]? Yeah. Yeah. Yeah. [REDACTED]. [REDACTED]. Okay. Good breath sounds. Perfusion's good. So, we established IV access. Her ISAT was pretty much, everything was benign. Her last glucose was 92. Okay. And they had a order for ceftriaxone. Mm-hmm. Because they were treating her as sepsis, I guess. Yeah. I heard that part. Versus NAC. Do you want me to go ahead with giving ceftriaxone or? I think we would want augmented. Julie, does Rosethan good enough for dog bites or? It's so good. So, it's going to be a bit. Why Rosethan? Yeah. I'm not sure. They just have IV access. Oh, no. Okay. No, no. Okay. All right. Um, please. Did you do that? Am I allowed to give augmented? Yeah. That's okay to do the Rosethan now, and then we'll give augmented. All right. So, 50? Yeah. 50 per kilo. 50 per kilo. Yeah. Okay. All right. And, um. Do you think we're going to need, like, ENT or facial or somebody to come fix these? Are they, like, very extensive or? Uh, there's. They're primarily. Superficial. Okay. She did have some bleeding from the left ear. Yeah. Which they explored, and they didn't really see anything. Okay. But the. The ecchymosis is pretty significant to her. Yeah. Her scalp and her temporal. Bilateral temporal region. Okay. So, I'm. I'm not sure if we should do this as a. A level two. Yeah. That's kind of what I'm wondering, too. But. Um. Why don't. How far away are you guys? We're about an hour and 20 minutes. An hour and 20 minutes. Okay. Yeah. I am. I think unless something changes, we can just kind of make that determination when you guys get here. Um. If that works. Okay. Yeah. All right. Is there anything that you would want me to address? Um. I mean, as long as she's got normal vital, she's breathing on her own, we can give her the antibiotics. Um. And then, yeah. We've immobilized as best we could for her neck. So. Um. Yeah. Nothing else I'd add right now unless things change. Okay. Okay. Sounds good. All right. Thank you. We'll see how we get here. Bye-bye. Thanks. Bye. Bye. Bye. Bye. Bye.</t>
  </si>
  <si>
    <t>Hi, this is Steve from the staff team. I have Raylan Sherwood. Did you hear about this baby? It's a four-month-old. Was that Bradford? Yeah. You did? Yeah, I did, yeah. Okay. So this is a four-month-old that was involved in a, seems like a, oh. Sorry about that. This was airborne. Yeah. So this is a four-month-old that was involved in, like, an [REDACTED], unwitnessed. There was a babysitter watching the baby, and she stepped out of the room for a short while. A [REDACTED]. Yeah. So the baby has. What I'm looking at is a lot of superficial lacerations and ecchymosis to the, primarily the frontal and temporal regions. Yeah. Had a head CT and a CT of the neck, which was negative. For them, she presented with a temp of 34, 34-something. She is normal thermic now. She is vitally stable. Her temperature is about 36.7 now. Yeah. Partly, like, 140s, normal tensive. Sat in high 90s on room air. Okay. They didn't have a collar on her. We just kind of made an impromptu collar with a towel. And so she's immobilized there. She's in an isolate, maintaining her temperature. Mm-hmm. Okay. So, from a standpoint. Like, awake and otherwise acting okay? Yeah. Yeah. Yeah. She's vigorous, moving all her extremities. Pupils are brisk to react to light. Okay. Good breath sounds. Perfusion's good. So, we established IV access. Her ISAT was pretty much, everything was benign. Her last glucose was 92. Okay. And they had a order for ceftriaxone. Mm-hmm. Because they were treating her as sepsis, I guess. Yeah. I heard that part. Versus NAC. Do you want me to go ahead with giving ceftriaxone or? I think we would want augmented. Julie, does Rosethan good enough for [REDACTED] or? It's so good. So, it's going to be a bit. Why Rosethan? Yeah. I'm not sure. They just have IV access. Oh, no. Okay. No, no. Okay. All right. Um, please. Did you do that? Am I allowed to give augmented? Yeah. That's okay to do the Rosethan now, and then we'll give augmented. All right. So, 50? Yeah. 50 per kilo. 50 per kilo. Yeah. Okay. All right. And, um. Do you think we're going to need, like, ENT or facial or somebody to come fix these? Are they, like, very extensive or? Uh, there's. They're primarily. Superficial. Okay. She did have some bleeding from the left ear. Yeah. Which they explored, and they didn't really see anything. Okay. But the. The ecchymosis is pretty significant to her. Yeah. Her scalp and her temporal. Bilateral temporal region. Okay. So, I'm. I'm not sure if we should do this as a. A level two. Yeah. That's kind of what I'm wondering, too. But. Um. Why don't. How far away are you guys? We're about an hour and 20 minutes. An hour and 20 minutes. Okay. Yeah. I am. I think unless something changes, we can just kind of make that determination when you guys get here. Um. If that works. Okay. Yeah. All right. Is there anything that you would want me to address? Um. I mean, as long as she's got normal vital, she's breathing on her own, we can give her the antibiotics. Um. And then, yeah. We've immobilized as best we could for her neck. So. Um. Yeah. Nothing else I'd add right now unless things change. Okay. Okay. Sounds good. All right. Thank you. We'll see how we get here. Bye-bye. Thanks. Bye. Bye. Bye. Bye. Bye.</t>
  </si>
  <si>
    <t>Hi, it is Dr. Hall. Hi, Dr. Hall. This is Eligville Andeal. Hey. And we're inbound with a [REDACTED] patient who fell approximately 25 to 30 feet off a chairlift to the ground while skiing today. He's conscious, alert, and oriented. The only trauma that we can see is a deformity of his left wrist. We got him on a â€“ we seemed to go put him on a backboard. We just kind of left him there and assessed him. And he's collared and he's breathing normally. Okay. Did he pass out at all? What's that? We're not sure if he passed out or not. Nobody here on scene saw. They saw the fall, but they don't know if he â€“ he wasn't moving real quick. So, anyway. I do have IV established. He's in a lot of pain. Anything I can give my â€“ my current federal team. Okay. How much does he weigh? Do they know? [REDACTED]. He's 40 pounds. All right. Hold on. Let me â€“ let me put that to kilos for a second. Do you have a set of vitals on him right now? The last set of vitals would be heart rate 131 in regular. Blood pressure 118 over 77. Respirations about 18. Okay. Okay. Okay. And his GCS, what do you think that would be? Oh, I'd say 15. Okay. All he is is screaming about his wrist. Okay. And I'm amazed he's â€“ we don't see anything else. So â€“ Is he â€“ was he in a helmet? Yes, he was wearing a helmet. Perfect. Okay. And you said you have fentanyl on board for him? Yep. Yep. Okay. Could you like 15 mics of fentanyl? Okay. One five? Yep. Okay. And then just keep it â€“ 15 â€“ 15 mics of fentanyl? Yes. Okay. And then how far out are you guys? We are â€“ we're a good â€“ where are we? We're 40 minutes out. We'll call when we're 10 minutes out to see if you have an update. Okay. All right. All right. Well, I just want to let you know we're coming. Yeah. I appreciate it. Anything else I can do for you? No, that's great. We're getting 15 mics of fentanyl. Okay. Sounds good. Call back if anything changes, okay? Okay. We'll do it. Bye-bye. Thanks. Bye. See you later. Bye-bye.</t>
  </si>
  <si>
    <t>Hi, it is Dr. Hall. Hi, Dr. Hall. This is Eligville Andeal. Hey. And we're inbound with a four-year-old male patient who fell approximately 25 to 30 feet off a chairlift to the ground while skiing today. He's conscious, alert, and oriented. The only trauma that we can see is a deformity of his left wrist. We got him on a â€“ we seemed to go put him on a backboard. We just kind of left him there and assessed him. And he's collared and he's breathing normally. Okay. Did he pass out at all? What's that? We're not sure if he passed out or not. Nobody here on scene saw. They saw the fall, but they don't know if he â€“ he wasn't moving real quick. So, anyway. I do have IV established. He's in a lot of pain. Anything I can give my â€“ my current federal team. Okay. How much does he weigh? Do they know? 40 pounds, possibly. He's 40 pounds. All right. Hold on. Let me â€“ let me put that to kilos for a second. Do you have a set of vitals on him right now? The last set of vitals would be [REDACTED]. Blood pressure 118 over 77. Respirations about 18. Okay. Okay. Okay. And his GCS, what do you think that would be? Oh, I'd say 15. Okay. All he is is screaming about his wrist. Okay. And I'm amazed he's â€“ we don't see anything else. So â€“ Is he â€“ was he in a helmet? Yes, he was wearing a helmet. Perfect. Okay. And you said you have fentanyl on board for him? Yep. Yep. Okay. Could you like 15 mics of fentanyl? Okay. One five? Yep. Okay. And then just keep it â€“ 15 â€“ 15 mics of fentanyl? Yes. Okay. And then how far out are you guys? We are â€“ we're a good â€“ where are we? We're 40 minutes out. We'll call when we're 10 minutes out to see if you have an update. Okay. All right. All right. Well, I just want to let you know we're coming. Yeah. I appreciate it. Anything else I can do for you? No, that's great. We're getting 15 mics of fentanyl. Okay. Sounds good. Call back if anything changes, okay? Okay. We'll do it. Bye-bye. Thanks. Bye. See you later. Bye-bye.</t>
  </si>
  <si>
    <t>Hi, it is Dr. Hall. Hi, Dr. Hall. This is Eligville Andeal. Hey. And we're inbound with a four-year-old male patient who fell approximately 25 to 30 feet off a chairlift to the ground while skiing today. He's conscious, alert, and oriented. The only trauma that we can see is a deformity of his left wrist. We got him on a â€“ we seemed to go put him on a backboard. We just kind of left him there and assessed him. And he's collared and he's breathing normally. Okay. Did he pass out at all? What's that? We're not sure if he passed out or not. Nobody here on scene saw. They saw the fall, but they don't know if he â€“ he wasn't moving real quick. So, anyway. I do have IV established. He's in a lot of pain. Anything I can give my â€“ my current federal team. Okay. How much does he weigh? Do they know? 40 pounds, possibly. He's 40 pounds. All right. Hold on. Let me â€“ let me put that to kilos for a second. Do you have a set of vitals on him right now? The last set of vitals would be heart rate 131 in regular. [REDACTED]. Respirations about 18. Okay. Okay. Okay. And his GCS, what do you think that would be? Oh, I'd say 15. Okay. All he is is screaming about his wrist. Okay. And I'm amazed he's â€“ we don't see anything else. So â€“ Is he â€“ was he in a helmet? Yes, he was wearing a helmet. Perfect. Okay. And you said you have fentanyl on board for him? Yep. Yep. Okay. Could you like 15 mics of fentanyl? Okay. One five? Yep. Okay. And then just keep it â€“ 15 â€“ 15 mics of fentanyl? Yes. Okay. And then how far out are you guys? We are â€“ we're a good â€“ where are we? We're 40 minutes out. We'll call when we're 10 minutes out to see if you have an update. Okay. All right. All right. Well, I just want to let you know we're coming. Yeah. I appreciate it. Anything else I can do for you? No, that's great. We're getting 15 mics of fentanyl. Okay. Sounds good. Call back if anything changes, okay? Okay. We'll do it. Bye-bye. Thanks. Bye. See you later. Bye-bye.</t>
  </si>
  <si>
    <t>Hi, it is Dr. Hall. Hi, Dr. Hall. This is Eligville Andeal. Hey. And we're inbound with a four-year-old male patient who fell approximately 25 to 30 feet off a chairlift to the ground while skiing today. He's conscious, alert, and oriented. The only trauma that we can see is a deformity of his left wrist. We got him on a â€“ we seemed to go put him on a backboard. We just kind of left him there and assessed him. And he's collared and he's breathing normally. Okay. Did he pass out at all? What's that? We're not sure if he passed out or not. Nobody here on scene saw. They saw the fall, but they don't know if he â€“ he wasn't moving real quick. So, anyway. I do have IV established. He's in a lot of pain. Anything I can give my â€“ my current federal team. Okay. How much does he weigh? Do they know? 40 pounds, possibly. He's 40 pounds. All right. Hold on. Let me â€“ let me put that to kilos for a second. Do you have a set of vitals on him right now? The last set of vitals would be heart rate 131 in regular. Blood pressure 118 over 77. [REDACTED]. Okay. Okay. Okay. And his GCS, what do you think that would be? Oh, I'd say 15. Okay. All he is is screaming about his wrist. Okay. And I'm amazed he's â€“ we don't see anything else. So â€“ Is he â€“ was he in a helmet? Yes, he was wearing a helmet. Perfect. Okay. And you said you have fentanyl on board for him? Yep. Yep. Okay. Could you like 15 mics of fentanyl? Okay. One five? Yep. Okay. And then just keep it â€“ 15 â€“ 15 mics of fentanyl? Yes. Okay. And then how far out are you guys? We are â€“ we're a good â€“ where are we? We're 40 minutes out. We'll call when we're 10 minutes out to see if you have an update. Okay. All right. All right. Well, I just want to let you know we're coming. Yeah. I appreciate it. Anything else I can do for you? No, that's great. We're getting 15 mics of fentanyl. Okay. Sounds good. Call back if anything changes, okay? Okay. We'll do it. Bye-bye. Thanks. Bye. See you later. Bye-bye.</t>
  </si>
  <si>
    <t>Hi, it is Dr. Hall. Hi, Dr. Hall. This is Eligville Andeal. Hey. And we're inbound with a four-year-old male patient who fell approximately 25 to 30 feet off a chairlift to the ground while skiing today. [REDACTED]. The only trauma that we can see is a deformity of his left wrist. We got him on a â€“ we seemed to go put him on a backboard. We just kind of left him there and assessed him. And he's collared and he's breathing normally. Okay. Did he pass out at all? What's that? We're not sure if he passed out or not. Nobody here on scene saw. They saw the fall, but they don't know if he â€“ he wasn't moving real quick. So, anyway. I do have IV established. He's in a lot of pain. Anything I can give my â€“ my current federal team. Okay. How much does he weigh? Do they know? 40 pounds, possibly. He's 40 pounds. All right. Hold on. Let me â€“ let me put that to kilos for a second. Do you have a set of vitals on him right now? The last set of vitals would be heart rate 131 in regular. Blood pressure 118 over 77. Respirations about 18. Okay. Okay. Okay. And his GCS, what do you think that would be? Oh, I'd say 15. Okay. All he is is screaming about his wrist. Okay. And I'm amazed he's â€“ we don't see anything else. So â€“ Is he â€“ was he in a helmet? Yes, he was wearing a helmet. Perfect. Okay. And you said you have fentanyl on board for him? Yep. Yep. Okay. Could you like 15 mics of fentanyl? Okay. One five? Yep. Okay. And then just keep it â€“ 15 â€“ 15 mics of fentanyl? Yes. Okay. And then how far out are you guys? We are â€“ we're a good â€“ where are we? We're 40 minutes out. We'll call when we're 10 minutes out to see if you have an update. Okay. All right. All right. Well, I just want to let you know we're coming. Yeah. I appreciate it. Anything else I can do for you? No, that's great. We're getting 15 mics of fentanyl. Okay. Sounds good. Call back if anything changes, okay? Okay. We'll do it. Bye-bye. Thanks. Bye. See you later. Bye-bye.</t>
  </si>
  <si>
    <t>Hi, it is Dr. Hall. Hi, Dr. Hall. This is Eligville Andeal. Hey. And we're inbound with a four-year-old male patient who [REDACTED]. He's conscious, alert, and oriented. The only trauma that we can see is a deformity of his left wrist. We got him on a â€“ we seemed to go put him on a backboard. We just kind of left him there and assessed him. And he's collared and he's breathing normally. Okay. Did he pass out at all? What's that? We're not sure if he passed out or not. Nobody here on scene saw. They saw the fall, but they don't know if he â€“ he wasn't moving real quick. So, anyway. I do have IV established. He's in a lot of pain. Anything I can give my â€“ my current federal team. Okay. How much does he weigh? Do they know? 40 pounds, possibly. He's 40 pounds. All right. Hold on. Let me â€“ let me put that to kilos for a second. Do you have a set of vitals on him right now? The last set of vitals would be heart rate 131 in regular. Blood pressure 118 over 77. Respirations about 18. Okay. Okay. Okay. And his GCS, what do you think that would be? Oh, I'd say 15. Okay. All he is is screaming about his wrist. Okay. And I'm amazed he's â€“ we don't see anything else. So â€“ Is he â€“ was he in a helmet? Yes, he was wearing a helmet. Perfect. Okay. And you said you have fentanyl on board for him? Yep. Yep. Okay. Could you like 15 mics of fentanyl? Okay. One five? Yep. Okay. And then just keep it â€“ 15 â€“ 15 mics of fentanyl? Yes. Okay. And then how far out are you guys? We are â€“ we're a good â€“ where are we? We're 40 minutes out. We'll call when we're 10 minutes out to see if you have an update. Okay. All right. All right. Well, I just want to let you know we're coming. Yeah. I appreciate it. Anything else I can do for you? No, that's great. We're getting 15 mics of fentanyl. Okay. Sounds good. Call back if anything changes, okay? Okay. We'll do it. Bye-bye. Thanks. Bye. See you later. Bye-bye.</t>
  </si>
  <si>
    <t>Children's area, this is Dr. Weiss. Hi, Chicago County Paramedics. I'm in or out with a [REDACTED] snowmobile accident. Just want to give you a report. I don't think that they need that control. Okay, snowmobile was going 45 to 55. She hit a tree head-on and was thrown into the tree. No loss of consciousness, no other injuries except isolated right femur, obvious deformity. That's true. She was snowmobiling with a group. She did not lose consciousness. They got her out of the tree right away and then called 911 right away. We have good movement pulses in the right foot, and we're hemodynamically stable. We had one round of fentanyl, and we're still about 30 minutes out. Do you have her current vitals? Yeah, do you have her current vitals? Yes, 118, sinus on the monitor, BP 130 over 65, Botox is 96%, and I have an 18 in the left AC. Okay, GCS 15. She has no history, no meds, no allergies, and [REDACTED]. Okay, and her GCS is 15 as well. I'm sorry, what? Yeah. GCS 15. Okay, all right, we'll see you when she gets here. Yes, GCS 15. Okay, see you in about 30 minutes. Bye. Yep.</t>
  </si>
  <si>
    <t>Children's area, this is Dr. Weiss. Hi, Chicago County Paramedics. I'm in or out with a 15-year-old snowmobile accident. Just want to give you a report. I don't think that they need that control. Okay, snowmobile was going 45 to 55. She hit a tree head-on and was thrown into the tree. No loss of consciousness, no other injuries except isolated right femur, obvious deformity. That's true. She was snowmobiling with a group. She did not lose consciousness. They got her out of the tree right away and then called 911 right away. We have good movement pulses in the right foot, and we're hemodynamically stable. We had one round of fentanyl, and we're still about 30 minutes out. Do you have her current vitals? Yeah, do you have her current vitals? Yes, [REDACTED], BP 130 over 65, Botox is 96%, and I have an 18 in the left AC. Okay, GCS 15. She has no history, no meds, no allergies, and she's 15. Okay, and her GCS is 15 as well. I'm sorry, what? Yeah. GCS 15. Okay, all right, we'll see you when she gets here. Yes, GCS 15. Okay, see you in about 30 minutes. Bye. Yep.</t>
  </si>
  <si>
    <t>Children's area, this is Dr. Weiss. Hi, Chicago County Paramedics. I'm in or out with a 15-year-old snowmobile accident. Just want to give you a report. I don't think that they need that control. Okay, snowmobile was going 45 to 55. She hit a tree head-on and was thrown into the tree. No loss of consciousness, no other injuries except isolated right femur, obvious deformity. That's true. She was snowmobiling with a group. She did not lose consciousness. They got her out of the tree right away and then called 911 right away. We have good movement pulses in the right foot, and we're hemodynamically stable. We had one round of fentanyl, and we're still about 30 minutes out. Do you have her current vitals? Yeah, do you have her current vitals? Yes, 118, sinus on the monitor, [REDACTED], Botox is 96%, and I have an 18 in the left AC. Okay, GCS 15. She has no history, no meds, no allergies, and she's 15. Okay, and her GCS is 15 as well. I'm sorry, what? Yeah. GCS 15. Okay, all right, we'll see you when she gets here. Yes, GCS 15. Okay, see you in about 30 minutes. Bye. Yep.</t>
  </si>
  <si>
    <t>Children's area, this is Dr. Weiss. Hi, Chicago County Paramedics. I'm in or out with a 15-year-old snowmobile accident. Just want to give you a report. I don't think that they need that control. Okay, snowmobile was going 45 to 55. She hit a tree head-on and was thrown into the tree. [REDACTED], no other injuries except isolated right femur, obvious deformity. That's true. She was snowmobiling with a group. [REDACTED]. They got her out of the tree right away and then called 911 right away. We have good movement pulses in the right foot, and we're hemodynamically stable. We had one round of fentanyl, and we're still about 30 minutes out. Do you have her current vitals? Yeah, do you have her current vitals? Yes, 118, sinus on the monitor, BP 130 over 65, Botox is 96%, and I have an 18 in the left AC. Okay, GCS 15. She has no history, no meds, no allergies, and she's 15. Okay, and her GCS is 15 as well. I'm sorry, what? Yeah. GCS 15. Okay, all right, we'll see you when she gets here. Yes, GCS 15. Okay, see you in about 30 minutes. Bye. Yep.</t>
  </si>
  <si>
    <t>Children's area, this is Dr. Weiss. Hi, Chicago County Paramedics. I'm in or out with a 15-year-old [REDACTED]. Just want to give you a report. I don't think that they need that control. Okay, [REDACTED]. She [REDACTED] and [REDACTED]. No loss of consciousness, no other injuries except isolated right femur, obvious deformity. That's true. She was [REDACTED]. She did not lose consciousness. They got her out of the tree right away and then called 911 right away. We have good movement pulses in the right foot, and we're hemodynamically stable. We had one round of fentanyl, and we're still about 30 minutes out. Do you have her current vitals? Yeah, do you have her current vitals? Yes, 118, sinus on the monitor, BP 130 over 65, Botox is 96%, and I have an 18 in the left AC. Okay, GCS 15. She has no history, no meds, no allergies, and she's 15. Okay, and her GCS is 15 as well. I'm sorry, what? Yeah. GCS 15. Okay, all right, we'll see you when she gets here. Yes, GCS 15. Okay, see you in about 30 minutes. Bye. Yep.</t>
  </si>
  <si>
    <t>Hello, this is Dr. Sridharan, Oshai Children's ER. Hi, this is Nate Douglas. I'm a paramedic with Trans-An. I was supposed to give you guys a trauma alert when I got close with a transfer out of Olin General. Yeah. Coming in with Larissa Bird, [REDACTED]. Okay. She was in a sledding accident today. She was brought to Olin General and evaluated. They diagnosed her with a grade 3 splenic laceration. Okay. She's stable at this time. Last set of vitals, heart rate 75, O2 is 97. Last pressure is 105 over 63. Okay. She was treated prior to my arrival with morphine zofran. She had TXA rum in. No, same, same, same. And we initiated our transport. Yeah. And we got about a 15-minute EPA. 15 minutes EPA? Okay. And how is her GCS? GCS is 15. 15. And no other injuries, right? Like other than the splenic laceration? Nope. Is she on a C-collar? She was not. She was heading an XCT at Olin General and she was cleared there. Gotcha. So she got an XCT and then she was cleared. Okay. Yep. So she got morphine and zofran and no fluids, right? She does have LR running at 150. Okay. Okay. And she did get TXA before we left. Oh, she got TXA. Okay. Sounds good. And she's alert and oriented right now? Yes. Okay. Thank you. We'll see you when you get here, yeah? Alrighty. Thank you. Okay. Thanks. Bye-bye.</t>
  </si>
  <si>
    <t>Hello, this is Dr. Sridharan, Oshai Children's ER. Hi, this is Nate Douglas. I'm a paramedic with Trans-An. I was supposed to give you guys a trauma alert when I got close with a transfer out of Olin General. Yeah. Coming in with Larissa Bird, 11-year-old female. Okay. She was in a sledding accident today. She was brought to Olin General and evaluated. They diagnosed her with a grade 3 splenic laceration. Okay. She's stable at this time. Last set of vitals, [REDACTED], O2 is 97. Last pressure is 105 over 63. Okay. She was treated prior to my arrival with morphine zofran. She had TXA rum in. No, same, same, same. And we initiated our transport. Yeah. And we got about a 15-minute EPA. 15 minutes EPA? Okay. And how is her GCS? GCS is 15. 15. And no other injuries, right? Like other than the splenic laceration? Nope. Is she on a C-collar? She was not. She was heading an XCT at Olin General and she was cleared there. Gotcha. So she got an XCT and then she was cleared. Okay. Yep. So she got morphine and zofran and no fluids, right? She does have LR running at 150. Okay. Okay. And she did get TXA before we left. Oh, she got TXA. Okay. Sounds good. And she's alert and oriented right now? Yes. Okay. Thank you. We'll see you when you get here, yeah? Alrighty. Thank you. Okay. Thanks. Bye-bye.</t>
  </si>
  <si>
    <t>Hello, this is Dr. Sridharan, Oshai Children's ER. Hi, this is Nate Douglas. I'm a paramedic with Trans-An. I was supposed to give you guys a trauma alert when I got close with a transfer out of Olin General. Yeah. Coming in with Larissa Bird, 11-year-old female. Okay. She was in a sledding accident today. She was brought to Olin General and evaluated. They diagnosed her with a grade 3 splenic laceration. Okay. She's stable at this time. Last set of vitals, heart rate 75, O2 is 97. Last [REDACTED]. Okay. She was treated prior to my arrival with morphine zofran. She had TXA rum in. No, same, same, same. And we initiated our transport. Yeah. And we got about a 15-minute EPA. 15 minutes EPA? Okay. And how is her GCS? GCS is 15. 15. And no other injuries, right? Like other than the splenic laceration? Nope. Is she on a C-collar? She was not. She was heading an XCT at Olin General and she was cleared there. Gotcha. So she got an XCT and then she was cleared. Okay. Yep. So she got morphine and zofran and no fluids, right? She does have LR running at 150. Okay. Okay. And she did get TXA before we left. Oh, she got TXA. Okay. Sounds good. And she's alert and oriented right now? Yes. Okay. Thank you. We'll see you when you get here, yeah? Alrighty. Thank you. Okay. Thanks. Bye-bye.</t>
  </si>
  <si>
    <t>Hello, this is Dr. Sridharan, Oshai Children's ER. Hi, this is Nate Douglas. I'm a paramedic with Trans-An. I was supposed to give you guys a trauma alert when I got close with a transfer out of Olin General. Yeah. Coming in with Larissa Bird, 11-year-old female. Okay. She was in a sledding accident today. She was brought to Olin General and evaluated. They diagnosed her with a grade 3 splenic laceration. Okay. She's stable at this time. Last set of vitals, heart rate 75, O2 is 97. Last pressure is 105 over 63. Okay. She was treated prior to my arrival with morphine zofran. She had TXA rum in. No, same, same, same. And we initiated our transport. Yeah. And we got about a 15-minute EPA. 15 minutes EPA? Okay. And how is her GCS? GCS is 15. 15. And no other injuries, right? Like other than the splenic laceration? Nope. Is she on a C-collar? She was not. She was heading an XCT at Olin General and she was cleared there. Gotcha. So she got an XCT and then she was cleared. Okay. Yep. So she got morphine and zofran and no fluids, right? She does have LR running at 150. Okay. Okay. And she did get TXA before we left. Oh, she got TXA. Okay. Sounds good. And [REDACTED]? Yes. Okay. Thank you. We'll see you when you get here, yeah? Alrighty. Thank you. Okay. Thanks. Bye-bye.</t>
  </si>
  <si>
    <t>Hello, this is Dr. Sridharan, Oshai Children's ER. Hi, this is Nate Douglas. I'm a paramedic with Trans-An. I was supposed to give you guys a trauma alert when I got close with a transfer out of Olin General. Yeah. Coming in with Larissa Bird, 11-year-old female. Okay. She was in a [REDACTED] today. She was brought to Olin General and evaluated. They diagnosed her with a grade 3 splenic laceration. Okay. She's stable at this time. Last set of vitals, heart rate 75, O2 is 97. Last pressure is 105 over 63. Okay. She was treated prior to my arrival with morphine zofran. She had TXA rum in. No, same, same, same. And we initiated our transport. Yeah. And we got about a 15-minute EPA. 15 minutes EPA? Okay. And how is her GCS? GCS is 15. 15. And no other injuries, right? Like other than the splenic laceration? Nope. Is she on a C-collar? She was not. She was heading an XCT at Olin General and she was cleared there. Gotcha. So she got an XCT and then she was cleared. Okay. Yep. So she got morphine and zofran and no fluids, right? She does have LR running at 150. Okay. Okay. And she did get TXA before we left. Oh, she got TXA. Okay. Sounds good. And she's alert and oriented right now? Yes. Okay. Thank you. We'll see you when you get here, yeah? Alrighty. Thank you. Okay. Thanks. Bye-bye.</t>
  </si>
  <si>
    <t>Hello, this is Dr. Sridharan, OSHA Children's ER. Hi, good afternoon. This is at Elk Hill Ambulance, and we are inbound with a [REDACTED] patient who is skiing on a very steep ski run and lost control and hit a tree head-on. She's got marked bruising and pain in her face, primarily her nose, and she's complaining of upper left abdomen, upper left quadrant of her abdomen pain in one of the ribs and along the spleen. She's also complaining of pain in her left wrist as well as her right. How far out are you? We're about 10 minutes out. 10 minutes, okay. Sure. And her left. Her left is 95% vitals. Heart rate is 95 in regular. Blood pressure is 105 over 65. SpO2 is 99 in room air. Respiration is around 12, 12 to 14 in normal. And her GCS is okay? Her GCS, I would say, is around 14. 14? Okay. Yeah, she's a little confused still. Oh, she's a little confused. Yeah, I've given her 500. I'm still giving her a drip now. I can still tell if she's in the way. She's still taking 500. Her blood pressure is still pretty low. So you're giving 500 of NS? Yes. Okay. Of saline. Okay. So far. Okay. I'm just trying to keep the drip open for now. Okay. Okay. Okay. Okay. Okay. Okay. Okay. Okay. Okay. Okay. Okay. Okay. Sorry? We'll see you in five. Five to ten. Sorry, I missed the last part. Okay. We'll see you in five to ten. Yeah. Okay. Five to ten. Okay. That sounds good.</t>
  </si>
  <si>
    <t>Hello, this is Dr. Sridharan, OSHA Children's ER. Hi, good afternoon. This is at Elk Hill Ambulance, and we are inbound with a 15-year-old female patient who is skiing on a very steep ski run and lost control and hit a tree head-on. She's got marked bruising and pain in her face, primarily her nose, and she's complaining of upper left abdomen, upper left quadrant of her abdomen pain in one of the ribs and along the spleen. She's also complaining of pain in her left wrist as well as her right. How far out are you? We're about 10 minutes out. 10 minutes, okay. Sure. And her left. Her left is 95% vitals. [REDACTED]. Blood pressure is 105 over 65. SpO2 is 99 in room air. Respiration is around 12, 12 to 14 in normal. And her GCS is okay? Her GCS, I would say, is around 14. 14? Okay. Yeah, she's a little confused still. Oh, she's a little confused. Yeah, I've given her 500. I'm still giving her a drip now. I can still tell if she's in the way. She's still taking 500. Her blood pressure is still pretty low. So you're giving 500 of NS? Yes. Okay. Of saline. Okay. So far. Okay. I'm just trying to keep the drip open for now. Okay. Okay. Okay. Okay. Okay. Okay. Okay. Okay. Okay. Okay. Okay. Okay. Sorry? We'll see you in five. Five to ten. Sorry, I missed the last part. Okay. We'll see you in five to ten. Yeah. Okay. Five to ten. Okay. That sounds good.</t>
  </si>
  <si>
    <t>Hello, this is Dr. Sridharan, OSHA Children's ER. Hi, good afternoon. This is at Elk Hill Ambulance, and we are inbound with a 15-year-old female patient who is skiing on a very steep ski run and lost control and hit a tree head-on. She's got marked bruising and pain in her face, primarily her nose, and she's complaining of upper left abdomen, upper left quadrant of her abdomen pain in one of the ribs and along the spleen. She's also complaining of pain in her left wrist as well as her right. How far out are you? We're about 10 minutes out. 10 minutes, okay. Sure. And her left. Her left is 95% vitals. Heart rate is 95 in regular. [REDACTED]. SpO2 is 99 in room air. Respiration is around 12, 12 to 14 in normal. And her GCS is okay? Her GCS, I would say, is around 14. 14? Okay. Yeah, she's a little confused still. Oh, she's a little confused. Yeah, I've given her 500. I'm still giving her a drip now. I can still tell if she's in the way. She's still taking 500. [REDACTED]. So you're giving 500 of NS? Yes. Okay. Of saline. Okay. So far. Okay. I'm just trying to keep the drip open for now. Okay. Okay. Okay. Okay. Okay. Okay. Okay. Okay. Okay. Okay. Okay. Okay. Sorry? We'll see you in five. Five to ten. Sorry, I missed the last part. Okay. We'll see you in five to ten. Yeah. Okay. Five to ten. Okay. That sounds good.</t>
  </si>
  <si>
    <t>Hello, this is Dr. Sridharan, OSHA Children's ER. Hi, good afternoon. This is at Elk Hill Ambulance, and we are inbound with a 15-year-old female patient who is skiing on a very steep ski run and lost control and hit a tree head-on. She's got marked bruising and pain in her face, primarily her nose, and she's complaining of upper left abdomen, upper left quadrant of her abdomen pain in one of the ribs and along the spleen. She's also complaining of pain in her left wrist as well as her right. How far out are you? We're about 10 minutes out. 10 minutes, okay. Sure. And her left. Her left is 95% vitals. Heart rate is 95 in regular. Blood pressure is 105 over 65. SpO2 is 99 in room air. [REDACTED]. And her GCS is okay? Her GCS, I would say, is around 14. 14? Okay. Yeah, she's a little confused still. Oh, she's a little confused. Yeah, I've given her 500. I'm still giving her a drip now. I can still tell if she's in the way. She's still taking 500. Her blood pressure is still pretty low. So you're giving 500 of NS? Yes. Okay. Of saline. Okay. So far. Okay. I'm just trying to keep the drip open for now. Okay. Okay. Okay. Okay. Okay. Okay. Okay. Okay. Okay. Okay. Okay. Okay. Sorry? We'll see you in five. Five to ten. Sorry, I missed the last part. Okay. We'll see you in five to ten. Yeah. Okay. Five to ten. Okay. That sounds good.</t>
  </si>
  <si>
    <t>Hello, this is Dr. Sridharan, OSHA Children's ER. Hi, good afternoon. This is at Elk Hill Ambulance, and we are inbound with a 15-year-old female patient who is skiing on a very steep ski run and lost control and hit a tree head-on. She's got marked bruising and pain in her face, primarily her nose, and she's complaining of upper left abdomen, upper left quadrant of her abdomen pain in one of the ribs and along the spleen. She's also complaining of pain in her left wrist as well as her right. How far out are you? We're about 10 minutes out. 10 minutes, okay. Sure. And her left. Her left is 95% vitals. Heart rate is 95 in regular. Blood pressure is 105 over 65. SpO2 is 99 in room air. Respiration is around 12, 12 to 14 in normal. And her GCS is okay? Her GCS, I would say, is around 14. 14? Okay. Yeah, [REDACTED]. [REDACTED]. Yeah, I've given her 500. I'm still giving her a drip now. I can still tell if she's in the way. She's still taking 500. Her blood pressure is still pretty low. So you're giving 500 of NS? Yes. Okay. Of saline. Okay. So far. Okay. I'm just trying to keep the drip open for now. Okay. Okay. Okay. Okay. Okay. Okay. Okay. Okay. Okay. Okay. Okay. Okay. Sorry? We'll see you in five. Five to ten. Sorry, I missed the last part. Okay. We'll see you in five to ten. Yeah. Okay. Five to ten. Okay. That sounds good.</t>
  </si>
  <si>
    <t>Hello, this is Dr. Sridharan, OSHA Children's ER. Hi, good afternoon. This is at Elk Hill Ambulance, and we are inbound with a 15-year-old female patient who is [REDACTED]. She's got marked bruising and pain in her face, primarily her nose, and she's complaining of upper left abdomen, upper left quadrant of her abdomen pain in one of the ribs and along the spleen. She's also complaining of pain in her left wrist as well as her right. How far out are you? We're about 10 minutes out. 10 minutes, okay. Sure. And her left. Her left is 95% vitals. Heart rate is 95 in regular. Blood pressure is 105 over 65. SpO2 is 99 in room air. Respiration is around 12, 12 to 14 in normal. And her GCS is okay? Her GCS, I would say, is around 14. 14? Okay. Yeah, she's a little confused still. Oh, she's a little confused. Yeah, I've given her 500. I'm still giving her a drip now. I can still tell if she's in the way. She's still taking 500. Her blood pressure is still pretty low. So you're giving 500 of NS? Yes. Okay. Of saline. Okay. So far. Okay. I'm just trying to keep the drip open for now. Okay. Okay. Okay. Okay. Okay. Okay. Okay. Okay. Okay. Okay. Okay. Okay. Sorry? We'll see you in five. Five to ten. Sorry, I missed the last part. Okay. We'll see you in five to ten. Yeah. Okay. Five to ten. Okay. That sounds good.</t>
  </si>
  <si>
    <t>Children's here, Dr. Catton. Hey, Doc. It's Kevin with AMR. Yeah. We're coming in with a [REDACTED] struck by a car, probably 35 miles an hour or so. Positive loss of consciousness. She's got hematoma on the back of her head, a lot of lower back pain, lower right leg pain, road rash all over. Vitals now, respirations are about 20, heart rate 100. Blood pressure is 95 over 57. Okay. She's a little more oriented. Do you have access? Do you have an IV? Yep. I got an 18 in. Cool. I gave her some fentanyl for the pain. Cool. Okay. Did you give her any fluids yet? Just a little bit. We just got it running. Cool. Yeah. So just keep that running. Okay. Cool. What's your ETA? Yeah. Let me look up. Okay. 16 minutes. 15. Cool. And then her GCS, is that good? 15? Yeah. We're at 15 right now. Okay. Where are you guys coming from? Waxanaca. Okay. Cool. We'll see you when you get here. All right. Thank you. Thank you. Thank you.</t>
  </si>
  <si>
    <t>Children's here, Dr. Catton. Hey, Doc. It's Kevin with AMR. Yeah. We're coming in with a 14-year-old female struck by a car, probably 35 miles an hour or so. Positive loss of consciousness. She's got hematoma on the back of her head, a lot of lower back pain, lower right leg pain, road rash all over. Vitals now, respirations are about 20, [REDACTED]. Blood pressure is 95 over 57. Okay. She's a little more oriented. Do you have access? Do you have an IV? Yep. I got an 18 in. Cool. I gave her some fentanyl for the pain. Cool. Okay. Did you give her any fluids yet? Just a little bit. We just got it running. Cool. Yeah. So just keep that running. Okay. Cool. What's your ETA? Yeah. Let me look up. Okay. 16 minutes. 15. Cool. And then her GCS, is that good? 15? Yeah. We're at 15 right now. Okay. Where are you guys coming from? Waxanaca. Okay. Cool. We'll see you when you get here. All right. Thank you. Thank you. Thank you.</t>
  </si>
  <si>
    <t>Children's here, Dr. Catton. Hey, Doc. It's Kevin with AMR. Yeah. We're coming in with a 14-year-old female struck by a car, probably 35 miles an hour or so. Positive loss of consciousness. She's got hematoma on the back of her head, a lot of lower back pain, lower right leg pain, road rash all over. Vitals now, respirations are about 20, heart rate 100. [REDACTED]. Okay. She's a little more oriented. Do you have access? Do you have an IV? Yep. I got an 18 in. Cool. I gave her some fentanyl for the pain. Cool. Okay. Did you give her any fluids yet? Just a little bit. We just got it running. Cool. Yeah. So just keep that running. Okay. Cool. What's your ETA? Yeah. Let me look up. Okay. 16 minutes. 15. Cool. And then her GCS, is that good? 15? Yeah. We're at 15 right now. Okay. Where are you guys coming from? Waxanaca. Okay. Cool. We'll see you when you get here. All right. Thank you. Thank you. Thank you.</t>
  </si>
  <si>
    <t>Children's here, Dr. Catton. Hey, Doc. It's Kevin with AMR. Yeah. We're coming in with a 14-year-old female struck by a car, probably 35 miles an hour or so. Positive loss of consciousness. She's got hematoma on the back of her head, a lot of lower back pain, lower right leg pain, road rash all over. Vitals now, [REDACTED], heart rate 100. Blood pressure is 95 over 57. Okay. She's a little more oriented. Do you have access? Do you have an IV? Yep. I got an 18 in. Cool. I gave her some fentanyl for the pain. Cool. Okay. Did you give her any fluids yet? Just a little bit. We just got it running. Cool. Yeah. So just keep that running. Okay. Cool. What's your ETA? Yeah. Let me look up. Okay. 16 minutes. 15. Cool. And then her GCS, is that good? 15? Yeah. We're at 15 right now. Okay. Where are you guys coming from? Waxanaca. Okay. Cool. We'll see you when you get here. All right. Thank you. Thank you. Thank you.</t>
  </si>
  <si>
    <t>Children's here, Dr. Catton. Hey, Doc. It's Kevin with AMR. Yeah. We're coming in with a 14-year-old female struck by a car, probably 35 miles an hour or so. [REDACTED]. She's got hematoma on the back of her head, a lot of lower back pain, lower right leg pain, road rash all over. Vitals now, respirations are about 20, heart rate 100. Blood pressure is 95 over 57. Okay. [REDACTED]. Do you have access? Do you have an IV? Yep. I got an 18 in. Cool. I gave her some fentanyl for the pain. Cool. Okay. Did you give her any fluids yet? Just a little bit. We just got it running. Cool. Yeah. So just keep that running. Okay. Cool. What's your ETA? Yeah. Let me look up. Okay. 16 minutes. 15. Cool. And then her GCS, is that good? 15? Yeah. We're at 15 right now. Okay. Where are you guys coming from? Waxanaca. Okay. Cool. We'll see you when you get here. All right. Thank you. Thank you. Thank you.</t>
  </si>
  <si>
    <t>Children's here, Dr. Catton. Hey, Doc. It's Kevin with AMR. Yeah. We're coming in with a 14-year-old female [REDACTED]. Positive loss of consciousness. She's got hematoma on the back of her head, a lot of lower back pain, lower right leg pain, road rash all over. Vitals now, respirations are about 20, heart rate 100. Blood pressure is 95 over 57. Okay. She's a little more oriented. Do you have access? Do you have an IV? Yep. I got an 18 in. Cool. I gave her some fentanyl for the pain. Cool. Okay. Did you give her any fluids yet? Just a little bit. We just got it running. Cool. Yeah. So just keep that running. Okay. Cool. What's your ETA? Yeah. Let me look up. Okay. 16 minutes. 15. Cool. And then her GCS, is that good? 15? Yeah. We're at 15 right now. Okay. Where are you guys coming from? Waxanaca. Okay. Cool. We'll see you when you get here. All right. Thank you. Thank you. Thank you.</t>
  </si>
  <si>
    <t>So, Shiedi, this is Dr. Jimenez. Hi, this is Stryker's Delay. We're just calling in a trauma. Uh-huh. Are you ready? Yeah, go ahead. Okay, [REDACTED] involved in a four-wheeler accident. Roughly going about 10 miles an hour, four-wheeler rolled over on his leg, and it looks like he has an obvious low femur fracture just above his right knee. He's conscious and alert, never lost consciousness. Sorry, you said left femur fracture? Nope, right, just above the knee. And there's a lot of swelling. We do have some ice on it. It is secured as best we could. BLS rigs bringing him in. He was given three 160-tubule Tylenol, taken prior to my arrival, for pain. He seems to be doing pretty well right now. He's got a collar on. Vitals are 122 and 62, heart rates 103 and regular. Respirations are 18. Pupils are equal and regular. He's very active. He does have quite a bruised hip fusion on his other upper leg, but he said it does not hurt. Pedal pulses are both intact. I x where the pedal pulse is on the other extremity that is injured. Mom is on board, and we are roughly 10 minutes from your facility. Okay, GCS? GCS is 15. And then I'm sorry, I missed his heart rate. Could you do that again? Heart rate is 103. Okay, and what's your ETS? ETA. ETA is 10 minutes. Okay, we'll see you guys shortly. Okay, thank you. All right, thanks. Bye.</t>
  </si>
  <si>
    <t>So, Shiedi, this is Dr. Jimenez. Hi, this is Stryker's Delay. We're just calling in a trauma. Uh-huh. Are you ready? Yeah, go ahead. Okay, nine-year-old male involved in a four-wheeler accident. Roughly going about 10 miles an hour, four-wheeler rolled over on his leg, and it looks like he has an obvious low femur fracture just above his right knee. He's conscious and alert, never lost consciousness. Sorry, you said left femur fracture? Nope, right, just above the knee. And there's a lot of swelling. We do have some ice on it. It is secured as best we could. BLS rigs bringing him in. He was given three 160-tubule Tylenol, taken prior to my arrival, for pain. He seems to be doing pretty well right now. He's got a collar on. Vitals are 122 and 62, [REDACTED] and regular. Respirations are 18. Pupils are equal and regular. He's very active. He does have quite a bruised hip fusion on his other upper leg, but he said it does not hurt. Pedal pulses are both intact. I x where the pedal pulse is on the other extremity that is injured. Mom is on board, and we are roughly 10 minutes from your facility. Okay, GCS? GCS is 15. And then I'm sorry, I missed his heart rate. Could you do that again? [REDACTED]. Okay, and what's your ETS? ETA. ETA is 10 minutes. Okay, we'll see you guys shortly. Okay, thank you. All right, thanks. Bye.</t>
  </si>
  <si>
    <t>So, Shiedi, this is Dr. Jimenez. Hi, this is Stryker's Delay. We're just calling in a trauma. Uh-huh. Are you ready? Yeah, go ahead. Okay, nine-year-old male involved in a four-wheeler accident. Roughly going about 10 miles an hour, four-wheeler rolled over on his leg, and it looks like he has an obvious low femur fracture just above his right knee. He's conscious and alert, never lost consciousness. Sorry, you said left femur fracture? Nope, right, just above the knee. And there's a lot of swelling. We do have some ice on it. It is secured as best we could. BLS rigs bringing him in. He was given three 160-tubule Tylenol, taken prior to my arrival, for pain. He seems to be doing pretty well right now. He's got a collar on. [REDACTED], heart rates 103 and regular. Respirations are 18. Pupils are equal and regular. He's very active. He does have quite a bruised hip fusion on his other upper leg, but he said it does not hurt. Pedal pulses are both intact. I x where the pedal pulse is on the other extremity that is injured. Mom is on board, and we are roughly 10 minutes from your facility. Okay, GCS? GCS is 15. And then I'm sorry, I missed his heart rate. Could you do that again? Heart rate is 103. Okay, and what's your ETS? ETA. ETA is 10 minutes. Okay, we'll see you guys shortly. Okay, thank you. All right, thanks. Bye.</t>
  </si>
  <si>
    <t>So, Shiedi, this is Dr. Jimenez. Hi, this is Stryker's Delay. We're just calling in a trauma. Uh-huh. Are you ready? Yeah, go ahead. Okay, nine-year-old male involved in a four-wheeler accident. Roughly going about 10 miles an hour, four-wheeler rolled over on his leg, and it looks like he has an obvious low femur fracture just above his right knee. He's conscious and alert, never lost consciousness. Sorry, you said left femur fracture? Nope, right, just above the knee. And there's a lot of swelling. We do have some ice on it. It is secured as best we could. BLS rigs bringing him in. He was given three 160-tubule Tylenol, taken prior to my arrival, for pain. He seems to be doing pretty well right now. He's got a collar on. Vitals are 122 and 62, heart rates 103 and regular. [REDACTED]. Pupils are equal and regular. He's very active. He does have quite a bruised hip fusion on his other upper leg, but he said it does not hurt. Pedal pulses are both intact. I x where the pedal pulse is on the other extremity that is injured. Mom is on board, and we are roughly 10 minutes from your facility. Okay, GCS? GCS is 15. And then I'm sorry, I missed his heart rate. Could you do that again? Heart rate is 103. Okay, and what's your ETS? ETA. ETA is 10 minutes. Okay, we'll see you guys shortly. Okay, thank you. All right, thanks. Bye.</t>
  </si>
  <si>
    <t>So, Shiedi, this is Dr. Jimenez. Hi, this is Stryker's Delay. We're just calling in a trauma. Uh-huh. Are you ready? Yeah, go ahead. Okay, nine-year-old male involved in a four-wheeler accident. Roughly going about 10 miles an hour, four-wheeler rolled over on his leg, and it looks like he has an obvious low femur fracture just above his right knee. [REDACTED]. Sorry, you said left femur fracture? Nope, right, just above the knee. And there's a lot of swelling. We do have some ice on it. It is secured as best we could. BLS rigs bringing him in. He was given three 160-tubule Tylenol, taken prior to my arrival, for pain. He seems to be doing pretty well right now. He's got a collar on. Vitals are 122 and 62, heart rates 103 and regular. Respirations are 18. Pupils are equal and regular. [REDACTED]. He does have quite a bruised hip fusion on his other upper leg, but he said it does not hurt. Pedal pulses are both intact. I x where the pedal pulse is on the other extremity that is injured. Mom is on board, and we are roughly 10 minutes from your facility. Okay, GCS? GCS is 15. And then I'm sorry, I missed his heart rate. Could you do that again? Heart rate is 103. Okay, and what's your ETS? ETA. ETA is 10 minutes. Okay, we'll see you guys shortly. Okay, thank you. All right, thanks. Bye.</t>
  </si>
  <si>
    <t>So, Shiedi, this is Dr. Jimenez. Hi, this is Stryker's Delay. We're just calling in a trauma. Uh-huh. Are you ready? Yeah, go ahead. Okay, nine-year-old male [REDACTED]. Roughly going about 10 miles an hour, [REDACTED], and it looks like he has an obvious low femur fracture just above his right knee. He's conscious and alert, never lost consciousness. Sorry, you said left femur fracture? Nope, right, just above the knee. And there's a lot of swelling. We do have some ice on it. It is secured as best we could. BLS rigs bringing him in. He was given three 160-tubule Tylenol, taken prior to my arrival, for pain. He seems to be doing pretty well right now. He's got a collar on. Vitals are 122 and 62, heart rates 103 and regular. Respirations are 18. Pupils are equal and regular. He's very active. He does have quite a bruised hip fusion on his other upper leg, but he said it does not hurt. Pedal pulses are both intact. I x where the pedal pulse is on the other extremity that is injured. Mom is on board, and we are roughly 10 minutes from your facility. Okay, GCS? GCS is 15. And then I'm sorry, I missed his heart rate. Could you do that again? Heart rate is 103. Okay, and what's your ETS? ETA. ETA is 10 minutes. Okay, we'll see you guys shortly. Okay, thank you. All right, thanks. Bye.</t>
  </si>
  <si>
    <t>Can you stick out your tongue for me? Oh, shy. It's Jessica. Hi, Eric on Mercy Medic 1. Coming in by ground with a trauma-free alert. Okay. Can I get a pen? [REDACTED], ATV rollover. Okay. She got 10 out of 10 back pain. She bit her tongue. She's got some dried blood around her nose and mouth from her tongue. Okay. Pretty much, yeah. We've got ALS established. Vitals are stable. We're about 15 minutes out. Okay. Can I get a set of vitals, please? Yeah. She's got 15. Last blood pressure is 139 over 77. 89 beats a minute. Okay. 99% on room air. Okay. Breathing like 24. Okay. Okay. And like no LSD or anything like that that we know of? It was unwitnessed, and she's not sure if she passed out. Okay. All right. We will see you when you get here. All right. Thanks. Thanks. Thanks. Bye. Bye. Bye. Bye. Bye. Bye.</t>
  </si>
  <si>
    <t>Can you stick out your tongue for me? Oh, shy. It's Jessica. Hi, Eric on Mercy Medic 1. Coming in by ground with a trauma-free alert. Okay. Can I get a pen? 15-year-old female, ATV rollover. Okay. She got 10 out of 10 back pain. She bit her tongue. She's got some dried blood around her nose and mouth from her tongue. Okay. Pretty much, yeah. We've got ALS established. Vitals are stable. We're about 15 minutes out. Okay. Can I get a set of vitals, please? Yeah. She's got 15. Last blood pressure is 139 over 77. [REDACTED]. Okay. 99% on room air. Okay. Breathing like 24. Okay. Okay. And like no LSD or anything like that that we know of? It was unwitnessed, and she's not sure if she passed out. Okay. All right. We will see you when you get here. All right. Thanks. Thanks. Thanks. Bye. Bye. Bye. Bye. Bye. Bye.</t>
  </si>
  <si>
    <t>Can you stick out your tongue for me? Oh, shy. It's Jessica. Hi, Eric on Mercy Medic 1. Coming in by ground with a trauma-free alert. Okay. Can I get a pen? 15-year-old female, ATV rollover. Okay. She got 10 out of 10 back pain. She bit her tongue. She's got some dried blood around her nose and mouth from her tongue. Okay. Pretty much, yeah. We've got ALS established. Vitals are stable. We're about 15 minutes out. Okay. Can I get a set of vitals, please? Yeah. She's got 15. Last [REDACTED]. 89 beats a minute. Okay. 99% on room air. Okay. Breathing like 24. Okay. Okay. And like no LSD or anything like that that we know of? It was unwitnessed, and she's not sure if she passed out. Okay. All right. We will see you when you get here. All right. Thanks. Thanks. Thanks. Bye. Bye. Bye. Bye. Bye. Bye.</t>
  </si>
  <si>
    <t>Can you stick out your tongue for me? Oh, shy. It's Jessica. Hi, Eric on Mercy Medic 1. Coming in by ground with a trauma-free alert. Okay. Can I get a pen? 15-year-old female, ATV rollover. Okay. She got 10 out of 10 back pain. She bit her tongue. She's got some dried blood around her nose and mouth from her tongue. Okay. Pretty much, yeah. We've got ALS established. Vitals are stable. We're about 15 minutes out. Okay. Can I get a set of vitals, please? Yeah. She's got 15. Last blood pressure is 139 over 77. 89 beats a minute. Okay. 99% on room air. Okay. [REDACTED]. Okay. Okay. And like no LSD or anything like that that we know of? It was unwitnessed, and she's not sure if she passed out. Okay. All right. We will see you when you get here. All right. Thanks. Thanks. Thanks. Bye. Bye. Bye. Bye. Bye. Bye.</t>
  </si>
  <si>
    <t>Can you stick out your tongue for me? Oh, shy. It's Jessica. Hi, Eric on Mercy Medic 1. Coming in by ground with a trauma-free alert. Okay. Can I get a pen? 15-year-old female, ATV rollover. Okay. She got 10 out of 10 back pain. She bit her tongue. She's got some dried blood around her nose and mouth from her tongue. Okay. Pretty much, yeah. We've got ALS established. Vitals are stable. We're about 15 minutes out. Okay. Can I get a set of vitals, please? Yeah. She's got 15. Last blood pressure is 139 over 77. 89 beats a minute. Okay. 99% on room air. Okay. Breathing like 24. Okay. Okay. And like no LSD or anything like that that we know of? It was unwitnessed, and [REDACTED]. Okay. All right. We will see you when you get here. All right. Thanks. Thanks. Thanks. Bye. Bye. Bye. Bye. Bye. Bye.</t>
  </si>
  <si>
    <t>Can you stick out your tongue for me? Oh, shy. It's Jessica. Hi, Eric on Mercy Medic 1. Coming in by ground with a trauma-free alert. Okay. Can I get a pen? 15-year-old female, [REDACTED]. Okay. She got 10 out of 10 back pain. She bit her tongue. She's got some dried blood around her nose and mouth from her tongue. Okay. Pretty much, yeah. We've got ALS established. Vitals are stable. We're about 15 minutes out. Okay. Can I get a set of vitals, please? Yeah. She's got 15. Last blood pressure is 139 over 77. 89 beats a minute. Okay. 99% on room air. Okay. Breathing like 24. Okay. Okay. And like no LSD or anything like that that we know of? It was unwitnessed, and she's not sure if she passed out. Okay. All right. We will see you when you get here. All right. Thanks. Thanks. Thanks. Bye. Bye. Bye. Bye. Bye. Bye.</t>
  </si>
  <si>
    <t>Okay, emergency department, this is Dr. Petty. We're trying to help you. Hi, my name is Allison. I'm a paramedic with the City of Toronto Fire Department. We are on our way to you with an [REDACTED] that was struck by a car. Oh, okay. What's going on? She's being super combative right now, so it's hard for us to get vital. She's bleeding from the nose, and she's in and out of consciousness. Okay, what's her current GCS? Four. Four? Okay. What's her respiratory rate? Respiratory rate is probably 14. 14. Okay. Is her airway intact? For now, yes. She's maintaining her own airway. Yeah, okay. What's her pulse ox? I'm sorry? What's her current vitals? What's her heart rate? What's her blood pressure? Her pulse ox? We're working on getting that right now. She's being combative every time we try to go for any type of vital. Okay, do we know if that's the car? How far is it going? 30 miles an hour. 30 miles an hour. She was wearing a helmet that's relatively intact. Okay. How far away are you guys from O'Shea? 16 minutes. 15 minutes? Is the kid like baggable? Or is she just at it for you that you can't like? She's really fighting us now. It's okay sweetheart, put your hand down. But we'll continue to monitor her FDL2 and bag of mucocaries. So what is she getting for for the GCS? I guess if she's fighting you, right? Because spontaneous movements. So it's like spontaneous movement. She's not reacting to pain. She's just kind of like flailing her arms and legs. Okay. Okay. Is she speaking at all? No. No. Okay. So nonverbal. Any, is her eyes open? No, she's not opening her eyes. Eyes not open. Okay. Okay. And she's not doing anything when you sternal rubber? She's just flailing? Nothing. No. No. Maybe a little motion of her hands, but nothing noteworthy. She's just flailing her arms and legs. Okay. Any signs of obvious injury? Other than the bleeding from the nose, she's just got minor abrasions on her legs and hands. We just got a pressure of 120 over 59. Okay. Okay. Did you get a heart rate yet? Sorry. I'm sorry. I'm sorry. I'm sorry. I'm sorry. I'm sorry. I'm sorry. I'm sorry. It's 71. Heart rate is 71. Heart rate is 71. Okay. Does she have a c-calor on? Yes, there is. Okay. C-calor is one. Okay. All right. She can be at one. You said you guys are about 15 minutes out? Yeah. She's at 80 for G. Okay. She's 98% FCO2. We just got that as well. Sounds good. Okay. Yeah. I mean, I was just saying. I mean, it's not that I'm not sure. I was just like, well, I can't do that. I can't do that. I can't do that. I'm not sure if that's the right word that I'm using. Get a line in, bag her so she's like saturated and good. Keep monitoring her vitals. We'll see you guys as soon as you get here. Yes, sir. Thank you. Yeah. All right. Thank you.</t>
  </si>
  <si>
    <t>Okay, emergency department, this is Dr. Petty. We're trying to help you. Hi, my name is Allison. I'm a paramedic with the City of Toronto Fire Department. We are on our way to you with an 8-year-old that was struck by a car. Oh, okay. What's going on? She's being super combative right now, so it's hard for us to get vital. She's bleeding from the nose, and she's in and out of consciousness. Okay, what's her current GCS? Four. Four? Okay. What's her respiratory rate? Respiratory rate is probably 14. 14. Okay. Is her airway intact? For now, yes. She's maintaining her own airway. Yeah, okay. What's her pulse ox? I'm sorry? What's her current vitals? What's her heart rate? What's her blood pressure? Her pulse ox? We're working on getting that right now. She's being combative every time we try to go for any type of vital. Okay, do we know if that's the car? How far is it going? 30 miles an hour. 30 miles an hour. She was wearing a helmet that's relatively intact. Okay. How far away are you guys from O'Shea? 16 minutes. 15 minutes? Is the kid like baggable? Or is she just at it for you that you can't like? She's really fighting us now. It's okay sweetheart, put your hand down. But we'll continue to monitor her FDL2 and bag of mucocaries. So what is she getting for for the GCS? I guess if she's fighting you, right? Because spontaneous movements. So it's like spontaneous movement. She's not reacting to pain. She's just kind of like flailing her arms and legs. Okay. Okay. Is she speaking at all? No. No. Okay. So nonverbal. Any, is her eyes open? No, she's not opening her eyes. Eyes not open. Okay. Okay. And she's not doing anything when you sternal rubber? She's just flailing? Nothing. No. No. Maybe a little motion of her hands, but nothing noteworthy. She's just flailing her arms and legs. Okay. Any signs of obvious injury? Other than the bleeding from the nose, she's just got minor abrasions on her legs and hands. We just got a pressure of 120 over 59. Okay. Okay. Did you get a heart rate yet? Sorry. I'm sorry. I'm sorry. I'm sorry. I'm sorry. I'm sorry. I'm sorry. I'm sorry. It's 71. [REDACTED]. [REDACTED]. Okay. Does she have a c-calor on? Yes, there is. Okay. C-calor is one. Okay. All right. She can be at one. You said you guys are about 15 minutes out? Yeah. She's at 80 for G. Okay. She's 98% FCO2. We just got that as well. Sounds good. Okay. Yeah. I mean, I was just saying. I mean, it's not that I'm not sure. I was just like, well, I can't do that. I can't do that. I can't do that. I'm not sure if that's the right word that I'm using. Get a line in, bag her so she's like saturated and good. Keep monitoring her vitals. We'll see you guys as soon as you get here. Yes, sir. Thank you. Yeah. All right. Thank you.</t>
  </si>
  <si>
    <t>Okay, emergency department, this is Dr. Petty. We're trying to help you. Hi, my name is Allison. I'm a paramedic with the City of Toronto Fire Department. We are on our way to you with an 8-year-old that was struck by a car. Oh, okay. What's going on? She's being super combative right now, so it's hard for us to get vital. She's bleeding from the nose, and she's in and out of consciousness. Okay, what's her current GCS? Four. Four? Okay. What's her respiratory rate? Respiratory rate is probably 14. 14. Okay. Is her airway intact? For now, yes. She's maintaining her own airway. Yeah, okay. What's her pulse ox? I'm sorry? What's her current vitals? What's her heart rate? What's her blood pressure? Her pulse ox? We're working on getting that right now. She's being combative every time we try to go for any type of vital. Okay, do we know if that's the car? How far is it going? 30 miles an hour. 30 miles an hour. She was wearing a helmet that's relatively intact. Okay. How far away are you guys from O'Shea? 16 minutes. 15 minutes? Is the kid like baggable? Or is she just at it for you that you can't like? She's really fighting us now. It's okay sweetheart, put your hand down. But we'll continue to monitor her FDL2 and bag of mucocaries. So what is she getting for for the GCS? I guess if she's fighting you, right? Because spontaneous movements. So it's like spontaneous movement. She's not reacting to pain. She's just kind of like flailing her arms and legs. Okay. Okay. Is she speaking at all? No. No. Okay. So nonverbal. Any, is her eyes open? No, she's not opening her eyes. Eyes not open. Okay. Okay. And she's not doing anything when you sternal rubber? She's just flailing? Nothing. No. No. Maybe a little motion of her hands, but nothing noteworthy. She's just flailing her arms and legs. Okay. Any signs of obvious injury? Other than the bleeding from the nose, she's just got minor abrasions on her legs and hands. We just got a [REDACTED]. Okay. Okay. Did you get a heart rate yet? Sorry. I'm sorry. I'm sorry. I'm sorry. I'm sorry. I'm sorry. I'm sorry. I'm sorry. It's 71. Heart rate is 71. Heart rate is 71. Okay. Does she have a c-calor on? Yes, there is. Okay. C-calor is one. Okay. All right. She can be at one. You said you guys are about 15 minutes out? Yeah. She's at 80 for G. Okay. She's 98% FCO2. We just got that as well. Sounds good. Okay. Yeah. I mean, I was just saying. I mean, it's not that I'm not sure. I was just like, well, I can't do that. I can't do that. I can't do that. I'm not sure if that's the right word that I'm using. Get a line in, bag her so she's like saturated and good. Keep monitoring her vitals. We'll see you guys as soon as you get here. Yes, sir. Thank you. Yeah. All right. Thank you.</t>
  </si>
  <si>
    <t>Okay, emergency department, this is Dr. Petty. We're trying to help you. Hi, my name is Allison. I'm a paramedic with the City of Toronto Fire Department. We are on our way to you with an 8-year-old that was struck by a car. Oh, okay. What's going on? She's being super combative right now, so it's hard for us to get vital. She's bleeding from the nose, and she's in and out of consciousness. Okay, what's her current GCS? Four. Four? Okay. What's her respiratory rate? [REDACTED]. [REDACTED]. Okay. Is her airway intact? For now, yes. She's maintaining her own airway. Yeah, okay. What's her pulse ox? I'm sorry? What's her current vitals? What's her heart rate? What's her blood pressure? Her pulse ox? We're working on getting that right now. She's being combative every time we try to go for any type of vital. Okay, do we know if that's the car? How far is it going? 30 miles an hour. 30 miles an hour. She was wearing a helmet that's relatively intact. Okay. How far away are you guys from O'Shea? 16 minutes. 15 minutes? Is the kid like baggable? Or is she just at it for you that you can't like? She's really fighting us now. It's okay sweetheart, put your hand down. But we'll continue to monitor her FDL2 and bag of mucocaries. So what is she getting for for the GCS? I guess if she's fighting you, right? Because spontaneous movements. So it's like spontaneous movement. She's not reacting to pain. She's just kind of like flailing her arms and legs. Okay. Okay. Is she speaking at all? No. No. Okay. So nonverbal. Any, is her eyes open? No, she's not opening her eyes. Eyes not open. Okay. Okay. And she's not doing anything when you sternal rubber? She's just flailing? Nothing. No. No. Maybe a little motion of her hands, but nothing noteworthy. She's just flailing her arms and legs. Okay. Any signs of obvious injury? Other than the bleeding from the nose, she's just got minor abrasions on her legs and hands. We just got a pressure of 120 over 59. Okay. Okay. Did you get a heart rate yet? Sorry. I'm sorry. I'm sorry. I'm sorry. I'm sorry. I'm sorry. I'm sorry. I'm sorry. It's 71. Heart rate is 71. Heart rate is 71. Okay. Does she have a c-calor on? Yes, there is. Okay. C-calor is one. Okay. All right. She can be at one. You said you guys are about 15 minutes out? Yeah. She's at 80 for G. Okay. She's 98% FCO2. We just got that as well. Sounds good. Okay. Yeah. I mean, I was just saying. I mean, it's not that I'm not sure. I was just like, well, I can't do that. I can't do that. I can't do that. I'm not sure if that's the right word that I'm using. Get a line in, bag her so she's like saturated and good. Keep monitoring her vitals. We'll see you guys as soon as you get here. Yes, sir. Thank you. Yeah. All right. Thank you.</t>
  </si>
  <si>
    <t>Okay, emergency department, this is Dr. Petty. We're trying to help you. Hi, my name is Allison. I'm a paramedic with the City of Toronto Fire Department. We are on our way to you with an 8-year-old that was struck by a car. Oh, okay. What's going on? She's being [REDACTED] right now, so it's hard for us to get vital. She's bleeding from the nose, and she's [REDACTED]. Okay, what's her current GCS? Four. Four? Okay. What's her respiratory rate? Respiratory rate is probably 14. 14. Okay. Is her airway intact? For now, yes. She's maintaining her own airway. Yeah, okay. What's her pulse ox? I'm sorry? What's her current vitals? What's her heart rate? What's her blood pressure? Her pulse ox? We're working on getting that right now. She's being combative every time we try to go for any type of vital. Okay, do we know if that's the car? How far is it going? 30 miles an hour. 30 miles an hour. She was wearing a helmet that's relatively intact. Okay. How far away are you guys from O'Shea? 16 minutes. 15 minutes? Is the kid like baggable? Or is she just at it for you that you can't like? She's really fighting us now. It's okay sweetheart, put your hand down. But we'll continue to monitor her FDL2 and bag of mucocaries. So what is she getting for for the GCS? I guess if [REDACTED], right? Because [REDACTED]. So it's like spontaneous movement. She's [REDACTED]. She's [REDACTED]. Okay. Okay. Is she speaking at all? No. No. Okay. So [REDACTED]. Any, is her eyes open? No, she's [REDACTED]. [REDACTED]. Okay. Okay. And she's [REDACTED]? She's [REDACTED]? Nothing. No. No. Maybe a [REDACTED], but [REDACTED]. She's [REDACTED] her arms and legs. Okay. Any signs of obvious injury? Other than the bleeding from the nose, she's just got minor abrasions on her legs and hands. We just got a pressure of 120 over 59. Okay. Okay. Did you get a heart rate yet? Sorry. I'm sorry. I'm sorry. I'm sorry. I'm sorry. I'm sorry. I'm sorry. I'm sorry. It's 71. Heart rate is 71. Heart rate is 71. Okay. Does she have a c-calor on? Yes, there is. Okay. C-calor is one. Okay. All right. She can be at one. You said you guys are about 15 minutes out? Yeah. She's at 80 for G. Okay. She's 98% FCO2. We just got that as well. Sounds good. Okay. Yeah. I mean, I was just saying. I mean, it's not that I'm not sure. I was just like, well, I can't do that. I can't do that. I can't do that. I'm not sure if that's the right word that I'm using. Get a line in, bag her so she's like saturated and good. Keep monitoring her vitals. We'll see you guys as soon as you get here. Yes, sir. Thank you. Yeah. All right. Thank you.</t>
  </si>
  <si>
    <t>Okay, emergency department, this is Dr. Petty. We're trying to help you. Hi, my name is Allison. I'm a paramedic with the City of Toronto Fire Department. We are on our way to you with an 8-year-old that was [REDACTED]. Oh, okay. What's going on? She's being super combative right now, so it's hard for us to get vital. She's bleeding from the nose, and she's in and out of consciousness. Okay, what's her current GCS? Four. Four? Okay. What's her respiratory rate? Respiratory rate is probably 14. 14. Okay. Is her airway intact? For now, yes. She's maintaining her own airway. Yeah, okay. What's her pulse ox? I'm sorry? What's her current vitals? What's her heart rate? What's her blood pressure? Her pulse ox? We're working on getting that right now. She's being combative every time we try to go for any type of vital. Okay, do we know if that's [REDACTED]? [REDACTED]. [REDACTED]. She was [REDACTED]. Okay. How far away are you guys from O'Shea? 16 minutes. 15 minutes? Is the kid like baggable? Or is she just at it for you that you can't like? She's really fighting us now. It's okay sweetheart, put your hand down. But we'll continue to monitor her FDL2 and bag of mucocaries. So what is she getting for for the GCS? I guess if she's fighting you, right? Because spontaneous movements. So it's like spontaneous movement. She's not reacting to pain. She's just kind of like flailing her arms and legs. Okay. Okay. Is she speaking at all? No. No. Okay. So nonverbal. Any, is her eyes open? No, she's not opening her eyes. Eyes not open. Okay. Okay. And she's not doing anything when you sternal rubber? She's just flailing? Nothing. No. No. Maybe a little motion of her hands, but nothing noteworthy. She's just flailing her arms and legs. Okay. Any signs of obvious injury? Other than the bleeding from the nose, she's just got minor abrasions on her legs and hands. We just got a pressure of 120 over 59. Okay. Okay. Did you get a heart rate yet? Sorry. I'm sorry. I'm sorry. I'm sorry. I'm sorry. I'm sorry. I'm sorry. I'm sorry. It's 71. Heart rate is 71. Heart rate is 71. Okay. Does she have a c-calor on? Yes, there is. Okay. C-calor is one. Okay. All right. She can be at one. You said you guys are about 15 minutes out? Yeah. She's at 80 for G. Okay. She's 98% FCO2. We just got that as well. Sounds good. Okay. Yeah. I mean, I was just saying. I mean, it's not that I'm not sure. I was just like, well, I can't do that. I can't do that. I can't do that. I'm not sure if that's the right word that I'm using. Get a line in, bag her so she's like saturated and good. Keep monitoring her vitals. We'll see you guys as soon as you get here. Yes, sir. Thank you. Yeah. All right. Thank you.</t>
  </si>
  <si>
    <t>Hello, this is Sean Bush, Advancing C with AMR. I'm going to be bringing you guys a [REDACTED] that was struck by a motor vehicle about 15 minutes ago. The vehicle was going roughly 40 miles an hour. Negative LOC. The patient is confused at this time, but GCPF 14 otherwise. Why are we knocking down a point for the GCS? He's been dazed and kind of asking a lot of the same questions. So, either spontaneous opening for, you can, he's oriented, is he oriented to, like, person, place, and time? Person and time, but place and event, not so much. Will he follow commands for you? Yes. And was he walking on his bicycle, or? I believe he was walking. So, it seemed like he was walking. He was hitting children. This is like the 80th, 50th week. Sad. Okay. How far out are you guys? We're about probably 10 minutes from a guy. 10 minutes. Okay. What's the heart rate? Yeah, vitals are stable. We're 126 for a heart rate. What's the heart rate? We're 97, oh, 138 on 76. All righty. And we're 99% on room air. Got anything for a respiratory rate by chance? I can tell you about, read that a little quick. Okay. You probably had it. Had it. I think it was like 28. 28? Okay. Yeah. Yeah. On labor, though. Okay. Does he have a line in, or did you have to give meds or anything? Nope and nope for advanced level, so. Okay. And it's a line on teeth. Sounds good. Thank you. We'll see you soon. We're going to go back to the trauma bay when you get here just so you know. Sounds good. Thanks very much. All right. Thanks. Bye.</t>
  </si>
  <si>
    <t>Hello, this is Sean Bush, Advancing C with AMR. I'm going to be bringing you guys a 7-year-old male that was struck by a motor vehicle about 15 minutes ago. The vehicle was going roughly 40 miles an hour. Negative LOC. The patient is confused at this time, but GCPF 14 otherwise. Why are we knocking down a point for the GCS? He's been dazed and kind of asking a lot of the same questions. So, either spontaneous opening for, you can, he's oriented, is he oriented to, like, person, place, and time? Person and time, but place and event, not so much. Will he follow commands for you? Yes. And was he walking on his bicycle, or? I believe he was walking. So, it seemed like he was walking. He was hitting children. This is like the 80th, 50th week. Sad. Okay. How far out are you guys? We're about probably 10 minutes from a guy. 10 minutes. Okay. What's the heart rate? Yeah, vitals are stable. We're [REDACTED]. What's the heart rate? We're 97, oh, 138 on 76. All righty. And we're 99% on room air. Got anything for a respiratory rate by chance? I can tell you about, read that a little quick. Okay. You probably had it. Had it. I think it was like 28. 28? Okay. Yeah. Yeah. On labor, though. Okay. Does he have a line in, or did you have to give meds or anything? Nope and nope for advanced level, so. Okay. And it's a line on teeth. Sounds good. Thank you. We'll see you soon. We're going to go back to the trauma bay when you get here just so you know. Sounds good. Thanks very much. All right. Thanks. Bye.</t>
  </si>
  <si>
    <t>Hello, this is Sean Bush, Advancing C with AMR. I'm going to be bringing you guys a 7-year-old male that was struck by a motor vehicle about 15 minutes ago. The vehicle was going roughly 40 miles an hour. Negative LOC. The patient is confused at this time, but GCPF 14 otherwise. Why are we knocking down a point for the GCS? He's been dazed and kind of asking a lot of the same questions. So, either spontaneous opening for, you can, he's oriented, is he oriented to, like, person, place, and time? Person and time, but place and event, not so much. Will he follow commands for you? Yes. And was he walking on his bicycle, or? I believe he was walking. So, it seemed like he was walking. He was hitting children. This is like the 80th, 50th week. Sad. Okay. How far out are you guys? We're about probably 10 minutes from a guy. 10 minutes. Okay. What's the heart rate? Yeah, vitals are stable. We're 126 for a heart rate. What's the heart rate? We're 97, oh, [REDACTED]. All righty. And we're 99% on room air. Got anything for a respiratory rate by chance? I can tell you about, read that a little quick. Okay. You probably had it. Had it. I think it was like 28. 28? Okay. Yeah. Yeah. On labor, though. Okay. Does he have a line in, or did you have to give meds or anything? Nope and nope for advanced level, so. Okay. And it's a line on teeth. Sounds good. Thank you. We'll see you soon. We're going to go back to the trauma bay when you get here just so you know. Sounds good. Thanks very much. All right. Thanks. Bye.</t>
  </si>
  <si>
    <t>Hello, this is Sean Bush, Advancing C with AMR. I'm going to be bringing you guys a 7-year-old male that was struck by a motor vehicle about 15 minutes ago. The vehicle was going roughly 40 miles an hour. Negative LOC. The patient is confused at this time, but GCPF 14 otherwise. Why are we knocking down a point for the GCS? He's been dazed and kind of asking a lot of the same questions. So, either spontaneous opening for, you can, he's oriented, is he oriented to, like, person, place, and time? Person and time, but place and event, not so much. Will he follow commands for you? Yes. And was he walking on his bicycle, or? I believe he was walking. So, it seemed like he was walking. He was hitting children. This is like the 80th, 50th week. Sad. Okay. How far out are you guys? We're about probably 10 minutes from a guy. 10 minutes. Okay. What's the heart rate? Yeah, vitals are stable. We're 126 for a heart rate. What's the heart rate? We're 97, oh, 138 on 76. All righty. And we're 99% on room air. Got anything for a respiratory rate by chance? I can tell you about, read that a little quick. Okay. You probably had it. Had it. I think it was like [REDACTED]. [REDACTED]? Okay. Yeah. Yeah. On labor, though. Okay. Does he have a line in, or did you have to give meds or anything? Nope and nope for advanced level, so. Okay. And it's a line on teeth. Sounds good. Thank you. We'll see you soon. We're going to go back to the trauma bay when you get here just so you know. Sounds good. Thanks very much. All right. Thanks. Bye.</t>
  </si>
  <si>
    <t>Hello, this is Sean Bush, Advancing C with AMR. I'm going to be bringing you guys a 7-year-old male that was struck by a motor vehicle about 15 minutes ago. The vehicle was going roughly 40 miles an hour. Negative LOC. [REDACTED] at this time, but GCPF 14 otherwise. Why are we knocking down a point for the GCS? [REDACTED]. So, either spontaneous opening for, you can, he's oriented, is he oriented to, like, person, place, and time? [REDACTED]. Will he follow commands for you? Yes. And was he walking on his bicycle, or? I believe he was walking. So, it seemed like he was walking. He was hitting children. This is like the 80th, 50th week. Sad. Okay. How far out are you guys? We're about probably 10 minutes from a guy. 10 minutes. Okay. What's the heart rate? Yeah, vitals are stable. We're 126 for a heart rate. What's the heart rate? We're 97, oh, 138 on 76. All righty. And we're 99% on room air. Got anything for a respiratory rate by chance? I can tell you about, read that a little quick. Okay. You probably had it. Had it. I think it was like 28. 28? Okay. Yeah. Yeah. On labor, though. Okay. Does he have a line in, or did you have to give meds or anything? Nope and nope for advanced level, so. Okay. And it's a line on teeth. Sounds good. Thank you. We'll see you soon. We're going to go back to the trauma bay when you get here just so you know. Sounds good. Thanks very much. All right. Thanks. Bye.</t>
  </si>
  <si>
    <t>Hello, this is Sean Bush, Advancing C with AMR. I'm going to be bringing you guys a 7-year-old male that was [REDACTED] about 15 minutes ago. [REDACTED]. Negative LOC. The patient is confused at this time, but GCPF 14 otherwise. Why are we knocking down a point for the GCS? He's been dazed and kind of asking a lot of the same questions. So, either spontaneous opening for, you can, he's oriented, is he oriented to, like, person, place, and time? Person and time, but place and event, not so much. Will he follow commands for you? Yes. And was he walking on his bicycle, or? I believe he was walking. So, it seemed like he was walking. He was hitting children. This is like the 80th, 50th week. Sad. Okay. How far out are you guys? We're about probably 10 minutes from a guy. 10 minutes. Okay. What's the heart rate? Yeah, vitals are stable. We're 126 for a heart rate. What's the heart rate? We're 97, oh, 138 on 76. All righty. And we're 99% on room air. Got anything for a respiratory rate by chance? I can tell you about, read that a little quick. Okay. You probably had it. Had it. I think it was like 28. 28? Okay. Yeah. Yeah. On labor, though. Okay. Does he have a line in, or did you have to give meds or anything? Nope and nope for advanced level, so. Okay. And it's a line on teeth. Sounds good. Thank you. We'll see you soon. We're going to go back to the trauma bay when you get here just so you know. Sounds good. Thanks very much. All right. Thanks. Bye.</t>
  </si>
  <si>
    <t>Hello, Shai, it's Dr. Pathers. Hi, Doc, it's MERS Control. How are you this afternoon? Good, how are you? I'm all right. Stat Medevac 17 is on its way to you with a 10-minute ETA with an inter-facility transfer from UPMC Chautauqua. Okay. It's an [REDACTED] who was hit and run over by a truck with traumatic arrest on scene. They did get ROSC. They are, like I said, 10 minutes out. Right now, their sinus pack at 128. They have a blood pressure of 76 over 45. On the vent, 18 times a minute, setting at 93%. And, again, 10-minute ETA to your rooftop. Okay, sounds good. Did they say this kiddo was on any meds? Oh, running blood and epi at the present time. Okay, beautiful. Thank you. You're welcome. Bye-bye. Bye.</t>
  </si>
  <si>
    <t>Hello, Shai, it's Dr. Pathers. Hi, Doc, it's MERS Control. How are you this afternoon? Good, how are you? I'm all right. Stat Medevac 17 is on its way to you with a 10-minute ETA with an inter-facility transfer from UPMC Chautauqua. Okay. It's an 11-year-old who was hit and run over by a truck with traumatic arrest on scene. They did get ROSC. They are, like I said, 10 minutes out. Right now, their [REDACTED]. They have a blood pressure of 76 over 45. On the vent, 18 times a minute, setting at 93%. And, again, 10-minute ETA to your rooftop. Okay, sounds good. Did they say this kiddo was on any meds? Oh, running blood and epi at the present time. Okay, beautiful. Thank you. You're welcome. Bye-bye. Bye.</t>
  </si>
  <si>
    <t>Hello, Shai, it's Dr. Pathers. Hi, Doc, it's MERS Control. How are you this afternoon? Good, how are you? I'm all right. Stat Medevac 17 is on its way to you with a 10-minute ETA with an inter-facility transfer from UPMC Chautauqua. Okay. It's an 11-year-old who was hit and run over by a truck with traumatic arrest on scene. They did get ROSC. They are, like I said, 10 minutes out. Right now, their sinus pack at 128. They have a [REDACTED]. On the vent, 18 times a minute, setting at 93%. And, again, 10-minute ETA to your rooftop. Okay, sounds good. Did they say this kiddo was on any meds? Oh, running blood and epi at the present time. Okay, beautiful. Thank you. You're welcome. Bye-bye. Bye.</t>
  </si>
  <si>
    <t>Hello, Shai, it's Dr. Pathers. Hi, Doc, it's MERS Control. How are you this afternoon? Good, how are you? I'm all right. Stat Medevac 17 is on its way to you with a 10-minute ETA with an inter-facility transfer from UPMC Chautauqua. Okay. It's an 11-year-old who was hit and run over by a truck with traumatic arrest on scene. They did get ROSC. They are, like I said, 10 minutes out. Right now, their sinus pack at 128. They have a blood pressure of 76 over 45. [REDACTED], setting at 93%. And, again, 10-minute ETA to your rooftop. Okay, sounds good. Did they say this kiddo was on any meds? Oh, running blood and epi at the present time. Okay, beautiful. Thank you. You're welcome. Bye-bye. Bye.</t>
  </si>
  <si>
    <t>Hello, Shai, it's Dr. Pathers. Hi, Doc, it's MERS Control. How are you this afternoon? Good, how are you? I'm all right. Stat Medevac 17 is on its way to you with a 10-minute ETA with an inter-facility transfer from UPMC Chautauqua. Okay. It's an 11-year-old who was [REDACTED] with [REDACTED]. They did get ROSC. They are, like I said, 10 minutes out. Right now, their sinus pack at 128. They have a blood pressure of 76 over 45. On the vent, 18 times a minute, setting at 93%. And, again, 10-minute ETA to your rooftop. Okay, sounds good. Did they say this kiddo was on any meds? Oh, running blood and epi at the present time. Okay, beautiful. Thank you. You're welcome. Bye-bye. Bye.</t>
  </si>
  <si>
    <t>Hello, Dr. Reeve. Hi, this is Kevin from NTF coming in with a transfer from Jones Memorial. [REDACTED], traumatic injury from an APB accident. Yeah. Okay, just calling in to report. Current heart rate is 77. S-202-99 in room air blast. What pressure is 150 or 71? I'm sorry, I didn't catch that last part. What you got? About 15 minutes out. 15 minutes out. GCS 15. Sore cold when we get to get in? And then what was the blood pressure again? What was the blood pressure? Yeah. 115 over 71. Awesome. And then how is she acting for you guys? How is she acting? She's been pretty sleepy the whole way. I don't know if she's asleep, but she's been pretty sleepy the entire time. I'm sorry. I didn't catch that. I didn't catch that last part. It broke up on me, unfortunately. She's been pretty drowsy the entire way up. She has not actually probably fallen asleep, but she's been just kind of rolling around here trying to, but she hasn't. Okay. All right. Any complaints of pain? Pain? No increase in pain. Last I knew it was about a four over that eye that they snipped up for. The right eye. Okay. All right. 15 minutes out. Okay. I'm sorry. What was that last thing you said? All right. We'll see you in 15. Okay. All right.</t>
  </si>
  <si>
    <t>Hello, Dr. Reeve. Hi, this is Kevin from NTF coming in with a transfer from Jones Memorial. 11-year-old female, traumatic injury from an APB accident. Yeah. Okay, just calling in to report. [REDACTED]. S-202-99 in room air blast. What pressure is 150 or 71? I'm sorry, I didn't catch that last part. What you got? About 15 minutes out. 15 minutes out. GCS 15. Sore cold when we get to get in? And then what was the blood pressure again? What was the blood pressure? Yeah. 115 over 71. Awesome. And then how is she acting for you guys? How is she acting? She's been pretty sleepy the whole way. I don't know if she's asleep, but she's been pretty sleepy the entire time. I'm sorry. I didn't catch that. I didn't catch that last part. It broke up on me, unfortunately. She's been pretty drowsy the entire way up. She has not actually probably fallen asleep, but she's been just kind of rolling around here trying to, but she hasn't. Okay. All right. Any complaints of pain? Pain? No increase in pain. Last I knew it was about a four over that eye that they snipped up for. The right eye. Okay. All right. 15 minutes out. Okay. I'm sorry. What was that last thing you said? All right. We'll see you in 15. Okay. All right.</t>
  </si>
  <si>
    <t>Hello, Dr. Reeve. Hi, this is Kevin from NTF coming in with a transfer from Jones Memorial. 11-year-old female, traumatic injury from an APB accident. Yeah. Okay, just calling in to report. Current heart rate is 77. S-202-99 in room air blast. [REDACTED]? I'm sorry, I didn't catch that last part. What you got? About 15 minutes out. 15 minutes out. GCS 15. Sore cold when we get to get in? And then what was the blood pressure again? What was the blood pressure? Yeah. [REDACTED]. Awesome. And then how is she acting for you guys? How is she acting? She's been pretty sleepy the whole way. I don't know if she's asleep, but she's been pretty sleepy the entire time. I'm sorry. I didn't catch that. I didn't catch that last part. It broke up on me, unfortunately. She's been pretty drowsy the entire way up. She has not actually probably fallen asleep, but she's been just kind of rolling around here trying to, but she hasn't. Okay. All right. Any complaints of pain? Pain? No increase in pain. Last I knew it was about a four over that eye that they snipped up for. The right eye. Okay. All right. 15 minutes out. Okay. I'm sorry. What was that last thing you said? All right. We'll see you in 15. Okay. All right.</t>
  </si>
  <si>
    <t>Hello, Dr. Reeve. Hi, this is Kevin from NTF coming in with a transfer from Jones Memorial. 11-year-old female, traumatic injury from an APB accident. Yeah. Okay, just calling in to report. Current heart rate is 77. S-202-99 in room air blast. What pressure is 150 or 71? I'm sorry, I didn't catch that last part. What you got? About 15 minutes out. 15 minutes out. GCS 15. Sore cold when we get to get in? And then what was the blood pressure again? What was the blood pressure? Yeah. 115 over 71. Awesome. And then how is she acting for you guys? How is she acting? [REDACTED]. I don't know if she's asleep, but [REDACTED]. I'm sorry. I didn't catch that. I didn't catch that last part. It broke up on me, unfortunately. [REDACTED]. She has not actually probably fallen asleep, but she's been just kind of rolling around here trying to, but [REDACTED]. Okay. All right. Any complaints of pain? Pain? No increase in pain. Last I knew it was about a four over that eye that they snipped up for. The right eye. Okay. All right. 15 minutes out. Okay. I'm sorry. What was that last thing you said? All right. We'll see you in 15. Okay. All right.</t>
  </si>
  <si>
    <t>Hello, Dr. Reeve. Hi, this is Kevin from NTF coming in with a transfer from Jones Memorial. 11-year-old female, [REDACTED]. Yeah. Okay, just calling in to report. Current heart rate is 77. S-202-99 in room air blast. What pressure is 150 or 71? I'm sorry, I didn't catch that last part. What you got? About 15 minutes out. 15 minutes out. GCS 15. Sore cold when we get to get in? And then what was the blood pressure again? What was the blood pressure? Yeah. 115 over 71. Awesome. And then how is she acting for you guys? How is she acting? She's been pretty sleepy the whole way. I don't know if she's asleep, but she's been pretty sleepy the entire time. I'm sorry. I didn't catch that. I didn't catch that last part. It broke up on me, unfortunately. She's been pretty drowsy the entire way up. She has not actually probably fallen asleep, but she's been just kind of rolling around here trying to, but she hasn't. Okay. All right. Any complaints of pain? Pain? No increase in pain. Last I knew it was about a four over that eye that they snipped up for. The right eye. Okay. All right. 15 minutes out. Okay. I'm sorry. What was that last thing you said? All right. We'll see you in 15. Okay. All right.</t>
  </si>
  <si>
    <t>Children's ER, it's Dr. Killian. Hi, Dr. Killian. Paramedic AMR coming in with a [REDACTED], [REDACTED]. Multiple bite marks to the face from a large dog. I have injuries including severe lacerations on the entire right side of the cheek, right lower orbital, working on vitals. I'm sorry. Go ahead. She does seem to have some lacerations in the interior of the mouth as well. As you can hear, airway is patent. She does have peripheral movement in all hands. I cannot get a visual on the right eye. I have a severe laceration to the direct corner of the right eye. I'm trying to control bleeding at the moment, still active bleeding. Do you have a set of vitals you can give me? I'm working on that. I'm sorry. She's moving around too much. Is her GCS okay, like her mental status? She's awake and alert? Yes. Okay. She's active. She's asking for mom. She's able to give me everything. She's alert. I got a heart rate 146. Pulse ox, 99. Pressure, unable to get a pressure. She's moving around too much. Okay. Respiratory rate? She's not getting any proper. Okay. Respiratory rate, I'm going to shoot in like, yeah, it's about 40, 40, 50. Okay. What's your ETA? Five minutes now. Okay. All right. Thanks. Yep. Bye. Bye.</t>
  </si>
  <si>
    <t>Children's ER, it's Dr. Killian. Hi, Dr. Killian. Paramedic AMR coming in with a child, one-year-old. Multiple bite marks to the face from a large dog. I have injuries including severe lacerations on the entire right side of the cheek, right lower orbital, working on vitals. I'm sorry. Go ahead. She does seem to have some lacerations in the interior of the mouth as well. As you can hear, airway is patent. She does have peripheral movement in all hands. I cannot get a visual on the right eye. I have a severe laceration to the direct corner of the right eye. I'm trying to control bleeding at the moment, still active bleeding. Do you have a set of vitals you can give me? I'm working on that. I'm sorry. She's moving around too much. Is her GCS okay, like her mental status? She's awake and alert? Yes. Okay. She's active. She's asking for mom. She's able to give me everything. She's alert. I got a [REDACTED]. Pulse ox, 99. Pressure, unable to get a pressure. She's moving around too much. Okay. Respiratory rate? She's not getting any proper. Okay. Respiratory rate, I'm going to shoot in like, yeah, it's about 40, 40, 50. Okay. What's your ETA? Five minutes now. Okay. All right. Thanks. Yep. Bye. Bye.</t>
  </si>
  <si>
    <t>Children's ER, it's Dr. Killian. Hi, Dr. Killian. Paramedic AMR coming in with a child, one-year-old. Multiple bite marks to the face from a large dog. I have injuries including severe lacerations on the entire right side of the cheek, right lower orbital, working on vitals. I'm sorry. Go ahead. She does seem to have some lacerations in the interior of the mouth as well. As you can hear, airway is patent. She does have peripheral movement in all hands. I cannot get a visual on the right eye. I have a severe laceration to the direct corner of the right eye. I'm trying to control bleeding at the moment, still active bleeding. Do you have a set of vitals you can give me? I'm working on that. I'm sorry. She's moving around too much. Is her GCS okay, like her mental status? She's awake and alert? Yes. Okay. She's active. She's asking for mom. She's able to give me everything. She's alert. I got a heart rate 146. Pulse ox, 99. Pressure, [REDACTED]. She's moving around too much. Okay. Respiratory rate? She's not getting any proper. Okay. Respiratory rate, I'm going to shoot in like, yeah, it's about 40, 40, 50. Okay. What's your ETA? Five minutes now. Okay. All right. Thanks. Yep. Bye. Bye.</t>
  </si>
  <si>
    <t>Children's ER, it's Dr. Killian. Hi, Dr. Killian. Paramedic AMR coming in with a child, one-year-old. Multiple bite marks to the face from a large dog. I have injuries including severe lacerations on the entire right side of the cheek, right lower orbital, working on vitals. I'm sorry. Go ahead. She does seem to have some lacerations in the interior of the mouth as well. As you can hear, airway is patent. She does have peripheral movement in all hands. I cannot get a visual on the right eye. I have a severe laceration to the direct corner of the right eye. I'm trying to control bleeding at the moment, still active bleeding. Do you have a set of vitals you can give me? I'm working on that. I'm sorry. She's moving around too much. Is her GCS okay, like her mental status? She's awake and alert? Yes. Okay. She's active. She's asking for mom. She's able to give me everything. She's alert. I got a heart rate 146. Pulse ox, 99. Pressure, unable to get a pressure. She's moving around too much. Okay. Respiratory rate? She's not getting any proper. Okay. [REDACTED]. Okay. What's your ETA? Five minutes now. Okay. All right. Thanks. Yep. Bye. Bye.</t>
  </si>
  <si>
    <t>Children's ER, it's Dr. Killian. Hi, Dr. Killian. Paramedic AMR coming in with a child, one-year-old. Multiple bite marks to the face from a large dog. I have injuries including severe lacerations on the entire right side of the cheek, right lower orbital, working on vitals. I'm sorry. Go ahead. She does seem to have some lacerations in the interior of the mouth as well. As you can hear, airway is patent. She does have peripheral movement in all hands. I cannot get a visual on the right eye. I have a severe laceration to the direct corner of the right eye. I'm trying to control bleeding at the moment, still active bleeding. Do you have a set of vitals you can give me? I'm working on that. I'm sorry. She's moving around too much. Is her GCS okay, like her mental status? [REDACTED]? Yes. Okay. [REDACTED]. [REDACTED]. [REDACTED]. [REDACTED]. I got a heart rate 146. Pulse ox, 99. Pressure, unable to get a pressure. She's moving around too much. Okay. Respiratory rate? She's not getting any proper. Okay. Respiratory rate, I'm going to shoot in like, yeah, it's about 40, 40, 50. Okay. What's your ETA? Five minutes now. Okay. All right. Thanks. Yep. Bye. Bye.</t>
  </si>
  <si>
    <t>Children's ER, it's Dr. Killian. Hi, Dr. Killian. Paramedic AMR coming in with a child, one-year-old. [REDACTED]. I have injuries including [REDACTED], right lower orbital, working on vitals. I'm sorry. Go ahead. She does seem to have some [REDACTED] as well. As you can hear, airway is patent. She does have peripheral movement in all hands. I cannot get a visual on the right eye. I have a [REDACTED]. I'm trying to control bleeding at the moment, still active bleeding. Do you have a set of vitals you can give me? I'm working on that. I'm sorry. She's moving around too much. Is her GCS okay, like her mental status? She's awake and alert? Yes. Okay. She's active. She's asking for mom. She's able to give me everything. She's alert. I got a heart rate 146. Pulse ox, 99. Pressure, unable to get a pressure. She's moving around too much. Okay. Respiratory rate? She's not getting any proper. Okay. Respiratory rate, I'm going to shoot in like, yeah, it's about 40, 40, 50. Okay. What's your ETA? Five minutes now. Okay. All right. Thanks. Yep. Bye. Bye.</t>
  </si>
  <si>
    <t>Medical direction line, hold on one sec. Okay. We'll let you go back up in the field and call. So, this is your doc, Carter. Hey, doc, it's AJ, Wyoming County Medical 82. We're bringing in that transfer from Wyoming County Community Hospital. Okay. That was the ATV accident. We're about 10, 12 minutes out. There's really no significant changes or anything like that. She's resting comfortably. Weightless or stable. Like I said, we're about 10, 12 minutes out. Do you have a new set of vitals for me? Oh, yeah. [REDACTED], sitting at 97 room air, 112 over 56. Just complaining of that right thumb injury. Okay. Thank you. All right. No problem, bud. Cool. Bye. Bye.</t>
  </si>
  <si>
    <t>Medical direction line, hold on one sec. Okay. We'll let you go back up in the field and call. So, this is your doc, Carter. Hey, doc, it's AJ, Wyoming County Medical 82. We're bringing in that transfer from Wyoming County Community Hospital. Okay. That was the ATV accident. We're about 10, 12 minutes out. There's really no significant changes or anything like that. She's resting comfortably. Weightless or stable. Like I said, we're about 10, 12 minutes out. Do you have a new set of vitals for me? Oh, yeah. Heart rate's 104, sitting at 97 room air, [REDACTED]. Just complaining of that right thumb injury. Okay. Thank you. All right. No problem, bud. Cool. Bye. Bye.</t>
  </si>
  <si>
    <t>Medical direction line, hold on one sec. Okay. We'll let you go back up in the field and call. So, this is your doc, Carter. Hey, doc, it's AJ, Wyoming County Medical 82. We're bringing in that transfer from Wyoming County Community Hospital. Okay. That was the ATV accident. We're about 10, 12 minutes out. There's really no significant changes or anything like that. She's [REDACTED]. Weightless or stable. Like I said, we're about 10, 12 minutes out. Do you have a new set of vitals for me? Oh, yeah. Heart rate's 104, sitting at 97 room air, 112 over 56. Just complaining of that right thumb injury. Okay. Thank you. All right. No problem, bud. Cool. Bye. Bye.</t>
  </si>
  <si>
    <t>Medical direction line, hold on one sec. Okay. We'll let you go back up in the field and call. So, this is your doc, Carter. Hey, doc, it's AJ, Wyoming County Medical 82. We're bringing in that transfer from Wyoming County Community Hospital. Okay. That was the [REDACTED]. We're about 10, 12 minutes out. There's really no significant changes or anything like that. She's resting comfortably. Weightless or stable. Like I said, we're about 10, 12 minutes out. Do you have a new set of vitals for me? Oh, yeah. Heart rate's 104, sitting at 97 room air, 112 over 56. Just complaining of that right thumb injury. Okay. Thank you. All right. No problem, bud. Cool. Bye. Bye.</t>
  </si>
  <si>
    <t>It's Dr. Amborski. Hey, Dr. Amborski. This is Sergio Diaz. I'm a paramedic with AMR. I have a [REDACTED] shot once in the right leg, no entrance wound, or no exit wound, I should say, just an entrance wound. Probable femur fractures in the right leg, distal pulses are in place. Police placed a tourniquet at 1603. We've left it in place. They reported no hurting, bleeding, and they initially made contact with the patient. Right now, he's okay. Riders are stable. I got 137 over 99. His spark rate is 75. He's 100% under the mirror. The respiratory rate's a little elevated, 26. We're working on an IV, and we'll give him pain meds. Okay. We'll be there in, like, 10 minutes. What part of the leg? You think it's femur? It's mid-shaft, almost exactly mid-shaft. Okay. On the right. All right. What's your ETA? Like 10 minutes. 10. Okay. Thanks so much. Thanks. Bye. Bye.</t>
  </si>
  <si>
    <t>It's Dr. Amborski. Hey, Dr. Amborski. This is Sergio Diaz. I'm a paramedic with AMR. I have a 16-year-old male shot once in the right leg, no entrance wound, or no exit wound, I should say, just an entrance wound. Probable femur fractures in the right leg, distal pulses are in place. Police placed a tourniquet at 1603. We've left it in place. They reported no hurting, bleeding, and they initially made contact with the patient. Right now, he's okay. Riders are stable. I got 137 over 99. His [REDACTED]. He's 100% under the mirror. The respiratory rate's a little elevated, 26. We're working on an IV, and we'll give him pain meds. Okay. We'll be there in, like, 10 minutes. What part of the leg? You think it's femur? It's mid-shaft, almost exactly mid-shaft. Okay. On the right. All right. What's your ETA? Like 10 minutes. 10. Okay. Thanks so much. Thanks. Bye. Bye.</t>
  </si>
  <si>
    <t>It's Dr. Amborski. Hey, Dr. Amborski. This is Sergio Diaz. I'm a paramedic with AMR. I have a 16-year-old male shot once in the right leg, no entrance wound, or no exit wound, I should say, just an entrance wound. Probable femur fractures in the right leg, distal pulses are in place. Police placed a tourniquet at 1603. We've left it in place. They reported no hurting, bleeding, and they initially made contact with the patient. Right now, he's okay. Riders are stable. I got [REDACTED]. His spark rate is 75. He's 100% under the mirror. The respiratory rate's a little elevated, 26. We're working on an IV, and we'll give him pain meds. Okay. We'll be there in, like, 10 minutes. What part of the leg? You think it's femur? It's mid-shaft, almost exactly mid-shaft. Okay. On the right. All right. What's your ETA? Like 10 minutes. 10. Okay. Thanks so much. Thanks. Bye. Bye.</t>
  </si>
  <si>
    <t>It's Dr. Amborski. Hey, Dr. Amborski. This is Sergio Diaz. I'm a paramedic with AMR. I have a 16-year-old male shot once in the right leg, no entrance wound, or no exit wound, I should say, just an entrance wound. Probable femur fractures in the right leg, distal pulses are in place. Police placed a tourniquet at 1603. We've left it in place. They reported no hurting, bleeding, and they initially made contact with the patient. Right now, he's okay. Riders are stable. I got 137 over 99. His spark rate is 75. He's 100% under the mirror. The [REDACTED]. We're working on an IV, and we'll give him pain meds. Okay. We'll be there in, like, 10 minutes. What part of the leg? You think it's femur? It's mid-shaft, almost exactly mid-shaft. Okay. On the right. All right. What's your ETA? Like 10 minutes. 10. Okay. Thanks so much. Thanks. Bye. Bye.</t>
  </si>
  <si>
    <t>It's Dr. Amborski. Hey, Dr. Amborski. This is Sergio Diaz. I'm a paramedic with AMR. I have a 16-year-old male [REDACTED], no entrance wound, or no exit wound, I should say, [REDACTED]. Probable femur fractures in the right leg, distal pulses are in place. [REDACTED] at 1603. We've left it in place. They reported no hurting, bleeding, and they initially made contact with the patient. Right now, he's okay. Riders are stable. I got 137 over 99. His spark rate is 75. He's 100% under the mirror. The respiratory rate's a little elevated, 26. We're working on an IV, and we'll give him pain meds. Okay. We'll be there in, like, 10 minutes. What part of the leg? You think it's femur? It's mid-shaft, almost exactly mid-shaft. Okay. On the right. All right. What's your ETA? Like 10 minutes. 10. Okay. Thanks so much. Thanks. Bye. Bye.</t>
  </si>
  <si>
    <t>Children's ER, Dr. Kenyon. Dr. Kenyon, Hi, Paramedic Kornowitz, I am R282. Yeah. I got a [REDACTED], struck by a car about 15-20 miles an hour. She has two obvious open fractures in her right lower leg. One just below the knee, one right above the ankle, and the top of her foot and part of her ankle is decloved. Okay. Alright. Yeah. Vital signs, 111 over 67, heart rate 110, that and 100% on room air. We've got her dressed and splinted. We've got a collar on her. We should be there in probably 10 minutes or so. 10 minutes. And GCS, 15? 15, yes. Yeah, and no, like, belly pain, really, just the extremity, it sounds like? No belly pain, no abduction pain. Okay. Sounds good. We'll see you when you get here. We're going to be going into the trauma phase. Thank you. Alrighty. Thank you. Bye-bye.</t>
  </si>
  <si>
    <t>Children's ER, Dr. Kenyon. Dr. Kenyon, Hi, Paramedic Kornowitz, I am R282. Yeah. I got a four-year-old, struck by a car about 15-20 miles an hour. She has two obvious open fractures in her right lower leg. One just below the knee, one right above the ankle, and the top of her foot and part of her ankle is decloved. Okay. Alright. Yeah. Vital signs, 111 over 67, [REDACTED], that and 100% on room air. We've got her dressed and splinted. We've got a collar on her. We should be there in probably 10 minutes or so. 10 minutes. And GCS, 15? 15, yes. Yeah, and no, like, belly pain, really, just the extremity, it sounds like? No belly pain, no abduction pain. Okay. Sounds good. We'll see you when you get here. We're going to be going into the trauma phase. Thank you. Alrighty. Thank you. Bye-bye.</t>
  </si>
  <si>
    <t>Children's ER, Dr. Kenyon. Dr. Kenyon, Hi, Paramedic Kornowitz, I am R282. Yeah. I got a four-year-old, struck by a car about 15-20 miles an hour. She has two obvious open fractures in her right lower leg. One just below the knee, one right above the ankle, and the top of her foot and part of her ankle is decloved. Okay. Alright. Yeah. Vital signs, [REDACTED], heart rate 110, that and 100% on room air. We've got her dressed and splinted. We've got a collar on her. We should be there in probably 10 minutes or so. 10 minutes. And GCS, 15? 15, yes. Yeah, and no, like, belly pain, really, just the extremity, it sounds like? No belly pain, no abduction pain. Okay. Sounds good. We'll see you when you get here. We're going to be going into the trauma phase. Thank you. Alrighty. Thank you. Bye-bye.</t>
  </si>
  <si>
    <t>Children's ER, Dr. Kenyon. Dr. Kenyon, Hi, Paramedic Kornowitz, I am R282. Yeah. I got a four-year-old, [REDACTED]. She has two obvious open fractures in her right lower leg. One just below the knee, one right above the ankle, and the top of her foot and part of her ankle is decloved. Okay. Alright. Yeah. Vital signs, 111 over 67, heart rate 110, that and 100% on room air. We've got her dressed and splinted. We've got a collar on her. We should be there in probably 10 minutes or so. 10 minutes. And GCS, 15? 15, yes. Yeah, and no, like, belly pain, really, just the extremity, it sounds like? No belly pain, no abduction pain. Okay. Sounds good. We'll see you when you get here. We're going to be going into the trauma phase. Thank you. Alrighty. Thank you. Bye-bye.</t>
  </si>
  <si>
    <t>I'm Shai E.D. This is Dr. Jimenez. Hey, Doctor. This is Anthony Reyes with AMR. I'm coming to your facility with an [REDACTED] that was involved in one singular motorcycle accident, specifically a dirt bike, no helmet, about 30 miles an hour, blood glucose 126, 160 over 110. GCS is a 1599 room air, 108 for pulse. She has right now, before I got to her, Buffalo Fire stated that she has a big open gash right above her left eye. It's wrapped right now. She's in a T collar. I'm on your way about 10 minutes. Okay. And then she's sat in good normal. Yeah, she's sat in good. She just said that she doesn't remember what happened, but right now she is alert and oriented times three. Okay. Yeah. Yeah. Her mom wants her to go to O'Shea. [REDACTED], so. Sure. I mean, [REDACTED], she can definitely head to ECFC. Yeah. Yeah, we're literally down the street from ECFC, but she wants her to go to Children's. Okay. All right. No problem, Doc. I'll see you in 10. Thank you. No problem.</t>
  </si>
  <si>
    <t>I'm Shai E.D. This is Dr. Jimenez. Hey, Doctor. This is Anthony Reyes with AMR. I'm coming to your facility with an 18-year-old female that was involved in one singular motorcycle accident, specifically a dirt bike, no helmet, about 30 miles an hour, blood glucose 126, 160 over 110. GCS is a 1599 room air, [REDACTED]. She has right now, before I got to her, Buffalo Fire stated that she has a big open gash right above her left eye. It's wrapped right now. She's in a T collar. I'm on your way about 10 minutes. Okay. And then she's sat in good normal. Yeah, she's sat in good. She just said that she doesn't remember what happened, but right now she is alert and oriented times three. Okay. Yeah. Yeah. Her mom wants her to go to O'Shea. She's 18 years old, so. Sure. I mean, at 18, she can definitely head to ECFC. Yeah. Yeah, we're literally down the street from ECFC, but she wants her to go to Children's. Okay. All right. No problem, Doc. I'll see you in 10. Thank you. No problem.</t>
  </si>
  <si>
    <t>I'm Shai E.D. This is Dr. Jimenez. Hey, Doctor. This is Anthony Reyes with AMR. I'm coming to your facility with an 18-year-old female that was involved in one singular motorcycle accident, specifically a dirt bike, no helmet, about 30 miles an hour, blood glucose 126, [REDACTED]. GCS is a 1599 room air, 108 for pulse. She has right now, before I got to her, Buffalo Fire stated that she has a big open gash right above her left eye. It's wrapped right now. She's in a T collar. I'm on your way about 10 minutes. Okay. And then she's sat in good normal. Yeah, she's sat in good. She just said that she doesn't remember what happened, but right now she is alert and oriented times three. Okay. Yeah. Yeah. Her mom wants her to go to O'Shea. She's 18 years old, so. Sure. I mean, at 18, she can definitely head to ECFC. Yeah. Yeah, we're literally down the street from ECFC, but she wants her to go to Children's. Okay. All right. No problem, Doc. I'll see you in 10. Thank you. No problem.</t>
  </si>
  <si>
    <t>I'm Shai E.D. This is Dr. Jimenez. Hey, Doctor. This is Anthony Reyes with AMR. I'm coming to your facility with an 18-year-old female that was involved in one singular motorcycle accident, specifically a dirt bike, no helmet, about 30 miles an hour, blood glucose 126, 160 over 110. GCS is a 1599 room air, 108 for pulse. She has right now, before I got to her, Buffalo Fire stated that she has a big open gash right above her left eye. It's wrapped right now. She's in a T collar. I'm on your way about 10 minutes. Okay. And then she's sat in good normal. Yeah, she's sat in good. She just said that [REDACTED]. Okay. Yeah. Yeah. Her mom wants her to go to O'Shea. She's 18 years old, so. Sure. I mean, at 18, she can definitely head to ECFC. Yeah. Yeah, we're literally down the street from ECFC, but she wants her to go to Children's. Okay. All right. No problem, Doc. I'll see you in 10. Thank you. No problem.</t>
  </si>
  <si>
    <t>I'm Shai E.D. This is Dr. Jimenez. Hey, Doctor. This is Anthony Reyes with AMR. I'm coming to your facility with an 18-year-old female that was [REDACTED], blood glucose 126, 160 over 110. GCS is a 1599 room air, 108 for pulse. She has right now, before I got to her, Buffalo Fire stated that she has a big open gash right above her left eye. It's wrapped right now. She's in a T collar. I'm on your way about 10 minutes. Okay. And then she's sat in good normal. Yeah, she's sat in good. She just said that she doesn't remember what happened, but right now she is alert and oriented times three. Okay. Yeah. Yeah. Her mom wants her to go to O'Shea. She's 18 years old, so. Sure. I mean, at 18, she can definitely head to ECFC. Yeah. Yeah, we're literally down the street from ECFC, but she wants her to go to Children's. Okay. All right. No problem, Doc. I'll see you in 10. Thank you. No problem.</t>
  </si>
  <si>
    <t>Children's Emergency Department, this is Dr. Ruano. Hey, Doctor. This is Mercy Flight Paramedic Sanders. I've got a [REDACTED] who was trapped underneath a car for probably five to ten minutes. His left arm was definitely trapped under the car. His head, I guess, was at an odd angle at the time. He was unconscious when the fire got here. They'd placed an airlift airway, but by the time I got here, he's crying. He's at least asked for his dad once. But the best that I can tell is just the arm. Everything else seems okay. He's 15 right now, then? I mean, hard to tell because he's crying, and I haven't really been able to tell what he's responding to, honestly. But they said that they heard him literally call for his dad. Okay. He's gotten 20 of fentanyl and nothing else. That doesn't seem to have made a difference yet, so I'll probably end up giving him some more on the way. Sounds good. Can I get his last set of vitals? Yeah. His pressure was, I think, 118 over 73. Heart rate, 119. Who is... Oh, I hear him screaming. Yeah. That was my mother. I'm not sure what the actual number is for the oxygen, but he's on 10 liters. They said he was doing okay on room air. Okay. He left the oxygen for the situation. He's got a C-collar. Is he moving all extremities spontaneously other than the injured one? Yeah. So maybe a GCS of 14 just because he's kind of difficult to control again. That seems reasonable, yeah. How far out are you guys? It's about a 10-minute flight. We're just about unloading him, so... Yeah. Where are you guys coming from? 1215. Lake Northern Niagara County. Niagara County. Okay. And you said it was his left arm that looks pretty crushed. Left arm was definitely trapped. Yeah. It's got a lot of bruising on it. Okay. Okay. Sounds good. We'll see you guys when you get here. By all means, if you need to get more functional... Perfect. Let us know if you need anything. We'll page it out as a trauma now. Okay. Thank you, Jackie. Thank you. Thank you. Bye. We'll see you shortly.</t>
  </si>
  <si>
    <t>Children's Emergency Department, this is Dr. Ruano. Hey, Doctor. This is Mercy Flight Paramedic Sanders. I've got a five-year-old male who was trapped underneath a car for probably five to ten minutes. His left arm was definitely trapped under the car. His head, I guess, was at an odd angle at the time. He was unconscious when the fire got here. They'd placed an airlift airway, but by the time I got here, he's crying. He's at least asked for his dad once. But the best that I can tell is just the arm. Everything else seems okay. He's 15 right now, then? I mean, hard to tell because he's crying, and I haven't really been able to tell what he's responding to, honestly. But they said that they heard him literally call for his dad. Okay. He's gotten 20 of fentanyl and nothing else. That doesn't seem to have made a difference yet, so I'll probably end up giving him some more on the way. Sounds good. Can I get his last set of vitals? Yeah. His pressure was, I think, 118 over 73. [REDACTED]. Who is... Oh, I hear him screaming. Yeah. That was my mother. I'm not sure what the actual number is for the oxygen, but he's on 10 liters. They said he was doing okay on room air. Okay. He left the oxygen for the situation. He's got a C-collar. Is he moving all extremities spontaneously other than the injured one? Yeah. So maybe a GCS of 14 just because he's kind of difficult to control again. That seems reasonable, yeah. How far out are you guys? It's about a 10-minute flight. We're just about unloading him, so... Yeah. Where are you guys coming from? 1215. Lake Northern Niagara County. Niagara County. Okay. And you said it was his left arm that looks pretty crushed. Left arm was definitely trapped. Yeah. It's got a lot of bruising on it. Okay. Okay. Sounds good. We'll see you guys when you get here. By all means, if you need to get more functional... Perfect. Let us know if you need anything. We'll page it out as a trauma now. Okay. Thank you, Jackie. Thank you. Thank you. Bye. We'll see you shortly.</t>
  </si>
  <si>
    <t>Children's Emergency Department, this is Dr. Ruano. Hey, Doctor. This is Mercy Flight Paramedic Sanders. I've got a five-year-old male who was trapped underneath a car for probably five to ten minutes. His left arm was definitely trapped under the car. His head, I guess, was at an odd angle at the time. He was unconscious when the fire got here. They'd placed an airlift airway, but by the time I got here, he's crying. He's at least asked for his dad once. But the best that I can tell is just the arm. Everything else seems okay. He's 15 right now, then? I mean, hard to tell because he's crying, and I haven't really been able to tell what he's responding to, honestly. But they said that they heard him literally call for his dad. Okay. He's gotten 20 of fentanyl and nothing else. That doesn't seem to have made a difference yet, so I'll probably end up giving him some more on the way. Sounds good. Can I get his last set of vitals? Yeah. His [REDACTED]. Heart rate, 119. Who is... Oh, I hear him screaming. Yeah. That was my mother. I'm not sure what the actual number is for the oxygen, but he's on 10 liters. They said he was doing okay on room air. Okay. He left the oxygen for the situation. He's got a C-collar. Is he moving all extremities spontaneously other than the injured one? Yeah. So maybe a GCS of 14 just because he's kind of difficult to control again. That seems reasonable, yeah. How far out are you guys? It's about a 10-minute flight. We're just about unloading him, so... Yeah. Where are you guys coming from? 1215. Lake Northern Niagara County. Niagara County. Okay. And you said it was his left arm that looks pretty crushed. Left arm was definitely trapped. Yeah. It's got a lot of bruising on it. Okay. Okay. Sounds good. We'll see you guys when you get here. By all means, if you need to get more functional... Perfect. Let us know if you need anything. We'll page it out as a trauma now. Okay. Thank you, Jackie. Thank you. Thank you. Bye. We'll see you shortly.</t>
  </si>
  <si>
    <t>Children's Emergency Department, this is Dr. Ruano. Hey, Doctor. This is Mercy Flight Paramedic Sanders. I've got a five-year-old male who was trapped underneath a car for probably five to ten minutes. His left arm was definitely trapped under the car. His head, I guess, was at an odd angle at the time. [REDACTED]. They'd placed an airlift airway, but by the time I got here, [REDACTED]. [REDACTED]. But the best that I can tell is just the arm. Everything else seems okay. He's 15 right now, then? I mean, [REDACTED], and I haven't really been able to tell what he's responding to, honestly. But they said that [REDACTED]. Okay. He's gotten 20 of fentanyl and nothing else. That doesn't seem to have made a difference yet, so I'll probably end up giving him some more on the way. Sounds good. Can I get his last set of vitals? Yeah. His pressure was, I think, 118 over 73. Heart rate, 119. Who is... Oh, I hear him screaming. Yeah. That was my mother. I'm not sure what the actual number is for the oxygen, but he's on 10 liters. They said he was doing okay on room air. Okay. He left the oxygen for the situation. He's got a C-collar. Is he moving all extremities spontaneously other than the injured one? Yeah. So maybe a GCS of 14 just because [REDACTED]. That seems reasonable, yeah. How far out are you guys? It's about a 10-minute flight. We're just about unloading him, so... Yeah. Where are you guys coming from? 1215. Lake Northern Niagara County. Niagara County. Okay. And you said it was his left arm that looks pretty crushed. Left arm was definitely trapped. Yeah. It's got a lot of bruising on it. Okay. Okay. Sounds good. We'll see you guys when you get here. By all means, if you need to get more functional... Perfect. Let us know if you need anything. We'll page it out as a trauma now. Okay. Thank you, Jackie. Thank you. Thank you. Bye. We'll see you shortly.</t>
  </si>
  <si>
    <t>Children's Emergency Department, this is Dr. Ruano. Hey, Doctor. This is Mercy Flight Paramedic Sanders. I've got a five-year-old male who was [REDACTED]. [REDACTED]. [REDACTED]. He was unconscious when the fire got here. They'd placed an airlift airway, but by the time I got here, he's crying. He's at least asked for his dad once. But the best that I can tell is just the arm. Everything else seems okay. He's 15 right now, then? I mean, hard to tell because he's crying, and I haven't really been able to tell what he's responding to, honestly. But they said that they heard him literally call for his dad. Okay. He's gotten 20 of fentanyl and nothing else. That doesn't seem to have made a difference yet, so I'll probably end up giving him some more on the way. Sounds good. Can I get his last set of vitals? Yeah. His pressure was, I think, 118 over 73. Heart rate, 119. Who is... Oh, I hear him screaming. Yeah. That was my mother. I'm not sure what the actual number is for the oxygen, but he's on 10 liters. They said he was doing okay on room air. Okay. He left the oxygen for the situation. He's got a C-collar. Is he moving all extremities spontaneously other than the injured one? Yeah. So maybe a GCS of 14 just because he's kind of difficult to control again. That seems reasonable, yeah. How far out are you guys? It's about a 10-minute flight. We're just about unloading him, so... Yeah. Where are you guys coming from? 1215. Lake Northern Niagara County. Niagara County. Okay. And you said it was his left arm that looks pretty crushed. Left arm was definitely trapped. Yeah. It's got a lot of bruising on it. Okay. Okay. Sounds good. We'll see you guys when you get here. By all means, if you need to get more functional... Perfect. Let us know if you need anything. We'll page it out as a trauma now. Okay. Thank you, Jackie. Thank you. Thank you. Bye. We'll see you shortly.</t>
  </si>
  <si>
    <t>This is your doctor. Hi, this is Taze Amar. I'm bringing a [REDACTED]. She's a [REDACTED], struck by a car. She is alert and this time screaming, which is good. She's on sinus rhythm 146, 99% on room air 113 over 83. She had a small laceration to her upper lip, and that's the only obvious injury. She's moving all extremities. Okay. Any idea how fast the car was going? About 40. 40, okay. About a five-minute EPA. GCS? 15? 15. Okay. Yeah. All right. See you soon. See you later.</t>
  </si>
  <si>
    <t>This is your doctor. Hi, this is Taze Amar. I'm bringing a four-year-old patient. She's a four, struck by a car. She is alert and this time screaming, which is good. She's on [REDACTED], 99% on room air 113 over 83. She had a small laceration to her upper lip, and that's the only obvious injury. She's moving all extremities. Okay. Any idea how fast the car was going? About 40. 40, okay. About a five-minute EPA. GCS? 15? 15. Okay. Yeah. All right. See you soon. See you later.</t>
  </si>
  <si>
    <t>This is your doctor. Hi, this is Taze Amar. I'm bringing a four-year-old patient. She's a four, struck by a car. She is alert and this time screaming, which is good. She's on sinus rhythm 146, 99% on room air [REDACTED]. She had a small laceration to her upper lip, and that's the only obvious injury. She's moving all extremities. Okay. Any idea how fast the car was going? About 40. 40, okay. About a five-minute EPA. GCS? 15? 15. Okay. Yeah. All right. See you soon. See you later.</t>
  </si>
  <si>
    <t>This is your doctor. Hi, this is Taze Amar. I'm bringing a four-year-old patient. She's a four, struck by a car. [REDACTED] She's on sinus rhythm 146, 99% on room air 113 over 83. She had a small laceration to her upper lip, and that's the only obvious injury. She's moving all extremities. Okay. Any idea how fast the car was going? About 40. 40, okay. About a five-minute EPA. GCS? 15? 15. Okay. Yeah. All right. See you soon. See you later.</t>
  </si>
  <si>
    <t>This is your doctor. Hi, this is Taze Amar. I'm bringing a four-year-old patient. She's a four, [REDACTED]. She is alert and this time screaming, which is good. She's on sinus rhythm 146, 99% on room air 113 over 83. She had a small laceration to her upper lip, and that's the only obvious injury. She's moving all extremities. Okay. Any idea how fast the car was going? [REDACTED] About a five-minute EPA. GCS? 15? 15. Okay. Yeah. All right. See you soon. See you later.</t>
  </si>
  <si>
    <t>Dr. Benton, can I help you? Hey, Scott. It's Scott. Oh, hey. So, for this transfer from DeGraff for the [REDACTED]... I thought you weren't bringing us anyone else tonight. I didn't think I was either. Are you making this a trauma? Yeah. All right. So, I'll be there in like 15 minutes. The [REDACTED] was [REDACTED]. Oh. All right. Yeah. So, I'll be there in like 15 minutes, just so you know. Awesome. I'll update it. Thanks. Thank you. Bye. Bye.</t>
  </si>
  <si>
    <t>Hello, Shai. It's Dr. Pathers. Hi, my name is Morgan. I'm an advanced EMT with North Carolina Emergency Squad. I'm calling in a pediatric trauma. Okay. So I'm currently en route to you. I'm about 30 minutes out, probably 30, 40 minutes out. I'm in Eden with a [REDACTED] who fell about 10, 15 feet from the very, very tippy-top of a playground set. He lost his balance, slipped, fell backwards, fell, hit his head on the ground of the playground. It's like a wood ground, I guess. Hit the left side of his face. He has not a lot of swelling or anything on his face, but he has a positive LOC. He came to us about an hour and a half after the incident occurred. He said that he was vomiting. His friends brought him to us. He was vomiting. And he started to act. He acted funny, they said. And we got him into the truck. He was acting okay. He was alert and oriented times four. He's now declined to alert and oriented times one. I would say his GCS is about 13 now. He was GCS 15. His pupils were reactive to light. They're now sluggish. And his left pupil is rolling back. His eye is, like, rolling backwards in his head when I try to check it. And it was not reacting very well at all. Okay. His heart rate is 82 right now. His blood pressure is 115 on 74. And his FPO2 is 99. He just keeps saying he's trying to sleep. I'm trying to keep him awake. He's not really responding to me too much anymore. Okay. Okay. Have we given any meds? I haven't. There's nothing really to give. I'm an advanced EMT, so I can't give pain meds or anything. I don't have anything like that. I don't really have anything that I can give him. I could give him some saline, but I... Is there anything you suggest? I would... Yeah. I would give him a fluid bullet. A bullet. I was going to just start with a fluid bullet as long as it was okay with you. Yeah. But I called you as soon as his GCS changed, so... Yeah. And then he's in a C-collar, yes, of course? What was that? And yes, absolutely. Okay. Yes, and since the start. Yep, absolutely. Yeah. Call us if anything changes back. Like, if his GCS continues to decline, or his vitals are shifting any more than where they are right now. Okay. Yeah. The vitals haven't shifted at all. Okay. But yeah, he's in the C-collar and everything. He hasn't vomited since I got in. Like I said, I was about to start a fluid bullet, but I called you right away. Okay. And at this point, there's really nothing more I can do. I would get a paramedic, but I don't think there's anything really they can do either. Okay. So I think he just needs a CT scanner. Yep. Sounds good. Thank you. I'm a CT tech, but obviously I can't do it on here, so... Yep. Thank you. All right. We'll see you in about half an hour. Sure. Okay. Thanks. Bye. Okay. Thank you. Bye.</t>
  </si>
  <si>
    <t>Hello, Shai. It's Dr. Pathers. Hi, my name is Morgan. I'm an advanced EMT with North Carolina Emergency Squad. I'm calling in a pediatric trauma. Okay. So I'm currently en route to you. I'm about 30 minutes out, probably 30, 40 minutes out. I'm in Eden with a 17-year-old male who fell about 10, 15 feet from the very, very tippy-top of a playground set. He lost his balance, slipped, fell backwards, fell, hit his head on the ground of the playground. It's like a wood ground, I guess. Hit the left side of his face. He has not a lot of swelling or anything on his face, but he has a positive LOC. He came to us about an hour and a half after the incident occurred. He said that he was vomiting. His friends brought him to us. He was vomiting. And he started to act. He acted funny, they said. And we got him into the truck. He was acting okay. He was alert and oriented times four. He's now declined to alert and oriented times one. I would say his GCS is about 13 now. He was GCS 15. His pupils were reactive to light. They're now sluggish. And his left pupil is rolling back. His eye is, like, rolling backwards in his head when I try to check it. And it was not reacting very well at all. Okay. His [REDACTED]. His blood pressure is 115 on 74. And his FPO2 is 99. He just keeps saying he's trying to sleep. I'm trying to keep him awake. He's not really responding to me too much anymore. Okay. Okay. Have we given any meds? I haven't. There's nothing really to give. I'm an advanced EMT, so I can't give pain meds or anything. I don't have anything like that. I don't really have anything that I can give him. I could give him some saline, but I... Is there anything you suggest? I would... Yeah. I would give him a fluid bullet. A bullet. I was going to just start with a fluid bullet as long as it was okay with you. Yeah. But I called you as soon as his GCS changed, so... Yeah. And then he's in a C-collar, yes, of course? What was that? And yes, absolutely. Okay. Yes, and since the start. Yep, absolutely. Yeah. Call us if anything changes back. Like, if his GCS continues to decline, or his vitals are shifting any more than where they are right now. Okay. Yeah. The vitals haven't shifted at all. Okay. But yeah, he's in the C-collar and everything. He hasn't vomited since I got in. Like I said, I was about to start a fluid bullet, but I called you right away. Okay. And at this point, there's really nothing more I can do. I would get a paramedic, but I don't think there's anything really they can do either. Okay. So I think he just needs a CT scanner. Yep. Sounds good. Thank you. I'm a CT tech, but obviously I can't do it on here, so... Yep. Thank you. All right. We'll see you in about half an hour. Sure. Okay. Thanks. Bye. Okay. Thank you. Bye.</t>
  </si>
  <si>
    <t>Hello, Shai. It's Dr. Pathers. Hi, my name is Morgan. I'm an advanced EMT with North Carolina Emergency Squad. I'm calling in a pediatric trauma. Okay. So I'm currently en route to you. I'm about 30 minutes out, probably 30, 40 minutes out. I'm in Eden with a 17-year-old male who fell about 10, 15 feet from the very, very tippy-top of a playground set. He lost his balance, slipped, fell backwards, fell, hit his head on the ground of the playground. It's like a wood ground, I guess. Hit the left side of his face. He has not a lot of swelling or anything on his face, but he has a positive LOC. He came to us about an hour and a half after the incident occurred. He said that he was vomiting. His friends brought him to us. He was vomiting. And he started to act. He acted funny, they said. And we got him into the truck. He was acting okay. He was alert and oriented times four. He's now declined to alert and oriented times one. I would say his GCS is about 13 now. He was GCS 15. His pupils were reactive to light. They're now sluggish. And his left pupil is rolling back. His eye is, like, rolling backwards in his head when I try to check it. And it was not reacting very well at all. Okay. His heart rate is 82 right now. His [REDACTED]. And his FPO2 is 99. He just keeps saying he's trying to sleep. I'm trying to keep him awake. He's not really responding to me too much anymore. Okay. Okay. Have we given any meds? I haven't. There's nothing really to give. I'm an advanced EMT, so I can't give pain meds or anything. I don't have anything like that. I don't really have anything that I can give him. I could give him some saline, but I... Is there anything you suggest? I would... Yeah. I would give him a fluid bullet. A bullet. I was going to just start with a fluid bullet as long as it was okay with you. Yeah. But I called you as soon as his GCS changed, so... Yeah. And then he's in a C-collar, yes, of course? What was that? And yes, absolutely. Okay. Yes, and since the start. Yep, absolutely. Yeah. Call us if anything changes back. Like, if his GCS continues to decline, or his vitals are shifting any more than where they are right now. Okay. Yeah. The vitals haven't shifted at all. Okay. But yeah, he's in the C-collar and everything. He hasn't vomited since I got in. Like I said, I was about to start a fluid bullet, but I called you right away. Okay. And at this point, there's really nothing more I can do. I would get a paramedic, but I don't think there's anything really they can do either. Okay. So I think he just needs a CT scanner. Yep. Sounds good. Thank you. I'm a CT tech, but obviously I can't do it on here, so... Yep. Thank you. All right. We'll see you in about half an hour. Sure. Okay. Thanks. Bye. Okay. Thank you. Bye.</t>
  </si>
  <si>
    <t>Hello, Shai. It's Dr. Pathers. Hi, my name is Morgan. I'm an advanced EMT with North Carolina Emergency Squad. I'm calling in a pediatric trauma. Okay. So I'm currently en route to you. I'm about 30 minutes out, probably 30, 40 minutes out. I'm in Eden with a 17-year-old male who fell about 10, 15 feet from the very, very tippy-top of a playground set. He lost his balance, slipped, fell backwards, fell, hit his head on the ground of the playground. It's like a wood ground, I guess. Hit the left side of his face. He has not a lot of swelling or anything on his face, but he has a positive LOC. He came to us about an hour and a half after the incident occurred. He said that he was vomiting. His friends brought him to us. He was vomiting. And he started to act. He acted funny, they said. And we got him into the truck. He was acting okay. He was [REDACTED]. He's now [REDACTED]. I would say his GCS is about 13 now. He was GCS 15. His pupils were reactive to light. They're now sluggish. And his left pupil is rolling back. His eye is, like, rolling backwards in his head when I try to check it. And it was not reacting very well at all. Okay. His heart rate is 82 right now. His blood pressure is 115 on 74. And his FPO2 is 99. [REDACTED]. I'm trying to keep him awake. [REDACTED]. Okay. Okay. Have we given any meds? I haven't. There's nothing really to give. I'm an advanced EMT, so I can't give pain meds or anything. I don't have anything like that. I don't really have anything that I can give him. I could give him some saline, but I... Is there anything you suggest? I would... Yeah. I would give him a fluid bullet. A bullet. I was going to just start with a fluid bullet as long as it was okay with you. Yeah. But I called you as soon as his GCS changed, so... Yeah. And then he's in a C-collar, yes, of course? What was that? And yes, absolutely. Okay. Yes, and since the start. Yep, absolutely. Yeah. Call us if anything changes back. Like, if his GCS continues to decline, or his vitals are shifting any more than where they are right now. Okay. Yeah. The vitals haven't shifted at all. Okay. But yeah, he's in the C-collar and everything. He hasn't vomited since I got in. Like I said, I was about to start a fluid bullet, but I called you right away. Okay. And at this point, there's really nothing more I can do. I would get a paramedic, but I don't think there's anything really they can do either. Okay. So I think he just needs a CT scanner. Yep. Sounds good. Thank you. I'm a CT tech, but obviously I can't do it on here, so... Yep. Thank you. All right. We'll see you in about half an hour. Sure. Okay. Thanks. Bye. Okay. Thank you. Bye.</t>
  </si>
  <si>
    <t>Hello, Shai. It's Dr. Pathers. Hi, my name is Morgan. I'm an advanced EMT with North Carolina Emergency Squad. I'm calling in a pediatric trauma. Okay. So I'm currently en route to you. I'm about 30 minutes out, probably 30, 40 minutes out. I'm in Eden with a 17-year-old male who [REDACTED]. He [REDACTED], [REDACTED]. It's like a wood ground, I guess. [REDACTED]. He has not a lot of swelling or anything on his face, but he has a positive LOC. He came to us about an hour and a half after the incident occurred. He said that he was vomiting. His friends brought him to us. He was vomiting. And he started to act. He acted funny, they said. And we got him into the truck. He was acting okay. He was alert and oriented times four. He's now declined to alert and oriented times one. I would say his GCS is about 13 now. He was GCS 15. His pupils were reactive to light. They're now sluggish. And his left pupil is rolling back. His eye is, like, rolling backwards in his head when I try to check it. And it was not reacting very well at all. Okay. His heart rate is 82 right now. His blood pressure is 115 on 74. And his FPO2 is 99. He just keeps saying he's trying to sleep. I'm trying to keep him awake. He's not really responding to me too much anymore. Okay. Okay. Have we given any meds? I haven't. There's nothing really to give. I'm an advanced EMT, so I can't give pain meds or anything. I don't have anything like that. I don't really have anything that I can give him. I could give him some saline, but I... Is there anything you suggest? I would... Yeah. I would give him a fluid bullet. A bullet. I was going to just start with a fluid bullet as long as it was okay with you. Yeah. But I called you as soon as his GCS changed, so... Yeah. And then he's in a C-collar, yes, of course? What was that? And yes, absolutely. Okay. Yes, and since the start. Yep, absolutely. Yeah. Call us if anything changes back. Like, if his GCS continues to decline, or his vitals are shifting any more than where they are right now. Okay. Yeah. The vitals haven't shifted at all. Okay. But yeah, he's in the C-collar and everything. He hasn't vomited since I got in. Like I said, I was about to start a fluid bullet, but I called you right away. Okay. And at this point, there's really nothing more I can do. I would get a paramedic, but I don't think there's anything really they can do either. Okay. So I think he just needs a CT scanner. Yep. Sounds good. Thank you. I'm a CT tech, but obviously I can't do it on here, so... Yep. Thank you. All right. We'll see you in about half an hour. Sure. Okay. Thanks. Bye. Okay. Thank you. Bye.</t>
  </si>
  <si>
    <t>Heidi, this is Dr. Jimenez. Hey, Doc. My name's Matt. I'm in advance of that. I've got a pre-arrival for a cyclist struck. Oh, hey. Tell me about the skiddo. [REDACTED], cyclist, wasn't wearing a helmet, struck by a vehicle on a side street traveling at a significant seven miles an hour. Seven? Yep, seven miles an hour. What a very specific number. Keep going. Very. I concur. Vehicle, sun to the ground, had to strike on concrete. Vehicle was reported to have ran over both of his legs. Oh, my gosh. No obvious crepitus for my evaluation. Just he had some decent swelling to his left ankle and left knee with generalized head pain and neck pain. GCF 15, heart rate 114, saturation 99% remer. He's got a pressure of 136 over 93. He's got a pressure of 136 over 94. No past medical history. Okay. And you said he was unhelmeted? Unhelmeted. Of course. Mm-hmm. Okay. What's your EPA? We're coming from borderline Kenmore at this point, so I'd give a 10. Sorry, say that again. How long? Ten minutes. Ten? All right. Perfect. I can discharge this good really quick. Okay. We'll see you in ten. All right. Thank you. Yep. Bye.</t>
  </si>
  <si>
    <t>Heidi, this is Dr. Jimenez. Hey, Doc. My name's Matt. I'm in advance of that. I've got a pre-arrival for a cyclist struck. Oh, hey. Tell me about the skiddo. Twelve-year-old male, cyclist, wasn't wearing a helmet, struck by a vehicle on a side street traveling at a significant seven miles an hour. Seven? Yep, seven miles an hour. What a very specific number. Keep going. Very. I concur. Vehicle, sun to the ground, had to strike on concrete. Vehicle was reported to have ran over both of his legs. Oh, my gosh. No obvious crepitus for my evaluation. Just he had some decent swelling to his left ankle and left knee with generalized head pain and neck pain. GCF 15, [REDACTED], saturation 99% remer. He's got a pressure of 136 over 93. He's got a pressure of 136 over 94. No past medical history. Okay. And you said he was unhelmeted? Unhelmeted. Of course. Mm-hmm. Okay. What's your EPA? We're coming from borderline Kenmore at this point, so I'd give a 10. Sorry, say that again. How long? Ten minutes. Ten? All right. Perfect. I can discharge this good really quick. Okay. We'll see you in ten. All right. Thank you. Yep. Bye.</t>
  </si>
  <si>
    <t>Heidi, this is Dr. Jimenez. Hey, Doc. My name's Matt. I'm in advance of that. I've got a pre-arrival for a cyclist struck. Oh, hey. Tell me about the skiddo. Twelve-year-old male, cyclist, wasn't wearing a helmet, struck by a vehicle on a side street traveling at a significant seven miles an hour. Seven? Yep, seven miles an hour. What a very specific number. Keep going. Very. I concur. Vehicle, sun to the ground, had to strike on concrete. Vehicle was reported to have ran over both of his legs. Oh, my gosh. No obvious crepitus for my evaluation. Just he had some decent swelling to his left ankle and left knee with generalized head pain and neck pain. GCF 15, heart rate 114, saturation 99% remer. He's got a [REDACTED]. He's got a [REDACTED]. No past medical history. Okay. And you said he was unhelmeted? Unhelmeted. Of course. Mm-hmm. Okay. What's your EPA? We're coming from borderline Kenmore at this point, so I'd give a 10. Sorry, say that again. How long? Ten minutes. Ten? All right. Perfect. I can discharge this good really quick. Okay. We'll see you in ten. All right. Thank you. Yep. Bye.</t>
  </si>
  <si>
    <t>Heidi, this is Dr. Jimenez. Hey, Doc. My name's Matt. I'm in advance of that. I've got a pre-arrival for a [REDACTED]. Oh, hey. Tell me about the skiddo. Twelve-year-old male, cyclist, [REDACTED], [REDACTED] on a side street traveling at a significant seven miles an hour. Seven? Yep, seven miles an hour. What a very specific number. Keep going. Very. I concur. [REDACTED]. [REDACTED]. Oh, my gosh. No obvious crepitus for my evaluation. Just he had some decent swelling to his left ankle and left knee with generalized head pain and neck pain. GCF 15, heart rate 114, saturation 99% remer. He's got a pressure of 136 over 93. He's got a pressure of 136 over 94. No past medical history. Okay. And you said he was unhelmeted? Unhelmeted. Of course. Mm-hmm. Okay. What's your EPA? We're coming from borderline Kenmore at this point, so I'd give a 10. Sorry, say that again. How long? Ten minutes. Ten? All right. Perfect. I can discharge this good really quick. Okay. We'll see you in ten. All right. Thank you. Yep. Bye.</t>
  </si>
  <si>
    <t>OSHAI Emergency Department, this is Dr. DePalma. Hey, Doc, this is Paramedic Noah with Twin City. I'm coming to you with a [REDACTED] who was riding his bike across the street and was struck by a pickup truck going approximately 35 to 40 miles an hour. Has complaints of neck pain, right elbow pain. He's got some solid road rash. And then on his right foot, he's got road rash down to the bone. Road rash down to the bone where? On the right heel and ankle. Okay. Heel and ankle. I'm assuming he hasn't walked after this? No. Did he have a helmet on? He did not. Do you know if he hit his head? I know you said he had neck pain, but. He says he doesn't remember. Doesn't remember. So are we saying presumed loss of consciousness then? Any vomiting? No vomiting. Okay. Is he answering questions for you? Yes. What would you say his GCS is? 15. Okay. And do you have the rest of his vital signs for me? Heart rate 106, sinus pack, 100% room air, 18 respirations, and pressures coming back 144 over 81. I'm sorry. What did you say his respirations were? 18. Okay. Thank you so much. And how far out are you guys? Sugar was about 25 on us. 25. Okay. Thank you. Yep. All right. We're going to go back to the trauma bay when you get here, but you can certainly come around and we'll go in with you. Okay. Perfect. Thanks. Oh, do you happen to know the name just so we can maybe get them in the computer? Tyshawn. Tyshawn. T-Y-S-H-A-W-N. Okay. Does anybody know, does he know his height or weight? Tyshawn, how tall are you? 5'7 1â„2". 5'7 1â„2". And he's about a buck 10, buck 20. Oh, we'll just split it to 115 then. Do we have a last name for him? Lam, L-A-M-B. L-A-M-B and DataBird. Sorry, it'll just make it easier. DataBird is stupid. DataBird is 5-29-09. Thank you so much for your help. We will see you in 25 minutes. Yep. See you then, Darkly. All right. Bye.</t>
  </si>
  <si>
    <t>OSHAI Emergency Department, this is Dr. DePalma. Hey, Doc, this is Paramedic Noah with Twin City. I'm coming to you with a 16, 1-6-year-old male who was riding his bike across the street and was struck by a pickup truck going approximately 35 to 40 miles an hour. Has complaints of neck pain, right elbow pain. He's got some solid road rash. And then on his right foot, he's got road rash down to the bone. Road rash down to the bone where? On the right heel and ankle. Okay. Heel and ankle. I'm assuming he hasn't walked after this? No. Did he have a helmet on? He did not. Do you know if he hit his head? I know you said he had neck pain, but. He says he doesn't remember. Doesn't remember. So are we saying presumed loss of consciousness then? Any vomiting? No vomiting. Okay. Is he answering questions for you? Yes. What would you say his GCS is? 15. Okay. And do you have the rest of his vital signs for me? [REDACTED], sinus pack, 100% room air, 18 respirations, and pressures coming back 144 over 81. I'm sorry. What did you say his respirations were? 18. Okay. Thank you so much. And how far out are you guys? Sugar was about 25 on us. 25. Okay. Thank you. Yep. All right. We're going to go back to the trauma bay when you get here, but you can certainly come around and we'll go in with you. Okay. Perfect. Thanks. Oh, do you happen to know the name just so we can maybe get them in the computer? Tyshawn. Tyshawn. T-Y-S-H-A-W-N. Okay. Does anybody know, does he know his height or weight? Tyshawn, how tall are you? 5'7 1â„2". 5'7 1â„2". And he's about a buck 10, buck 20. Oh, we'll just split it to 115 then. Do we have a last name for him? Lam, L-A-M-B. L-A-M-B and DataBird. Sorry, it'll just make it easier. DataBird is stupid. DataBird is 5-29-09. Thank you so much for your help. We will see you in 25 minutes. Yep. See you then, Darkly. All right. Bye.</t>
  </si>
  <si>
    <t>OSHAI Emergency Department, this is Dr. DePalma. Hey, Doc, this is Paramedic Noah with Twin City. I'm coming to you with a 16, 1-6-year-old male who was riding his bike across the street and was struck by a pickup truck going approximately 35 to 40 miles an hour. Has complaints of neck pain, right elbow pain. He's got some solid road rash. And then on his right foot, he's got road rash down to the bone. Road rash down to the bone where? On the right heel and ankle. Okay. Heel and ankle. I'm assuming he hasn't walked after this? No. Did he have a helmet on? He did not. Do you know if he hit his head? I know you said he had neck pain, but. He says he doesn't remember. Doesn't remember. So are we saying presumed loss of consciousness then? Any vomiting? No vomiting. Okay. Is he answering questions for you? Yes. What would you say his GCS is? 15. Okay. And do you have the rest of his vital signs for me? Heart rate 106, sinus pack, 100% room air, 18 respirations, and [REDACTED]. I'm sorry. What did you say his respirations were? 18. Okay. Thank you so much. And how far out are you guys? Sugar was about 25 on us. 25. Okay. Thank you. Yep. All right. We're going to go back to the trauma bay when you get here, but you can certainly come around and we'll go in with you. Okay. Perfect. Thanks. Oh, do you happen to know the name just so we can maybe get them in the computer? Tyshawn. Tyshawn. T-Y-S-H-A-W-N. Okay. Does anybody know, does he know his height or weight? Tyshawn, how tall are you? 5'7 1â„2". 5'7 1â„2". And he's about a buck 10, buck 20. Oh, we'll just split it to 115 then. Do we have a last name for him? Lam, L-A-M-B. L-A-M-B and DataBird. Sorry, it'll just make it easier. DataBird is stupid. DataBird is 5-29-09. Thank you so much for your help. We will see you in 25 minutes. Yep. See you then, Darkly. All right. Bye.</t>
  </si>
  <si>
    <t>OSHAI Emergency Department, this is Dr. DePalma. Hey, Doc, this is Paramedic Noah with Twin City. I'm coming to you with a 16, 1-6-year-old male who was riding his bike across the street and was struck by a pickup truck going approximately 35 to 40 miles an hour. Has complaints of neck pain, right elbow pain. He's got some solid road rash. And then on his right foot, he's got road rash down to the bone. Road rash down to the bone where? On the right heel and ankle. Okay. Heel and ankle. I'm assuming he hasn't walked after this? No. Did he have a helmet on? He did not. Do you know if he hit his head? I know you said he had neck pain, but. He says he doesn't remember. Doesn't remember. So are we saying presumed loss of consciousness then? Any vomiting? No vomiting. Okay. Is he answering questions for you? Yes. What would you say his GCS is? 15. Okay. And do you have the rest of his vital signs for me? Heart rate 106, sinus pack, 100% room air, [REDACTED], and pressures coming back 144 over 81. I'm sorry. What did you say his respirations were? 18. Okay. Thank you so much. And how far out are you guys? Sugar was about 25 on us. 25. Okay. Thank you. Yep. All right. We're going to go back to the trauma bay when you get here, but you can certainly come around and we'll go in with you. Okay. Perfect. Thanks. Oh, do you happen to know the name just so we can maybe get them in the computer? Tyshawn. Tyshawn. T-Y-S-H-A-W-N. Okay. Does anybody know, does he know his height or weight? Tyshawn, how tall are you? 5'7 1â„2". 5'7 1â„2". And he's about a buck 10, buck 20. Oh, we'll just split it to 115 then. Do we have a last name for him? Lam, L-A-M-B. L-A-M-B and DataBird. Sorry, it'll just make it easier. DataBird is stupid. DataBird is 5-29-09. Thank you so much for your help. We will see you in 25 minutes. Yep. See you then, Darkly. All right. Bye.</t>
  </si>
  <si>
    <t>OSHAI Emergency Department, this is Dr. DePalma. Hey, Doc, this is Paramedic Noah with Twin City. I'm coming to you with a 16, 1-6-year-old male who was riding his bike across the street and was struck by a pickup truck going approximately 35 to 40 miles an hour. Has complaints of neck pain, right elbow pain. He's got some solid road rash. And then on his right foot, he's got road rash down to the bone. Road rash down to the bone where? On the right heel and ankle. Okay. Heel and ankle. I'm assuming he hasn't walked after this? No. Did he have a helmet on? He did not. Do you know if he hit his head? I know you said he had neck pain, but. He says he [REDACTED]. [REDACTED]. So are we saying presumed loss of consciousness then? Any vomiting? No vomiting. Okay. [REDACTED]. What would you say his GCS is? 15. Okay. And do you have the rest of his vital signs for me? Heart rate 106, sinus pack, 100% room air, 18 respirations, and pressures coming back 144 over 81. I'm sorry. What did you say his respirations were? 18. Okay. Thank you so much. And how far out are you guys? Sugar was about 25 on us. 25. Okay. Thank you. Yep. All right. We're going to go back to the trauma bay when you get here, but you can certainly come around and we'll go in with you. Okay. Perfect. Thanks. Oh, do you happen to know the name just so we can maybe get them in the computer? Tyshawn. Tyshawn. T-Y-S-H-A-W-N. Okay. Does anybody know, does he know his height or weight? Tyshawn, how tall are you? 5'7 1â„2". 5'7 1â„2". And he's about a buck 10, buck 20. Oh, we'll just split it to 115 then. Do we have a last name for him? Lam, L-A-M-B. L-A-M-B and DataBird. Sorry, it'll just make it easier. DataBird is stupid. DataBird is 5-29-09. Thank you so much for your help. We will see you in 25 minutes. Yep. See you then, Darkly. All right. Bye.</t>
  </si>
  <si>
    <t>OSHAI Emergency Department, this is Dr. DePalma. Hey, Doc, this is Paramedic Noah with Twin City. I'm coming to you with a 16, 1-6-year-old male who was [REDACTED]. [REDACTED]. He's got some [REDACTED]. And then on his right foot, he's got [REDACTED]. [REDACTED]. Okay. Heel and ankle. I'm assuming he hasn't walked after this? No. [REDACTED]. [REDACTED] I know you said he had neck pain, but. [REDACTED]. Doesn't remember. [REDACTED] [REDACTED]. Okay. Is he answering questions for you? Yes. What would you say his GCS is? 15. Okay. And do you have the rest of his vital signs for me? Heart rate 106, sinus pack, 100% room air, 18 respirations, and pressures coming back 144 over 81. I'm sorry. What did you say his respirations were? 18. Okay. Thank you so much. And how far out are you guys? Sugar was about 25 on us. 25. Okay. Thank you. Yep. All right. We're going to go back to the trauma bay when you get here, but you can certainly come around and we'll go in with you. Okay. Perfect. Thanks. Oh, do you happen to know the name just so we can maybe get them in the computer? Tyshawn. Tyshawn. T-Y-S-H-A-W-N. Okay. Does anybody know, does he know his height or weight? Tyshawn, how tall are you? 5'7 1â„2". 5'7 1â„2". And he's about a buck 10, buck 20. Oh, we'll just split it to 115 then. Do we have a last name for him? Lam, L-A-M-B. L-A-M-B and DataBird. Sorry, it'll just make it easier. DataBird is stupid. DataBird is 5-29-09. Thank you so much for your help. We will see you in 25 minutes. Yep. See you then, Darkly. All right. Bye.</t>
  </si>
  <si>
    <t>Hello, this is Dr. Reeves. Hello, this is Joy Plant, and I'm a PAM medic. Hey, what's up? Hey, I got a kid, [REDACTED], [REDACTED] who fell approximately 15 feet out of a window after jumping off the couch. Parents did get up and move her, picked her up, carried her up the stairs. She's got an obvious humeral fracture on the left side, pain on the left leg, no deformity. She has a backboard in a comment right now. We're working on vitals for you. She looks like 141 over 80. [REDACTED]? [REDACTED]. Okay. [REDACTED]. Okay. 15 feet out of a window, obvious deformity of which leg? Right arm, I mean left arm. Left arm. And pain in the left leg, unknown deformity. I haven't really been able to see so much. They do speak, what did they just say they speak? What? Rohingya. They speak Rohingya. Parents both don't speak English. There was a sibling one team that could translate for us. Okay. GCS? Unknown because we don't speak English well. We're going to go with a 15 for now, but the neighbors did say that when they saw the child fall that the child was under the sock. Okay. Okay. How far out are you? We are like five minutes down the road. I'm just getting all hooked up to them on our day right now. Yeah. Anything you want me to do? Any pain meds or anything? I mean, definitely can do if she seems to be in obvious distress. We're going to go right in the back. I don't have room with her because of the height of the fall. Correct. So you want us to just go? Yeah. I mean, just a fentanyl will probably be good. [REDACTED]. How much? Yeah. What's her approximate weight? Can you get any weight for her? I mean, looking at her, I mean, I think if she's less than 50 pounds. But honestly, I don't. Ask him if he knows how much he weighs. How much do you weigh? Does he have to be in the first? I don't know. I'm sorry. Yeah. So that'd probably be like. You want going? Who's going then? Is mom going? No. Okay. Is mom taking the car or coming with us? The van is. I don't know. The van is. She's taking the car. Okay. So you're following us there. Okay. You're going to want to park in the emergency room parking lot. Does he know how much he weighs? I don't know. I don't know. Oh, my. You know what? You know what? Just. Yeah. Just. I would just probably roll with her. She's probably going to be. It's probably going to be like one mic per kilo. Yeah. I'd probably. Probably. You could probably do 20 mics of fentanyl if you really want to. But otherwise, just head on over and we'll get her taken care of. What you got for her vitals? One. 41. 41 over 88. I got 99% of room air and 103 for heart rate. 103. And then what was her respiratory? About 24. Okay. And then what would you say was the post-ox? Post-ox is 99% room air. Fantastic. And you said 20 mics IM? Yeah. You could do that. Okay. We'll work on that. Thank you. Thank you. And if you were probably about five. Yep. Bye. All right. Thank you. Bye. Bye. Bye. Bye. Bye.</t>
  </si>
  <si>
    <t>Hello, this is Dr. Reeves. Hello, this is Joy Plant, and I'm a PAM medic. Hey, what's up? Hey, I got a kid, a 7-year-old, 7-year-old female who fell approximately 15 feet out of a window after jumping off the couch. Parents did get up and move her, picked her up, carried her up the stairs. She's got an obvious humeral fracture on the left side, pain on the left leg, no deformity. She has a backboard in a comment right now. We're working on vitals for you. She looks like 141 over 80. 7-year-old? A 7-year-old. Okay. 7-year-old female. Okay. 15 feet out of a window, obvious deformity of which leg? Right arm, I mean left arm. Left arm. And pain in the left leg, unknown deformity. I haven't really been able to see so much. They do speak, what did they just say they speak? What? Rohingya. They speak Rohingya. Parents both don't speak English. There was a sibling one team that could translate for us. Okay. GCS? Unknown because we don't speak English well. We're going to go with a 15 for now, but the neighbors did say that when they saw the child fall that the child was under the sock. Okay. Okay. How far out are you? We are like five minutes down the road. I'm just getting all hooked up to them on our day right now. Yeah. Anything you want me to do? Any pain meds or anything? I mean, definitely can do if she seems to be in obvious distress. We're going to go right in the back. I don't have room with her because of the height of the fall. Correct. So you want us to just go? Yeah. I mean, just a fentanyl will probably be good. She's seven. How much? Yeah. What's her approximate weight? Can you get any weight for her? I mean, looking at her, I mean, I think if she's less than 50 pounds. But honestly, I don't. Ask him if he knows how much he weighs. How much do you weigh? Does he have to be in the first? I don't know. I'm sorry. Yeah. So that'd probably be like. You want going? Who's going then? Is mom going? No. Okay. Is mom taking the car or coming with us? The van is. I don't know. The van is. She's taking the car. Okay. So you're following us there. Okay. You're going to want to park in the emergency room parking lot. Does he know how much he weighs? I don't know. I don't know. Oh, my. You know what? You know what? Just. Yeah. Just. I would just probably roll with her. She's probably going to be. It's probably going to be like one mic per kilo. Yeah. I'd probably. Probably. You could probably do 20 mics of fentanyl if you really want to. But otherwise, just head on over and we'll get her taken care of. What you got for her vitals? One. 41. 41 over 88. I got 99% of room air and [REDACTED]. [REDACTED]. And then what was her respiratory? About 24. Okay. And then what would you say was the post-ox? Post-ox is 99% room air. Fantastic. And you said 20 mics IM? Yeah. You could do that. Okay. We'll work on that. Thank you. Thank you. And if you were probably about five. Yep. Bye. All right. Thank you. Bye. Bye. Bye. Bye. Bye.</t>
  </si>
  <si>
    <t>Hello, this is Dr. Reeves. Hello, this is Joy Plant, and I'm a PAM medic. Hey, what's up? Hey, I got a kid, a 7-year-old, 7-year-old female who fell approximately 15 feet out of a window after jumping off the couch. Parents did get up and move her, picked her up, carried her up the stairs. She's got an obvious humeral fracture on the left side, pain on the left leg, no deformity. She has a backboard in a comment right now. We're working on vitals for you. She looks like [REDACTED]. 7-year-old? A 7-year-old. Okay. 7-year-old female. Okay. 15 feet out of a window, obvious deformity of which leg? Right arm, I mean left arm. Left arm. And pain in the left leg, unknown deformity. I haven't really been able to see so much. They do speak, what did they just say they speak? What? Rohingya. They speak Rohingya. Parents both don't speak English. There was a sibling one team that could translate for us. Okay. GCS? Unknown because we don't speak English well. We're going to go with a 15 for now, but the neighbors did say that when they saw the child fall that the child was under the sock. Okay. Okay. How far out are you? We are like five minutes down the road. I'm just getting all hooked up to them on our day right now. Yeah. Anything you want me to do? Any pain meds or anything? I mean, definitely can do if she seems to be in obvious distress. We're going to go right in the back. I don't have room with her because of the height of the fall. Correct. So you want us to just go? Yeah. I mean, just a fentanyl will probably be good. She's seven. How much? Yeah. What's her approximate weight? Can you get any weight for her? I mean, looking at her, I mean, I think if she's less than 50 pounds. But honestly, I don't. Ask him if he knows how much he weighs. How much do you weigh? Does he have to be in the first? I don't know. I'm sorry. Yeah. So that'd probably be like. You want going? Who's going then? Is mom going? No. Okay. Is mom taking the car or coming with us? The van is. I don't know. The van is. She's taking the car. Okay. So you're following us there. Okay. You're going to want to park in the emergency room parking lot. Does he know how much he weighs? I don't know. I don't know. Oh, my. You know what? You know what? Just. Yeah. Just. I would just probably roll with her. She's probably going to be. It's probably going to be like one mic per kilo. Yeah. I'd probably. Probably. You could probably do 20 mics of fentanyl if you really want to. But otherwise, just head on over and we'll get her taken care of. What you got for her vitals? One. 41. 41 over 88. I got 99% of room air and 103 for heart rate. 103. And then what was her respiratory? About 24. Okay. And then what would you say was the post-ox? Post-ox is 99% room air. Fantastic. And you said 20 mics IM? Yeah. You could do that. Okay. We'll work on that. Thank you. Thank you. And if you were probably about five. Yep. Bye. All right. Thank you. Bye. Bye. Bye. Bye. Bye.</t>
  </si>
  <si>
    <t>Hello, this is Dr. Reeves. Hello, this is Joy Plant, and I'm a PAM medic. Hey, what's up? Hey, I got a kid, a 7-year-old, 7-year-old female who fell approximately 15 feet out of a window after jumping off the couch. Parents did get up and move her, picked her up, carried her up the stairs. She's got an obvious humeral fracture on the left side, pain on the left leg, no deformity. She has a backboard in a comment right now. We're working on vitals for you. She looks like 141 over 80. 7-year-old? A 7-year-old. Okay. 7-year-old female. Okay. 15 feet out of a window, obvious deformity of which leg? Right arm, I mean left arm. Left arm. And pain in the left leg, unknown deformity. I haven't really been able to see so much. They do speak, what did they just say they speak? What? Rohingya. They speak Rohingya. Parents both don't speak English. There was a sibling one team that could translate for us. Okay. GCS? Unknown because we don't speak English well. We're going to go with a 15 for now, but the neighbors did say that when they saw the child fall that the child was under the sock. Okay. Okay. How far out are you? We are like five minutes down the road. I'm just getting all hooked up to them on our day right now. Yeah. Anything you want me to do? Any pain meds or anything? I mean, definitely can do if she seems to be in obvious distress. We're going to go right in the back. I don't have room with her because of the height of the fall. Correct. So you want us to just go? Yeah. I mean, just a fentanyl will probably be good. She's seven. How much? Yeah. What's her approximate weight? Can you get any weight for her? I mean, looking at her, I mean, I think if she's less than 50 pounds. But honestly, I don't. Ask him if he knows how much he weighs. How much do you weigh? Does he have to be in the first? I don't know. I'm sorry. Yeah. So that'd probably be like. You want going? Who's going then? Is mom going? No. Okay. Is mom taking the car or coming with us? The van is. I don't know. The van is. She's taking the car. Okay. So you're following us there. Okay. You're going to want to park in the emergency room parking lot. Does he know how much he weighs? I don't know. I don't know. Oh, my. You know what? You know what? Just. Yeah. Just. I would just probably roll with her. She's probably going to be. It's probably going to be like one mic per kilo. Yeah. I'd probably. Probably. You could probably do 20 mics of fentanyl if you really want to. But otherwise, just head on over and we'll get her taken care of. What you got for her vitals? One. 41. 41 over 88. I got 99% of room air and 103 for heart rate. 103. And then what was her [REDACTED]. Okay. And then what would you say was the post-ox? Post-ox is 99% room air. Fantastic. And you said 20 mics IM? Yeah. You could do that. Okay. We'll work on that. Thank you. Thank you. And if you were probably about five. Yep. Bye. All right. Thank you. Bye. Bye. Bye. Bye. Bye.</t>
  </si>
  <si>
    <t>Hello, this is Dr. Reeves. Hello, this is Joy Plant, and I'm a PAM medic. Hey, what's up? Hey, I got a kid, a 7-year-old, 7-year-old female who fell approximately 15 feet out of a window after jumping off the couch. Parents did get up and move her, picked her up, carried her up the stairs. She's got an obvious humeral fracture on the left side, pain on the left leg, no deformity. She has a backboard in a comment right now. We're working on vitals for you. She looks like 141 over 80. 7-year-old? A 7-year-old. Okay. 7-year-old female. Okay. 15 feet out of a window, obvious deformity of which leg? Right arm, I mean left arm. Left arm. And pain in the left leg, unknown deformity. I haven't really been able to see so much. They do speak, what did they just say they speak? What? Rohingya. They speak Rohingya. Parents both don't speak English. There was a sibling one team that could translate for us. Okay. GCS? Unknown because we don't speak English well. We're going to go with a 15 for now, but the neighbors did say that when they saw the child fall that [REDACTED]. Okay. Okay. How far out are you? We are like five minutes down the road. I'm just getting all hooked up to them on our day right now. Yeah. Anything you want me to do? Any pain meds or anything? I mean, definitely can do if she seems to be in obvious distress. We're going to go right in the back. I don't have room with her because of the height of the fall. Correct. So you want us to just go? Yeah. I mean, just a fentanyl will probably be good. She's seven. How much? Yeah. What's her approximate weight? Can you get any weight for her? I mean, looking at her, I mean, I think if she's less than 50 pounds. But honestly, I don't. Ask him if he knows how much he weighs. How much do you weigh? Does he have to be in the first? I don't know. I'm sorry. Yeah. So that'd probably be like. You want going? Who's going then? Is mom going? No. Okay. Is mom taking the car or coming with us? The van is. I don't know. The van is. She's taking the car. Okay. So you're following us there. Okay. You're going to want to park in the emergency room parking lot. Does he know how much he weighs? I don't know. I don't know. Oh, my. You know what? You know what? Just. Yeah. Just. I would just probably roll with her. She's probably going to be. It's probably going to be like one mic per kilo. Yeah. I'd probably. Probably. You could probably do 20 mics of fentanyl if you really want to. But otherwise, just head on over and we'll get her taken care of. What you got for her vitals? One. 41. 41 over 88. I got 99% of room air and 103 for heart rate. 103. And then what was her respiratory? About 24. Okay. And then what would you say was the post-ox? Post-ox is 99% room air. Fantastic. And you said 20 mics IM? Yeah. You could do that. Okay. We'll work on that. Thank you. Thank you. And if you were probably about five. Yep. Bye. All right. Thank you. Bye. Bye. Bye. Bye. Bye.</t>
  </si>
  <si>
    <t>Hello, this is Dr. Reeves. Hello, this is Joy Plant, and I'm a PAM medic. Hey, what's up? Hey, I got a kid, a 7-year-old, 7-year-old female who [REDACTED]. Parents did get up and move her, picked her up, carried her up the stairs. She's got an obvious humeral fracture on the left side, pain on the left leg, no deformity. She has a backboard in a comment right now. We're working on vitals for you. She looks like 141 over 80. 7-year-old? A 7-year-old. Okay. 7-year-old female. Okay. [REDACTED], obvious deformity of which leg? Right arm, I mean left arm. Left arm. And pain in the left leg, unknown deformity. I haven't really been able to see so much. They do speak, what did they just say they speak? What? Rohingya. They speak Rohingya. Parents both don't speak English. There was a sibling one team that could translate for us. Okay. GCS? Unknown because we don't speak English well. We're going to go with a 15 for now, but the neighbors did say that [REDACTED] that the child was under the sock. Okay. Okay. How far out are you? We are like five minutes down the road. I'm just getting all hooked up to them on our day right now. Yeah. Anything you want me to do? Any pain meds or anything? I mean, definitely can do if she seems to be in obvious distress. We're going to go right in the back. I don't have room with her because of the height of the fall. Correct. So you want us to just go? Yeah. I mean, just a fentanyl will probably be good. She's seven. How much? Yeah. What's her approximate weight? Can you get any weight for her? I mean, looking at her, I mean, I think if she's less than 50 pounds. But honestly, I don't. Ask him if he knows how much he weighs. How much do you weigh? Does he have to be in the first? I don't know. I'm sorry. Yeah. So that'd probably be like. You want going? Who's going then? Is mom going? No. Okay. Is mom taking the car or coming with us? The van is. I don't know. The van is. She's taking the car. Okay. So you're following us there. Okay. You're going to want to park in the emergency room parking lot. Does he know how much he weighs? I don't know. I don't know. Oh, my. You know what? You know what? Just. Yeah. Just. I would just probably roll with her. She's probably going to be. It's probably going to be like one mic per kilo. Yeah. I'd probably. Probably. You could probably do 20 mics of fentanyl if you really want to. But otherwise, just head on over and we'll get her taken care of. What you got for her vitals? One. 41. 41 over 88. I got 99% of room air and 103 for heart rate. 103. And then what was her respiratory? About 24. Okay. And then what would you say was the post-ox? Post-ox is 99% room air. Fantastic. And you said 20 mics IM? Yeah. You could do that. Okay. We'll work on that. Thank you. Thank you. And if you were probably about five. Yep. Bye. All right. Thank you. Bye. Bye. Bye. Bye. Bye.</t>
  </si>
  <si>
    <t>Hi, it's Dr. Catherine. Hey, this is Maddie Jesse with BigTree. I have a [REDACTED] who fell from a train trestle through it. No other intent. Probably, I want to say, close to 50 feet. I'm sorry, say that how many feet again? Probably about 50 feet. He's conscious, alert, and worried. He did lose all consciousness for several minutes at least. But he's, we did give him, I got an 18-star Sentinel. I want to make sure you guys are okay with me bringing him to you is basically the big thing. How old is he again? [REDACTED]. And how much, he probably, how much do you weigh, Santino? How much do you weigh? 180. Okay. How much do you weigh? 201. I'm sorry, I was trying to, I got 100% going. So he fell 50 feet? Yes. Onto a train track. Okay. All right. I mean, I just wanted to be sure if you guys were either or EMC. Whichever one is closer, it's either one. Okay. You're about the same distance, but his mother preferred him going to you guys. Okay. We can do that. We can do that. All right. Thank you so much. We will see. Do you need anything else from me? Yep. I need a full set of vitals, please. Okay. Okay. 136 over 54. The CO, the CO capnography is 38. He is, I'm not getting a very good reading on my pulse. I'm on the phone. 118 sinus attack on the monitor. He's got an 18 left AC. I'll work on access on the other side for you. I have fluids running currently and he had 100 of fentanyl. Okay. Blood sugar was 129. Okay. Does he have any deformity? No. I'm sorry, ma'am. Does he have any deformities anywhere? His left is hurting him horribly, but I don't see any deformity. He's got some cuts and bruises otherwise, but he's been, he's got good fetals, able to move everything exceptionally. Okay. And then how far? And we're leaving Hamburg now. So we are probably at least 20 minutes. Okay. All right. We will see. All right. Thank you. Okay. Bye. Thanks. Bye-bye. Bye-bye.</t>
  </si>
  <si>
    <t>Hi, it's Dr. Catherine. Hey, this is Maddie Jesse with BigTree. I have a 16-year-old who fell from a train trestle through it. No other intent. Probably, I want to say, close to 50 feet. I'm sorry, say that how many feet again? Probably about 50 feet. He's conscious, alert, and worried. He did lose all consciousness for several minutes at least. But he's, we did give him, I got an 18-star Sentinel. I want to make sure you guys are okay with me bringing him to you is basically the big thing. How old is he again? 15? 15. And how much, he probably, how much do you weigh, Santino? How much do you weigh? 180. Okay. How much do you weigh? 201. I'm sorry, I was trying to, I got 100% going. So he fell 50 feet? Yes. Onto a train track. Okay. All right. I mean, I just wanted to be sure if you guys were either or EMC. Whichever one is closer, it's either one. Okay. You're about the same distance, but his mother preferred him going to you guys. Okay. We can do that. We can do that. All right. Thank you so much. We will see. Do you need anything else from me? Yep. I need a full set of vitals, please. Okay. Okay. 136 over 54. The CO, the CO capnography is 38. He is, I'm not getting a very good reading on my pulse. I'm on the phone. [REDACTED]. He's got an 18 left AC. I'll work on access on the other side for you. I have fluids running currently and he had 100 of fentanyl. Okay. Blood sugar was 129. Okay. Does he have any deformity? No. I'm sorry, ma'am. Does he have any deformities anywhere? His left is hurting him horribly, but I don't see any deformity. He's got some cuts and bruises otherwise, but he's been, he's got good fetals, able to move everything exceptionally. Okay. And then how far? And we're leaving Hamburg now. So we are probably at least 20 minutes. Okay. All right. We will see. All right. Thank you. Okay. Bye. Thanks. Bye-bye. Bye-bye.</t>
  </si>
  <si>
    <t>Hi, it's Dr. Catherine. Hey, this is Maddie Jesse with BigTree. I have a 16-year-old who fell from a train trestle through it. No other intent. Probably, I want to say, close to 50 feet. I'm sorry, say that how many feet again? Probably about 50 feet. He's conscious, alert, and worried. He did lose all consciousness for several minutes at least. But he's, we did give him, I got an 18-star Sentinel. I want to make sure you guys are okay with me bringing him to you is basically the big thing. How old is he again? 15? 15. And how much, he probably, how much do you weigh, Santino? How much do you weigh? 180. Okay. How much do you weigh? 201. I'm sorry, I was trying to, I got 100% going. So he fell 50 feet? Yes. Onto a train track. Okay. All right. I mean, I just wanted to be sure if you guys were either or EMC. Whichever one is closer, it's either one. Okay. You're about the same distance, but his mother preferred him going to you guys. Okay. We can do that. We can do that. All right. Thank you so much. We will see. Do you need anything else from me? Yep. I need a full set of vitals, please. Okay. Okay. [REDACTED]. The CO, the CO capnography is 38. He is, I'm not getting a very good reading on my pulse. I'm on the phone. 118 sinus attack on the monitor. He's got an 18 left AC. I'll work on access on the other side for you. I have fluids running currently and he had 100 of fentanyl. Okay. Blood sugar was 129. Okay. Does he have any deformity? No. I'm sorry, ma'am. Does he have any deformities anywhere? His left is hurting him horribly, but I don't see any deformity. He's got some cuts and bruises otherwise, but he's been, he's got good fetals, able to move everything exceptionally. Okay. And then how far? And we're leaving Hamburg now. So we are probably at least 20 minutes. Okay. All right. We will see. All right. Thank you. Okay. Bye. Thanks. Bye-bye. Bye-bye.</t>
  </si>
  <si>
    <t>Hi, it's Dr. Catherine. Hey, this is Maddie Jesse with BigTree. I have a 16-year-old who fell from a train trestle through it. No other intent. Probably, I want to say, close to 50 feet. I'm sorry, say that how many feet again? Probably about 50 feet. He's [REDACTED]. He [REDACTED]. But he's, we did give him, I got an 18-star Sentinel. I want to make sure you guys are okay with me bringing him to you is basically the big thing. How old is he again? 15? 15. And how much, he probably, how much do you weigh, Santino? How much do you weigh? 180. Okay. How much do you weigh? 201. I'm sorry, I was trying to, I got 100% going. So he fell 50 feet? Yes. Onto a train track. Okay. All right. I mean, I just wanted to be sure if you guys were either or EMC. Whichever one is closer, it's either one. Okay. You're about the same distance, but his mother preferred him going to you guys. Okay. We can do that. We can do that. All right. Thank you so much. We will see. Do you need anything else from me? Yep. I need a full set of vitals, please. Okay. Okay. 136 over 54. The CO, the CO capnography is 38. He is, I'm not getting a very good reading on my pulse. I'm on the phone. 118 sinus attack on the monitor. He's got an 18 left AC. I'll work on access on the other side for you. I have fluids running currently and he had 100 of fentanyl. Okay. Blood sugar was 129. Okay. Does he have any deformity? No. I'm sorry, ma'am. Does he have any deformities anywhere? His left is hurting him horribly, but I don't see any deformity. He's got some cuts and bruises otherwise, but he's been, he's got good fetals, able to move everything exceptionally. Okay. And then how far? And we're leaving Hamburg now. So we are probably at least 20 minutes. Okay. All right. We will see. All right. Thank you. Okay. Bye. Thanks. Bye-bye. Bye-bye.</t>
  </si>
  <si>
    <t>Hi, it's Dr. Catherine. Hey, this is Maddie Jesse with BigTree. I have a 16-year-old who [REDACTED]. No other intent. Probably, I want to say, close to 50 feet. I'm sorry, say that how many feet again? Probably about 50 feet. He's conscious, alert, and worried. He did lose all consciousness for several minutes at least. But he's, we did give him, I got an 18-star Sentinel. I want to make sure you guys are okay with me bringing him to you is basically the big thing. How old is he again? 15? 15. And how much, he probably, how much do you weigh, Santino? How much do you weigh? 180. Okay. How much do you weigh? 201. I'm sorry, I was trying to, I got 100% going. So he [REDACTED]? Yes. [REDACTED]. Okay. All right. I mean, I just wanted to be sure if you guys were either or EMC. Whichever one is closer, it's either one. Okay. You're about the same distance, but his mother preferred him going to you guys. Okay. We can do that. We can do that. All right. Thank you so much. We will see. Do you need anything else from me? Yep. I need a full set of vitals, please. Okay. Okay. 136 over 54. The CO, the CO capnography is 38. He is, I'm not getting a very good reading on my pulse. I'm on the phone. 118 sinus attack on the monitor. He's got an 18 left AC. I'll work on access on the other side for you. I have fluids running currently and he had 100 of fentanyl. Okay. Blood sugar was 129. Okay. Does he have any deformity? No. I'm sorry, ma'am. Does he have any deformities anywhere? His left is hurting him horribly, but I don't see any deformity. He's got some cuts and bruises otherwise, but he's been, he's got good fetals, able to move everything exceptionally. Okay. And then how far? And we're leaving Hamburg now. So we are probably at least 20 minutes. Okay. All right. We will see. All right. Thank you. Okay. Bye. Thanks. Bye-bye. Bye-bye.</t>
  </si>
  <si>
    <t>I was shy. It's Dr. Pathrose. Hi, this is Rob with Woodbom. I have a [REDACTED] ATV accident, approximately 20 mile an hour. He did have his helmet on. His blood pressure is 122 over 64, pulse is 93, oxygen is at 97. He has left leg pain in the proximity of his hip, a bump on his head. Doesn't know how long his nose is bleeding, but he does have dried up blood in his nostrils. Okay. Now, do you want us to come hot, cold? We'll be about 15 minutes if we come cold. I mean, if he's GCS 15 and all those things, you don't have to come in super hot or anything. Okay, yep. No problem. Sorry, can you tell me the heart rate one more time? Pulse is 93. Okay. All righty. And then LSC or no? I'm sorry? Did he have loss of consciousness? He says he remembers everything. Uh-huh. And that's the best. He doesn't know how long his nose bled for. He doesn't know how long it was from the time he wrecked until somebody found him there because he was riding alone. Okay. All righty. We'll see you when you get here. All right. Sounds good. Thank you. Bye.</t>
  </si>
  <si>
    <t>I was shy. It's Dr. Pathrose. Hi, this is Rob with Woodbom. I have a 13-year-old male ATV accident, approximately 20 mile an hour. He did have his helmet on. His blood pressure is 122 over 64, [REDACTED], oxygen is at 97. He has left leg pain in the proximity of his hip, a bump on his head. Doesn't know how long his nose is bleeding, but he does have dried up blood in his nostrils. Okay. Now, do you want us to come hot, cold? We'll be about 15 minutes if we come cold. I mean, if he's GCS 15 and all those things, you don't have to come in super hot or anything. Okay, yep. No problem. Sorry, can you tell me the heart rate one more time? [REDACTED]. Okay. All righty. And then LSC or no? I'm sorry? Did he have loss of consciousness? He says he remembers everything. Uh-huh. And that's the best. He doesn't know how long his nose bled for. He doesn't know how long it was from the time he wrecked until somebody found him there because he was riding alone. Okay. All righty. We'll see you when you get here. All right. Sounds good. Thank you. Bye.</t>
  </si>
  <si>
    <t>I was shy. It's Dr. Pathrose. Hi, this is Rob with Woodbom. I have a 13-year-old male ATV accident, approximately 20 mile an hour. He did have his helmet on. His [REDACTED], pulse is 93, oxygen is at 97. He has left leg pain in the proximity of his hip, a bump on his head. Doesn't know how long his nose is bleeding, but he does have dried up blood in his nostrils. Okay. Now, do you want us to come hot, cold? We'll be about 15 minutes if we come cold. I mean, if he's GCS 15 and all those things, you don't have to come in super hot or anything. Okay, yep. No problem. Sorry, can you tell me the heart rate one more time? Pulse is 93. Okay. All righty. And then LSC or no? I'm sorry? Did he have loss of consciousness? He says he remembers everything. Uh-huh. And that's the best. He doesn't know how long his nose bled for. He doesn't know how long it was from the time he wrecked until somebody found him there because he was riding alone. Okay. All righty. We'll see you when you get here. All right. Sounds good. Thank you. Bye.</t>
  </si>
  <si>
    <t>I was shy. It's Dr. Pathrose. Hi, this is Rob with Woodbom. I have a 13-year-old male ATV accident, approximately 20 mile an hour. He did have his helmet on. His blood pressure is 122 over 64, pulse is 93, oxygen is at 97. He has left leg pain in the proximity of his hip, a bump on his head. Doesn't know how long his nose is bleeding, but he does have dried up blood in his nostrils. Okay. Now, do you want us to come hot, cold? We'll be about 15 minutes if we come cold. I mean, if he's GCS 15 and all those things, you don't have to come in super hot or anything. Okay, yep. No problem. Sorry, can you tell me the heart rate one more time? Pulse is 93. Okay. All righty. And then LSC or no? I'm sorry? Did he have loss of consciousness? [REDACTED]. Uh-huh. And that's the best. He doesn't know how long his nose bled for. He doesn't know how long it was from the time he wrecked until somebody found him there because he was riding alone. Okay. All righty. We'll see you when you get here. All right. Sounds good. Thank you. Bye.</t>
  </si>
  <si>
    <t>I was shy. It's Dr. Pathrose. Hi, this is Rob with Woodbom. I have a 13-year-old male [REDACTED], [REDACTED]. He did have his helmet on. His blood pressure is 122 over 64, pulse is 93, oxygen is at 97. He has left leg pain in the proximity of his hip, a bump on his head. Doesn't know how long his nose is bleeding, but he does have dried up blood in his nostrils. Okay. Now, do you want us to come hot, cold? We'll be about 15 minutes if we come cold. I mean, if he's GCS 15 and all those things, you don't have to come in super hot or anything. Okay, yep. No problem. Sorry, can you tell me the heart rate one more time? Pulse is 93. Okay. All righty. And then LSC or no? I'm sorry? Did he have loss of consciousness? He says he remembers everything. Uh-huh. And that's the best. He doesn't know how long his nose bled for. He doesn't know how long it was from the time he wrecked until somebody found him there because he was riding alone. Okay. All righty. We'll see you when you get here. All right. Sounds good. Thank you. Bye.</t>
  </si>
  <si>
    <t>Hi, this is Selena Moreno. I'm a basic with AMR. I'm bringing you guys a [REDACTED] who was attacked by multiple dogs. She currently has multiple bite wounds to the left leg with some fat hanging out. She is unable to feel. She has complete numbness in her right arm, unable to wiggle her fingers. I can't get a good radio call. She has multiple bite wounds in that as well, but no obvious deformities besides the bite wounds. And then she has a couple on her back and a couple on the left arm. Does she have, like, from that right arm, she has bites on that right arm as well? Yes, she does. Unknown if the dog is vaccinated. The owner said that they are, but there's no, like, proof. We didn't get proof. Do you have vitals? Yeah, vitals are good. Last pressure I got was... I can't get a pulse ox on her because mine is currently not working. Okay. She's alert and oriented. She's just complaining of pain in that right arm and the leg. Okay. Is there any, like, evidence of arterial bleeding or pulsatile bleeding from that right arm that she's having a decreased sensation in? From the lung? No, no, no, no, from the right arm. Okay. There's no, there's no, there's no, no. You're not concerned? You're not concerned for arterial bleeding at all, correct? No, the bleeding's not severe. We got a bandage dog. They're pretty deep white. Yeah. All right. How far away are you guys? We are about, I would say, like, five-ish minutes. Okay. So you, and I apologize, one five or one six-year-old? One five. Okay. So [REDACTED] attacked by multiple dogs has bites to the left leg, right arm, and the back. The right arm is the most concerning to her because she's having, you're having difficulty finding a pulse. And... Yeah. She feels she, she is having trouble sensation. You guys are about five minutes away. Okay. We are going to have you guys start out back in the trauma bay when you guys get here. Okay. All right. Thank you. No problem. Bye-bye.</t>
  </si>
  <si>
    <t>Hi, this is Selena Moreno. I'm a basic with AMR. I'm bringing you guys a 15-year-old female who was attacked by multiple dogs. She currently has multiple bite wounds to the left leg with some fat hanging out. She is unable to feel. She has complete numbness in her right arm, unable to wiggle her fingers. I can't get a good radio call. She has multiple bite wounds in that as well, but no obvious deformities besides the bite wounds. And then she has a couple on her back and a couple on the left arm. Does she have, like, from that right arm, she has bites on that right arm as well? Yes, she does. Unknown if the dog is vaccinated. The owner said that they are, but there's no, like, proof. We didn't get proof. Do you have vitals? Yeah, vitals are good. [REDACTED] I can't get a pulse ox on her because mine is currently not working. Okay. She's alert and oriented. She's just complaining of pain in that right arm and the leg. Okay. Is there any, like, evidence of arterial bleeding or pulsatile bleeding from that right arm that she's having a decreased sensation in? From the lung? No, no, no, no, from the right arm. Okay. There's no, there's no, there's no, no. You're not concerned? You're not concerned for arterial bleeding at all, correct? No, the bleeding's not severe. We got a bandage dog. They're pretty deep white. Yeah. All right. How far away are you guys? We are about, I would say, like, five-ish minutes. Okay. So you, and I apologize, one five or one six-year-old? One five. Okay. So one five-year-old female attacked by multiple dogs has bites to the left leg, right arm, and the back. The right arm is the most concerning to her because she's having, you're having difficulty finding a pulse. And... Yeah. She feels she, she is having trouble sensation. You guys are about five minutes away. Okay. We are going to have you guys start out back in the trauma bay when you guys get here. Okay. All right. Thank you. No problem. Bye-bye.</t>
  </si>
  <si>
    <t>Hi, this is Selena Moreno. I'm a basic with AMR. I'm bringing you guys a 15-year-old female who was attacked by multiple dogs. She currently has multiple bite wounds to the left leg with some fat hanging out. She is unable to feel. She has complete numbness in her right arm, unable to wiggle her fingers. I can't get a good radio call. She has multiple bite wounds in that as well, but no obvious deformities besides the bite wounds. And then she has a couple on her back and a couple on the left arm. Does she have, like, from that right arm, she has bites on that right arm as well? Yes, she does. Unknown if the dog is vaccinated. The owner said that they are, but there's no, like, proof. We didn't get proof. Do you have vitals? Yeah, vitals are good. Last pressure I got was... I can't get a pulse ox on her because mine is currently not working. Okay. [REDACTED]. She's just complaining of pain in that right arm and the leg. Okay. Is there any, like, evidence of arterial bleeding or pulsatile bleeding from that right arm that she's having a decreased sensation in? From the lung? No, no, no, no, from the right arm. Okay. There's no, there's no, there's no, no. You're not concerned? You're not concerned for arterial bleeding at all, correct? No, the bleeding's not severe. We got a bandage dog. They're pretty deep white. Yeah. All right. How far away are you guys? We are about, I would say, like, five-ish minutes. Okay. So you, and I apologize, one five or one six-year-old? One five. Okay. So one five-year-old female attacked by multiple dogs has bites to the left leg, right arm, and the back. The right arm is the most concerning to her because she's having, you're having difficulty finding a pulse. And... Yeah. She feels she, she is having trouble sensation. You guys are about five minutes away. Okay. We are going to have you guys start out back in the trauma bay when you guys get here. Okay. All right. Thank you. No problem. Bye-bye.</t>
  </si>
  <si>
    <t>Hi, this is Selena Moreno. I'm a basic with AMR. I'm bringing you guys a 15-year-old female who was [REDACTED]. She currently has [REDACTED] to the left leg with some fat hanging out. She is unable to feel. She has complete numbness in her right arm, unable to wiggle her fingers. I can't get a good radio call. She has [REDACTED] in that as well, but no obvious deformities besides the bite wounds. And then she has a couple on her back and a couple on the left arm. Does she have, like, from that right arm, she has bites on that right arm as well? Yes, she does. Unknown if the dog is vaccinated. The owner said that they are, but there's no, like, proof. We didn't get proof. Do you have vitals? Yeah, vitals are good. Last pressure I got was... I can't get a pulse ox on her because mine is currently not working. Okay. She's alert and oriented. She's just complaining of pain in that right arm and the leg. Okay. Is there any, like, evidence of arterial bleeding or pulsatile bleeding from that right arm that she's having a decreased sensation in? From the lung? No, no, no, no, from the right arm. Okay. There's no, there's no, there's no, no. You're not concerned? You're not concerned for arterial bleeding at all, correct? No, the bleeding's not severe. We got a bandage dog. They're pretty deep white. Yeah. All right. How far away are you guys? We are about, I would say, like, five-ish minutes. Okay. So you, and I apologize, one five or one six-year-old? One five. Okay. So one five-year-old female [REDACTED] has [REDACTED]. The right arm is the most concerning to her because she's having, you're having difficulty finding a pulse. And... Yeah. She feels she, she is having trouble sensation. You guys are about five minutes away. Okay. We are going to have you guys start out back in the trauma bay when you guys get here. Okay. All right. Thank you. No problem. Bye-bye.</t>
  </si>
  <si>
    <t>gcs, mental_status</t>
  </si>
  <si>
    <t>respiratory_rate, gcs, mental_status</t>
  </si>
  <si>
    <t>heart_rate, blood_pressure, respiratory_rate, gcs, mental_status</t>
  </si>
  <si>
    <t>heart_rate, respiratory_rate, gcs, mental_status</t>
  </si>
  <si>
    <t>age, respiratory_rate, gcs</t>
  </si>
  <si>
    <t>blood_pressure, respiratory_rate, gcs, mental_status</t>
  </si>
  <si>
    <t>blood_pressure, gcs</t>
  </si>
  <si>
    <t>age, heart_rate, blood_pressure, respiratory_rate, gcs</t>
  </si>
  <si>
    <t>heart_rate, blood_pressure, gcs</t>
  </si>
  <si>
    <t>blood_pressure, gcs, mental_status</t>
  </si>
  <si>
    <t>blood_pressure, respiratory_rate, gcs, mechanism_of_injury</t>
  </si>
  <si>
    <t>age, gcs</t>
  </si>
  <si>
    <t>age, respiratory_rate, gcs, mental_status, mechanism_of_injury</t>
  </si>
  <si>
    <t>age, respiratory_rate, gcs, mental_status</t>
  </si>
  <si>
    <t>age, heart_rate, blood_pressure, respiratory_rate, gcs, mental_status, mechanism_of_injury</t>
  </si>
  <si>
    <t>age, heart_rate, blood_pressure, respiratory_rate, gcs, mental_status</t>
  </si>
  <si>
    <t>hard_to_transcribe_terms</t>
  </si>
  <si>
    <t>hard_to_transcribe_terms_count</t>
  </si>
  <si>
    <t>UAH, LOC, PDFs</t>
  </si>
  <si>
    <t>CUH, UH, Shaker Heights, 98%, 128 over 70</t>
  </si>
  <si>
    <t>remanent, GCS, LOC</t>
  </si>
  <si>
    <t>Cleveland Heights 241</t>
  </si>
  <si>
    <t>Euclid SWAT 1342</t>
  </si>
  <si>
    <t>SpO2, ET</t>
  </si>
  <si>
    <t>Medec 31, NVA, LOC, tacky, C collar, EPA, 105 in Chester</t>
  </si>
  <si>
    <t>CUH, UH, MVA, AMO4</t>
  </si>
  <si>
    <t>MVC, SUV, 164 over 99, 99% on room air, 114, University of the Ice, 11. 4-1</t>
  </si>
  <si>
    <t>Cleveland Heights, Squad 241, BP 130 over 77, 18 in the left AC, 25 micrograms fentanyl</t>
  </si>
  <si>
    <t>fentanyl, 148 over 90, 34 micrograms</t>
  </si>
  <si>
    <t>UH, UB, 18-gauge, AC, spallet</t>
  </si>
  <si>
    <t>Shaker Heights, SBO2</t>
  </si>
  <si>
    <t>Euclid 42, antecubital, ETA</t>
  </si>
  <si>
    <t>Cleveland 17, 130 sinus, 106 over 62, rainbows</t>
  </si>
  <si>
    <t>UH, Dingle Dine</t>
  </si>
  <si>
    <t>U.H., O2 sat</t>
  </si>
  <si>
    <t>Youthwood, anal times four, 18 gauge, left AC</t>
  </si>
  <si>
    <t>Cleveland Heights 243, 162 over 114</t>
  </si>
  <si>
    <t>Israeli bandage</t>
  </si>
  <si>
    <t>NBA, 8-0-4, GCS 15</t>
  </si>
  <si>
    <t>GSW, MSPs, GCS</t>
  </si>
  <si>
    <t>MBS, ETA</t>
  </si>
  <si>
    <t>NBA, LLC, Peds look trauma, 60th and Chester</t>
  </si>
  <si>
    <t>Willoughby 1452, ANO times 4, SpO2, ETA</t>
  </si>
  <si>
    <t>Euclid Medic 42</t>
  </si>
  <si>
    <t>Euclid, MSPs, SpO2, AC</t>
  </si>
  <si>
    <t>SVO</t>
  </si>
  <si>
    <t>Whitworth, SUH, Rainbows, 1532, 8.04, C-collar, reef stretcher, ETA</t>
  </si>
  <si>
    <t>UAPS, GCF, ATV, UTV, Geauga County</t>
  </si>
  <si>
    <t>Rainbow CR, 20-gauge, 121 over 82, 125, EPA</t>
  </si>
  <si>
    <t>bradycardic, apneic, bag valve mask, epi, SpO2, 20-gauge, hematoma</t>
  </si>
  <si>
    <t>UATD, PD, 151 over 93, 99%</t>
  </si>
  <si>
    <t>UHD, East Cleveland Squad 145, A-04</t>
  </si>
  <si>
    <t>UHED, Rainbows, MVA</t>
  </si>
  <si>
    <t>Maple Heights, pulse ox, 20 gauge, right AC</t>
  </si>
  <si>
    <t>Willoughby, Rainbows, ETA, C-collar, sinus attack</t>
  </si>
  <si>
    <t>A and O4, 148 over 94, 110 sinus tech</t>
  </si>
  <si>
    <t>Willoughby Hills 1212</t>
  </si>
  <si>
    <t>sinus attack, A and O3, GCS of 15, 114, 72, 118</t>
  </si>
  <si>
    <t>Eastlake, squad 1712, co-trauma, 117 over 76, 99 over 56, 100 cent room air, 119, 32, zero two</t>
  </si>
  <si>
    <t>Garfield Light Squad, IO, tibial tuberosity, SBO</t>
  </si>
  <si>
    <t>UH, GCS, 50 likes of fentanyl, O-fran</t>
  </si>
  <si>
    <t>PZD, Medevac, Dr. Hardad, ATV</t>
  </si>
  <si>
    <t>GSW, DK</t>
  </si>
  <si>
    <t>Cleveland Medical 11, sinus attack monitor 97%, Peter Vasili, 804, retrograde amnesia, opportunity quarter from 79th</t>
  </si>
  <si>
    <t>SVO 2, ETA</t>
  </si>
  <si>
    <t>Shaker Heights, MVA, 1 over 42, 99% on repair</t>
  </si>
  <si>
    <t>Hornsville, ANO times 3, ETA</t>
  </si>
  <si>
    <t>Painesville, ANO, BP 105 over 57, Pulse ox 96 percent, Rainbows</t>
  </si>
  <si>
    <t>MVC, ETA, respurs, Monroe-Kid, hixedpisumio, allergyilled, Carmen's Lipprogram</t>
  </si>
  <si>
    <t>Brecksville 3041</t>
  </si>
  <si>
    <t>Shaker246, MBA, VP of 148.88</t>
  </si>
  <si>
    <t>GSWs, 15-mil, 19-mil, ETA</t>
  </si>
  <si>
    <t>UH, ANO4, Cleveland 41, Rainbows</t>
  </si>
  <si>
    <t>GSW, ANO</t>
  </si>
  <si>
    <t>Euclid Medic 43</t>
  </si>
  <si>
    <t>Ramir</t>
  </si>
  <si>
    <t>GSW, 130 over 80, 99%, 18, fentanyl</t>
  </si>
  <si>
    <t>Cleveland Medic 20, BGL</t>
  </si>
  <si>
    <t>Cleveland 26, MVA, BP 136 over 79, Medic Six</t>
  </si>
  <si>
    <t>UATD, UAH, GSW, MSPs, PCA</t>
  </si>
  <si>
    <t>UATD, UH, Cleveland Medical 11, Medical 11, Rainbows</t>
  </si>
  <si>
    <t>Garfield, Ramir, 12-week sense</t>
  </si>
  <si>
    <t>MapleSquad1, SGO-2</t>
  </si>
  <si>
    <t>MBA, LOC, MPH</t>
  </si>
  <si>
    <t>GSW, tip-fib, A&amp;L</t>
  </si>
  <si>
    <t>Cleveland Heights 241, 93 over 54, 1-4</t>
  </si>
  <si>
    <t>U.H., shaker heights, sinus attack, remear</t>
  </si>
  <si>
    <t>UATRS, GSW</t>
  </si>
  <si>
    <t>Utewood, MBA, LSE, LND</t>
  </si>
  <si>
    <t>ETOH, 160 over 80, 110, 18, ABD, ETA</t>
  </si>
  <si>
    <t>University Heights, I.O., P.E.A.</t>
  </si>
  <si>
    <t>Cleveland 41, 94 over 76, 98% remunerated, 24 in the left AC</t>
  </si>
  <si>
    <t>NBA, C color, 12 lead, 8-0 times four</t>
  </si>
  <si>
    <t>A-04, GCF, LOC, BP, IVs</t>
  </si>
  <si>
    <t>ClevelandMedic7, 25 mics, 128 over 84, 98%</t>
  </si>
  <si>
    <t>Cleveland Medics 22, LOC, 138 over 80, 98% on room air, 804, GCF of 15</t>
  </si>
  <si>
    <t>C-Cower, stax</t>
  </si>
  <si>
    <t>Cleveland 36, ETOH, ATA</t>
  </si>
  <si>
    <t>US 31, ETA, LST, MRI</t>
  </si>
  <si>
    <t>Cleveland Medical Authority, LOC, 804</t>
  </si>
  <si>
    <t>NBA, Mayfield Road, BP 116, over 54, SBO2, C collar</t>
  </si>
  <si>
    <t>Maple Squad 1, C-collared, 20 gauge, right AC, A and O times four</t>
  </si>
  <si>
    <t>glasseration, brachial, UCO 1341</t>
  </si>
  <si>
    <t>GSW, 1-5, 116 over 71, IV, AC</t>
  </si>
  <si>
    <t>Cleveland 41, 1.5, BP, 122 over 78, 98%</t>
  </si>
  <si>
    <t>GCS, MVA, CCT, IF71</t>
  </si>
  <si>
    <t>Cleveland Medics 6, LOC, LeBron</t>
  </si>
  <si>
    <t>Whitliff, Wickless</t>
  </si>
  <si>
    <t>Scarfield, GCS, I.O., C-collar</t>
  </si>
  <si>
    <t>GSW, anal times four, 133 over 91, 98% room air, 18 gauge, left AC</t>
  </si>
  <si>
    <t>North Randall, MSVs, deputy chief, UCLA, Dr. horsie, R monsters, Cocoa, Arthrit, sy historia</t>
  </si>
  <si>
    <t>Cleveland Mark 36, LOC, C-card</t>
  </si>
  <si>
    <t>Rainbows, Cleveland Medics 7, GSW, 22 for access</t>
  </si>
  <si>
    <t>GSWs, 8 and 0-4</t>
  </si>
  <si>
    <t>Euclid Medic 41, MVA</t>
  </si>
  <si>
    <t>PBR, MOI, A&amp;O, SBO2, Warrensville Heights</t>
  </si>
  <si>
    <t>Warrenville Heights</t>
  </si>
  <si>
    <t>GSW, A&amp;L type 4</t>
  </si>
  <si>
    <t>GSW, 128, 122 over 74, 97 SAT, 100 mics, TKO'd</t>
  </si>
  <si>
    <t>GSWs</t>
  </si>
  <si>
    <t>Cleveland, LLC, AC</t>
  </si>
  <si>
    <t>Beechwood, intercostal, 14 gauge, 128 over 80, O2, 99%</t>
  </si>
  <si>
    <t>GorpioLite, sinus attack, 156 feet</t>
  </si>
  <si>
    <t>MVA, 126.83, 99%</t>
  </si>
  <si>
    <t>Cleveland Squad 142, NVA Carver Pedestrian, C collar, LLC, S with two levels of 99, ETA</t>
  </si>
  <si>
    <t>Peetside, ETA</t>
  </si>
  <si>
    <t>Edivan, IO, ETA, MVA, UH, Medic 20, 9-breather</t>
  </si>
  <si>
    <t>Rainbows, MVA, LOC, PGE</t>
  </si>
  <si>
    <t>MPA, SpO2, Geauga</t>
  </si>
  <si>
    <t>Shager, Rainbow</t>
  </si>
  <si>
    <t>Warrensville, NVA, anal times two, anal times three</t>
  </si>
  <si>
    <t>UH, Cleveland EMS Medic 26, AC, ETA, LLC</t>
  </si>
  <si>
    <t>Cleveland 30, MVA, 98, 115 over 72, 100% remear, 158, Medic 1, P trauma</t>
  </si>
  <si>
    <t>C-11, NVA, LLC</t>
  </si>
  <si>
    <t>MOI, Pede, 155 over 99, sinus, 88, 106, 99 percent, PEDS</t>
  </si>
  <si>
    <t>Cleveland 7, 15-1-5, RMA, 4-G-6-15, 132.80</t>
  </si>
  <si>
    <t>PEADS, 1-5, 50 mics, sinus, end tidal, 125 over 77</t>
  </si>
  <si>
    <t>Willoughby, ET, MSPs</t>
  </si>
  <si>
    <t>Willoughby, SpO2, GCS</t>
  </si>
  <si>
    <t>GCS, C collar, 22 in the left AC, sinus attack, ETA</t>
  </si>
  <si>
    <t>Euclid Medics 3, A&amp;O times four, GCS 15, ETA</t>
  </si>
  <si>
    <t>MBA, LOC, U-H, Pete</t>
  </si>
  <si>
    <t>South Euclid 341, ETA</t>
  </si>
  <si>
    <t>Shaker 245, decoller</t>
  </si>
  <si>
    <t>GST, 158 over 70, 99%</t>
  </si>
  <si>
    <t>fentanyl, LOC, ECA</t>
  </si>
  <si>
    <t>NVA, LOC, GPS 16</t>
  </si>
  <si>
    <t>UH, Cleveland 28</t>
  </si>
  <si>
    <t>MBA, MSCs, 20-gauge, 25 mics, Zofran ODT, 103 over 85, 125, 76 over 31, 35 mile an hour, 35 and 45 miles per hour, C-collared, 11-12, ETA</t>
  </si>
  <si>
    <t>ECA, GCS, AMO, MVA</t>
  </si>
  <si>
    <t>SUH, LLC</t>
  </si>
  <si>
    <t>GCS, bilateral tibia fracture</t>
  </si>
  <si>
    <t>Menner, UH Rainbows, remear</t>
  </si>
  <si>
    <t>UH, ESW</t>
  </si>
  <si>
    <t>Cleveland 41, Rochester, Philadelphia, ETA, UH</t>
  </si>
  <si>
    <t>GSWs, score lead, room error</t>
  </si>
  <si>
    <t>Cleveland Medics 6, MVA, ETA</t>
  </si>
  <si>
    <t>A&amp;O times four, C color, escrow 2, IV of AC, PELP</t>
  </si>
  <si>
    <t>altermentation, one swell or 60, LSD</t>
  </si>
  <si>
    <t>Euclid, 165 over 98, 99 on room air, 104 pulse</t>
  </si>
  <si>
    <t>PZD</t>
  </si>
  <si>
    <t>Cleveland Medic 17, GCS, C-spine, C-collar, PEDS</t>
  </si>
  <si>
    <t>GSW, UH, Cleveland Medics 41</t>
  </si>
  <si>
    <t>Mentor Squad 1132</t>
  </si>
  <si>
    <t>extrication, fentanyl</t>
  </si>
  <si>
    <t>Mercy Anna, end title, FBO2</t>
  </si>
  <si>
    <t>AMR, 737E1</t>
  </si>
  <si>
    <t>Jamulands, ECMC, TECI, SpO2s, GCS</t>
  </si>
  <si>
    <t>GCS, pulse ox, BP, sinus rhythm, self-extricated, no-albuminization</t>
  </si>
  <si>
    <t>RSI'd, eye gel, GCS, ETA, IV access, AC</t>
  </si>
  <si>
    <t>CCS</t>
  </si>
  <si>
    <t>Veruano, Tonawanda, LOC, AC, ETA, GCS</t>
  </si>
  <si>
    <t>StatMed, GCS, 0-5-year-old, 96 over 63, 110, 18, 97%</t>
  </si>
  <si>
    <t>crepitus, GF</t>
  </si>
  <si>
    <t>Vareto, TwinCity, GCS</t>
  </si>
  <si>
    <t>TXA, 80 a rock, 150 a ketamine, 150K, VL, bougie, DL, desanding, Procofol</t>
  </si>
  <si>
    <t>OSHAI, NDA, MOI, AMR, 134, 91, 99% 109</t>
  </si>
  <si>
    <t>PZD, AMR, TXA, Chico, Oaxaca, GCS, T-mass</t>
  </si>
  <si>
    <t>Medicaid 82, O2 sat, Attica</t>
  </si>
  <si>
    <t>Olean, subdural hematoma, pneumocephalus, Kepa, Anstap, ketamine, end tidal nasal cannula, microkits</t>
  </si>
  <si>
    <t>TCD, AMR, LLC, ATV, GCS</t>
  </si>
  <si>
    <t>LLC, O2-98, GCS, BLS</t>
  </si>
  <si>
    <t>UPMC Chautauqua, 1-2-2 over 8-1</t>
  </si>
  <si>
    <t>Dr. Ruano, AMR, Grand Island, entitle CO2, hemiformal, halo test, ROSC, sinus attacks, epi, GCS</t>
  </si>
  <si>
    <t>Petrosky, Tonawanda, F-150</t>
  </si>
  <si>
    <t>Equal Link, ATV, GCS</t>
  </si>
  <si>
    <t>MVC, GCS, EPA</t>
  </si>
  <si>
    <t>Niagara Falls Boulevard, GCF, AMR</t>
  </si>
  <si>
    <t>OVEC, GCS, 137 over 90, 1745</t>
  </si>
  <si>
    <t>Petrosky, fentanyl, Ramir</t>
  </si>
  <si>
    <t>Lake Q8, GCS</t>
  </si>
  <si>
    <t>infusible, Niagara Falls</t>
  </si>
  <si>
    <t>PZD, MercyPlex6, GCS, 13-1-3</t>
  </si>
  <si>
    <t>Mercy Flight 9, GCS</t>
  </si>
  <si>
    <t>ATV, GCS, Zofran, fentanyl, PMS</t>
  </si>
  <si>
    <t>Monroe Ambulance, femoral, fentanyl, delfran, ETA, GCS</t>
  </si>
  <si>
    <t>TSW, AMR, 160 over 90, 95 on Ramirez, GCS 15, ETA</t>
  </si>
  <si>
    <t>constipal LOSD, avalanche</t>
  </si>
  <si>
    <t>hemothermetic, Twin City, W-I-E-S-E</t>
  </si>
  <si>
    <t>Veruano, Lac Fort</t>
  </si>
  <si>
    <t>DePalma, Pizek, Fredonia, SAM roller bandage, 4x4 roller guard, GCS, 141 over 96, 99, 100, 101, 102</t>
  </si>
  <si>
    <t>Oshawa, Dr. Sellish, AMR, GCS</t>
  </si>
  <si>
    <t>Lumare, bilateral 18s</t>
  </si>
  <si>
    <t>Amborski, Airy County, MERS, Medevac, eye gel</t>
  </si>
  <si>
    <t>PPD, O2, CO2, pulse ox</t>
  </si>
  <si>
    <t>SPO2, sinus pack</t>
  </si>
  <si>
    <t>Kenmore</t>
  </si>
  <si>
    <t>MBC, LLC, GCS-14, Romare</t>
  </si>
  <si>
    <t>AMR, SpO2, LLC, GCS</t>
  </si>
  <si>
    <t>Fnaz, AMR, NBA, LOC, GCS</t>
  </si>
  <si>
    <t>AMR, MVA, ETA, ET tube</t>
  </si>
  <si>
    <t>Pathros, Mercy Flight 8, CFS, 110 on 80, 128 on 68, 97%, 54, 32, Versed, ETA, GCS, 8, 12, 9, 10</t>
  </si>
  <si>
    <t>AMR 267, Rumer, GPS of 15</t>
  </si>
  <si>
    <t>OSHA, PDAC, FBO2</t>
  </si>
  <si>
    <t>Reif, Sherald, Mercy Playdate, ATV, sinus attack, ASD, platypus, GCS, mics</t>
  </si>
  <si>
    <t>Patheros, OSHA, Church Park</t>
  </si>
  <si>
    <t>Paramount Ship, AMR, Silverado, conscious hula hoop times three, IV excess, C collar</t>
  </si>
  <si>
    <t>Penella, AMR, ALS, Peace Bridge</t>
  </si>
  <si>
    <t>SpO2, GCS, AMR</t>
  </si>
  <si>
    <t>Mercy Flight, ET, GCS, LZ</t>
  </si>
  <si>
    <t>KBO, EMF, GPS</t>
  </si>
  <si>
    <t>Children's Statline, Thomas A. Amar, 112, 133 over 89, Bailey and Delavan</t>
  </si>
  <si>
    <t>Petrowski, Mercy Flight 6, Little Susky, UCS, 65, 155, 57%</t>
  </si>
  <si>
    <t>AMR, AO times 4, GCS, 111 over 73, 94, 100%</t>
  </si>
  <si>
    <t>UCM Cicicoco, PEEP, PRN, Keppra, ISAT, ICAL, D10F</t>
  </si>
  <si>
    <t>Ruano, JJ, GCS, ETA</t>
  </si>
  <si>
    <t>Dr. Ruano, AMR, GCS, C collar</t>
  </si>
  <si>
    <t>AMR, MBA, Belford, 158 over 90, 98 on our mirror, ET, East DMC</t>
  </si>
  <si>
    <t>Headbleed, Brooks</t>
  </si>
  <si>
    <t>Bradfield-McGee, Sorgeberg</t>
  </si>
  <si>
    <t>SVO2, ECMC, EPA</t>
  </si>
  <si>
    <t>GCS, C-Con, Twin City Ambulance</t>
  </si>
  <si>
    <t>GCS 14, 116 on 71, 100% on room air, 20 in her left AC</t>
  </si>
  <si>
    <t>Eligible Ambulance, entero, retrograde amnesia, mics, SpO2, ETH, GCS</t>
  </si>
  <si>
    <t>Ellicottville, Holiday Valley, ETA</t>
  </si>
  <si>
    <t>Eritani Parames, avulsion, GCS, 137 over 97</t>
  </si>
  <si>
    <t>VSW, AMR, PMS</t>
  </si>
  <si>
    <t>Dr. Wiest, Mercy Flight 9, Holiday Valley, GCS, Romare, fentanyl, Zolpamine</t>
  </si>
  <si>
    <t>Children's Air, Dr. Kenyon, AMR Dispatch, paramedic unit 264</t>
  </si>
  <si>
    <t>AMR 292, East Aurora, O2 stats, GCS</t>
  </si>
  <si>
    <t>Borski, Boughton, I.O., 4-17-0, Cap no, succinylcholine, etomidate</t>
  </si>
  <si>
    <t>DAT, IST, BBG, NICU, CBC, D5, 3.2 kilos, 34-weeker, D5 normal saline, 20K maintenance</t>
  </si>
  <si>
    <t>TTI, GCS, MDA</t>
  </si>
  <si>
    <t>Mercy Flight Number 6, ATDX, pulse oxy, salivate potassium, HEPRA, VGA</t>
  </si>
  <si>
    <t>Oshai, Thalish, FPO2, NBC, MSM</t>
  </si>
  <si>
    <t>Dr. Salish, PZD, C-tiller</t>
  </si>
  <si>
    <t>Sadesky, AMR, fentanyl</t>
  </si>
  <si>
    <t>Oshai, ECMC, Fredonia, fentanyl, Zolprain, UCS, ETA</t>
  </si>
  <si>
    <t>disconjugate, GCS, ETA, Allegheny County</t>
  </si>
  <si>
    <t>Count Tonawanda, 0.2 micrograms, IM, 130 over 74, 117, 35, Stats 99, C-collar, LLT</t>
  </si>
  <si>
    <t>RSI'd, Angles, IP access</t>
  </si>
  <si>
    <t>OCH, Sosh, MDA, Swift Street, ECMC, mercy flighted, battened, can of X</t>
  </si>
  <si>
    <t>PPD, GCS, EPA</t>
  </si>
  <si>
    <t>O'Shea, Mercy Flight, Bounty Resilient, NBC, LOC, GCF, ETA</t>
  </si>
  <si>
    <t>Mercy Flight, Lockport, O2 stat, nasal end tidal, end tidal, GCS, EPA</t>
  </si>
  <si>
    <t>MVC, ECMC</t>
  </si>
  <si>
    <t>ecchymosis, ceftriaxone, NAC, Rosethan, augmented, ENT</t>
  </si>
  <si>
    <t>Eligville Andeal, 15 mics of fentanyl</t>
  </si>
  <si>
    <t>fentanyl, BP 130 over 65, Botox is 96%, 18 in the left AC, GCS 15</t>
  </si>
  <si>
    <t>Sridharan, Oshai, Trans-An, Olin General, TXA, XCT, LR</t>
  </si>
  <si>
    <t>Sridharan, OSHA, Elk Hill, SpO2, GCS, NS</t>
  </si>
  <si>
    <t>AMR, fentanyl, Waxanaca</t>
  </si>
  <si>
    <t>Stryker's Delay, BLS, GCS, ETA</t>
  </si>
  <si>
    <t>Mercy Medic 1, ATV</t>
  </si>
  <si>
    <t>O'Shea, FDL2, bag of mucocaries, c-calor, FCO2</t>
  </si>
  <si>
    <t>GCPF, 138 on 76</t>
  </si>
  <si>
    <t>Stat Medevac 17, UPMC Chautauqua, ROSC, sinus pack, ETA</t>
  </si>
  <si>
    <t>NTF, Jones Memorial, APB, S-202-99</t>
  </si>
  <si>
    <t>Killian, AMR, GCS, ETA</t>
  </si>
  <si>
    <t>Amborski, AMR, 1603, 137 over 99</t>
  </si>
  <si>
    <t>Kornowitz, decloved, R282</t>
  </si>
  <si>
    <t>GCS, T collar, O'Shea, ECFC</t>
  </si>
  <si>
    <t>Dr. Ruano, Mercy Flight, GCS, 1215, Lake Northern Niagara County</t>
  </si>
  <si>
    <t>pneumocephaly, DeGraff</t>
  </si>
  <si>
    <t>LOC, GCS, FPO2, C-collar</t>
  </si>
  <si>
    <t>GCF 15, saturation 99% remer, borderline Kenmore</t>
  </si>
  <si>
    <t>Rohingya, fentanyl, mic per kilo, 20 mics IM</t>
  </si>
  <si>
    <t>BigTree, Sentinel, Santino, EMC, CO capnography, sinus attack, AC, fentanyl, Hamburg</t>
  </si>
  <si>
    <t>Pathrose, Woodbom, ATV, GCS</t>
  </si>
  <si>
    <t>AMR, pulse ox</t>
  </si>
  <si>
    <t>percent_complex</t>
  </si>
  <si>
    <t>10-year-old motor vehicle accident vitals 148/110 heart rate 100 respiratory 25 no loss of consciousness no neck, pain deformity and lower right leg passenger side front airbag deployment GCS 15 good movement and pulses 10 minutes</t>
  </si>
  <si>
    <t>Four month old attacked by a dog on witnessed superficial lacerations Ekhymosis CT neck negative presented with temp of 34, normal thermic now. Vitals stable 36.7 now heart rate 140s normal intensive high 90s on room air awake acting OK people's brisk good breath sounds glucose 92. We'll give Augmentin echymossis is pretty significant</t>
  </si>
  <si>
    <t>Four-year-old male fell 25 to 30 feet conscious alert, oriented deformity left wrist breathing normally heart rate 131 regular blood pressure 118/77, respirations 18 GCS 15 wearing a helmet 15 mikes of fentanyl 40 minutes out</t>
  </si>
  <si>
    <t>15 year-old snowmobile accident 45 to 55 hit tree head on thrown into the tree no loss of consciousness, isolated right femur obvious deformity good movement pulses on right foot he dynamically stable one round of fentanyl 30 minutes out 118 sinus 130/65 96% GCS 15 no meds no allergies</t>
  </si>
  <si>
    <t>11-year-old sledding accident Olean general grade 3 splenic laceration stable at this time heart rate 7502 97 pressure 105/63 treated with morphine Zofran 15 minute ETA GCS 15</t>
  </si>
  <si>
    <t>15-year-old female skiing on very steep ski run lost control. Hit a tree head on bruising and pain in her face nose left upper abdomen left upper quadrant ribs and a long spleen left wrist as well 10 minutes out 95% heart rate 95 blood pressure 105/6502 99 respiration 12 GCS 14 confused still.</t>
  </si>
  <si>
    <t>14-year-old female struck by car 35 miles an hour positive loss of consciousness hematoma on back of her head lower back pain lower right leg pain road rash all over respirations 20 heart rate 100 blood pressure 95/57 little more oriented gave her fentanyl for pain GCS 15 ETA 15</t>
  </si>
  <si>
    <t>Nine-year-old male four wheeler accident 10 miles an hour rolled over his leg obvious low femur fracture above his right knee conscious and alert never lost consciousness lots of swelling given three 160 Tylenol before arrival for pain Vitales 122 and 62 heart rate 103 and regular respirations 18 pupils are equal and regular very active bruised hip fusion on his other upper leg GCS 1510 minutes out</t>
  </si>
  <si>
    <t>15-year-old female ATV rollover 10 out of 10 back pain bit her tongue dried blood around nose and mouth 15 minutes out pressure 139/77 89 bpm 99% room air breathing like 24. She's not sure if she passed out on witnessed.</t>
  </si>
  <si>
    <t>Eight-year-old struck by car bleeding from nose in and out of consciousness GCS four respiratory rate 14 maintaining own airway combative every time we try to go for any vital nonverbal spontaneous movements just flailing and she's not doing anything when you sternal rub her? No nothing maybe a little motion of her hands. She's just flailing. Pressure 120/59 heart rate 71C collar 98%.</t>
  </si>
  <si>
    <t>interfacility transfer 11 year-old hit-and-run over by a truck with traumatic arrest on scene. They did get ROSC. Sinus tack 128 blood pressure 76/45 on the vent 18 times a minute 93%. 10 minute ETA to the rooftop running blood and. Epi at present time</t>
  </si>
  <si>
    <t>11-year-old female traumatic injury from ATV accident heart rate 77 SPO2 99 on room air pressure 150/7115 minutes out GCS 15 sleepy the whole way drowsy the entire way up has not actually fallen asleep, but just rolling around trying to no increase in pain</t>
  </si>
  <si>
    <t>one year-old multiple bite marks to the face from a large dog, severe lacerations on right side of the cheek, right lower orbital working on vitals. Lacerations in the interior of the mouth as well. Airway patent peripheral movement in the hands no visual on the right eye. Severe laceration to the direct corner of the right eye. Still active bleeding. She's awake and alert? Yes. 146 heart rate 99 pulse ox pressure, unable to get a pressure. Respiratory rate 40 50.</t>
  </si>
  <si>
    <t>ATV accident 10, 12 minutes out resting comfortably heart rate 104 97 room air 112/56 right thumb injury</t>
  </si>
  <si>
    <t>16 year-old male shot once in the right leg no entrance wound or exit wound. Just an entrance wound probable femur fractures in the right leg distal. Pulses are in place police place to tourniquet at 1603. We've left it. No bleeding. Vitals stable 137/99 heart rate 75 100% on monitor respiratory rate elevated, 26. 10 minutes out midshaft</t>
  </si>
  <si>
    <t>Four year-old struck by car 15 to 20 miles an hour fractures and right lower leg one above the knee one above the ankle top of her foot and part of her ankle is deployed. Vital signs 111/67 heart rate 110 100% on room air dressed in splined collar. 10 minutes GCS 15 no belly pain just extremity.</t>
  </si>
  <si>
    <t>18-year-old female singular motorcycle accident, dirtbike no helmet 30 miles an hour glucose 126 160/110 GCS 1599 room air 108 pulse big gash above her left eye wrapped now sea collar 10 minutes out she doesn't remember what happened right now she is alert and oriented times three.</t>
  </si>
  <si>
    <t>Five-year-old male trapped underneath a car for probably 5 to 10 minutes left arm definitely trapped under the car. His head was at an odd angle. He was unconscious when fire arrived. They placed an airlift airway. He's crying. Best that I can tell is just the arm. Everything else seems OK. GCS 15 right now then? Hard to tell because he's crying. Got 20 off fentanyl and nothing else. Pressure 118/73 heart rate 119 GCS of 14 just because he's difficult to control again. Moving all extremities spontaneously other than the injured one. 10 minute flight. Left arm looks pretty crushed a lot of bruising on it.</t>
  </si>
  <si>
    <t>Four year old patient struck by car alert at this time screaming 146 sinus rhythm 99% room air 113/83 small laceration upper lip only obvious injury 40 miles an hour GCS 15 five minute ETA</t>
  </si>
  <si>
    <t>Skull fracture be there in 15 minutes The skull fracture was pneumocephaly</t>
  </si>
  <si>
    <t xml:space="preserve">30 minutes out 17 year-old male fell 1015 feet losses balance his head on the ground of the playground wood ground I guess. Left side of his face a lot of swelling positive LOC. Vomiting acted funny we got him into the truck. He was acting OK alert and oriented times four now declined to alert oriented times one GCS about 13 pupils were reactive to light now they're sluggish left people rolling back eye is rolling backwards when I try to check it. It was not reacting well at all heart rate 82 right now blood pressure 115 on 7402 99 keeps saying he's trying to sleep. I'm trying to keep him awake in a sea collar. </t>
  </si>
  <si>
    <t>Cyclist struck 12-year-old male wasnt wearing a helmet. Struck by vehicle traveling 7 miles an hour had strike on concrete vehicle was reported to have ran over both of his legs no obvious crepitus for my evaluation. Decent swelling to his left ankle and left knee generalized head, pain and neck pain GCS 15 heart rate one 1499% room air pressure 136/93 no medical history on helmeted 10 minutes out</t>
  </si>
  <si>
    <t>16 year-old riding bike across the street struck by pick up truck going 35 to 40 miles an hour complaints of neck pain right elbow pain solid road rash. Road rash down to the bone on right heel and ankle no helmet he doesn't remember presumed loss of consciousness, no vomiting answering questions. GCS is 15 heart rate 106 100% room air 18 respirations pressure 144/81 sugar about 25.</t>
  </si>
  <si>
    <t>Seven-year-old female fell 15 feet out of the window after jumping off the couch parents picked her up carried her up the stairs obvious humeral fracture on left side pain on left leg no deformity 141/80 right arm. I mean, I mean, left arm and pain in left leg unknown deformity parents don't speak English translated for us GCS unknown we're going to go with GCS 15 for now fentanyl will probably be good.</t>
  </si>
  <si>
    <t>16-year-old fell from a train trestle through it. Close to 50 feet. Probably about 50 feet. He's conscious alert and worried. He did lose all consciousness for several minutes at least 50 feet onto a train track 136/54CO capnography is 38 not getting a very good reading on my pulse 118 sinus attack on monitor 100 fentanyl sugar 129 left leg is hurting him horribly no deformity cuts and bruises otherwise he's been he's got good vitals move everything spontaneously 20 minutes out</t>
  </si>
  <si>
    <t>13 year-old male ATV accident 20 miles an hour did have his helmet on blood pressure 122/6493 pulse oxygen 97 left leg pain in the proximity of his hip, bump on his head. Nose is bleeding. Dried blood in nostrils. GCS 15. He doesn't know how long it was from the time he wrecked until somebody found him because he was riding alone.</t>
  </si>
  <si>
    <t>15-year-old female attacked by multiple dogs. Multiple bites left leg so fat hanging out unable to feel complete numbness in right arm unable to wiggle fingers multiple bite wounds no obvious deformity besides the wounds. Couple on her back and couple on left arm unknown if dog is vaccinated owner said they are but there's no proof. Can't get a pulse ox, not working. Alert and oriented. Not concerned for arterial arterial bleeding at all bandaged five minutes away.</t>
  </si>
  <si>
    <t>OSHAI, GCS</t>
  </si>
  <si>
    <t>seven-year-old male struck by motor vehicle 15 minutes ago 40 miles an hour negative LOC confused at this time GCS 1410 minutes out. Vitals are stable 126 heart rate 138 on 76, 99% respiratory rate 28.</t>
  </si>
  <si>
    <t>MS_Hybrid5_decision_type</t>
  </si>
  <si>
    <t>Hello, Shai. It's Dr. Pathers. Hi, my name is Morgan. I'm an advanced EMT with North Carolina Emergency Squad. I'm calling in a pediatric trauma. Okay. So I'm currently en route to you. I'm about 30 minutes out, probably 30, 40 minutes out. I'm in Eden with a 17-year-old male who fell about 10, 15 feet from the very, very tippy-top of a playground set. He lost his balance, slipped, fell backwards, fell, hit his head on the ground of the playground. It's like a wood ground, I guess. Hit the left side of his face. He has not a lot of swelling or anything on his face, but he has a positive LOC. He came to us about an hour and a half after the incident occurred. He said that he was vomiting. His friends brought him to us. He was vomiting, and he started to act funny, they said. And we got him into the truck. He was acting okay. He was alert and oriented times four. He's now declined to alert and oriented times one. I would say his GCS was about 13 now. He was GCS 15. His pupils were reactive to light. They're now sluggish, and his left pupil is rolling back, and his eye is, like, rolling backwards in his head when I try to check it. and it was not reacting very well at all. His heart rate is 82 right now. His blood pressure is 115 on 74, and his FPO2 is 99. He just keeps saying he's trying to sleep. I'm trying to keep him awake. He's not really responding to me too much anymore. Okay. Okay. Have we given any meds? I haven't. There's nothing really to give. I'm an advanced EMT, so I can't give pain meds. I don't have anything like that. I don't really have anything that I can give him. I could give him some saline, but I – Is there anything you suggest? Yeah, I would give him a fluid bullet. I was going to just start with a fluid bullet as long as it was okay with you. Yeah. But I called you as soon as his GCF changed, so. Yeah, and then he's going to see color, yes, of course. What was that? Yes, absolutely. Okay. Yeah, since the start. Yep, absolutely. Yeah. Yeah. Call us if anything changes back, like if his GCS continues to decline or his vitals are shifting any more than where they are right now. Okay. Yeah, the vitals haven't shifted at all. Okay. So, but, yeah, he's in the C-collar and everything. He hasn't vomited since I got in. Like I said, I was about to start a fluid bolus, but I called you right away. Okay. And at this point, there's really nothing more I can do. I would get a paramedic, but I don't think there's anything really they can do either. Okay. I think you just need a CT scanner. Yep, sounds good. And I'm a CT tech, but obviously I can't do it out here. Yep, thank you. All right, we'll see you in about a half hour. Okay, thanks. Bye. Okay, thank you. Bye.</t>
  </si>
  <si>
    <t>Hello, Shai, it's Dr. Pathers. Hi, Doc, it's MERS Control. How are you this afternoon? Good, how are you? I'm all right. Stat Medevac 17 is on its way to you with a 10-minute ETA with an inter-facility transfer from UPMC Chautauqua. Okay. It's an 11-year-old who was hit and run over by a truck with traumatic arrest on scene. They did get ROSC. They are, like I said, 10 minutes out. And right now their sinus pack at 128. They have a blood pressure of 76 over 45. On the vent, 18 times a minute, setting at 93%. And, again, 10-minute ETH or you're roofed off. Okay, sounds good. Did they say this kiddo was on any meds? Oh, running blood and epi at the present time. Okay, beautiful. Thank you. You're welcome. Bye-bye. Bye.</t>
  </si>
  <si>
    <t>Heidi, this is Dr. Jimenez. Hey, Doc. My name's Matt. I'm in advance of that. I've got a pre-arrival for a cyclist struck. Oh, hey. Tell me about the skiddo. Twelve-year-old male, cyclist, wasn't wearing a helmet, struck by a vehicle on a side street traveling at a significant seven miles an hour. Seven? Yep, seven miles an hour. What a very specific number. Keep going. There he is. I concur. Vehicle, sun to the ground, had a strike on concrete. Vehicle was reported to have ran over both of his legs. Oh, my gosh. No obvious crepitus for my evaluation. He has some decent swelling to his left ankle and left knee with generalized head pain and neck pain. GCF 15, heart rate 114, saturation 99% remer. He's got a pressure of 136 over 94. No past medical history. Okay. And you said he was unhelmeted? Unhelmeted. Of course. Okay. What's your EPA? We're coming from borderline Kenmore at this point, so I'd say that. Sorry, say that again. How long? Ten minutes. Ten? All right. Perfect. I can discharge this good really quick. Okay. We'll see you in ten. All right. Thank you. Yep.</t>
  </si>
  <si>
    <t>O'Shea, this is Dr. Jimenez. Okay, thank you. O'Shea, this is Dr. Jimenez. Hi, this is Iger County EMS paramedic Brennan calling with a pre-notification for a trauma. Yeah, go ahead. I have a 10-year-old female. Mom is with her. She was riding her scooter and was struck by a vehicle going about 30 miles per hour estimated. We have injuries. She is having significant bleeding pooling from her right ear. She has matted hair. We're having difficulty finding any injuries on her head. A couple of lactic abrasions throughout her body. Fire stayed when they found her. Her neck was twisted in an abnormal direction. She is wearing a collar. We have a current set of vitals of a heart rate of 151. The sign is TAP. SpO2 is 97 on 2 liters. Respiratory rate of 16. Capnography of 29. I have a blood pressure of one-tenth over pelt. She is just crying, although she will not answer any questions and open her eyes, and we're about 15 minutes out. All right. Has she been able to answer any questions or, like, any GCS for her? Not at all. We just keep crying. She cries and groans. Okay. Will she open her eyes if you ask her to? No. So we're at a GCS of about 10, I would say. We can get her to follow some commands. Okay. And is she moving all of her extremities? She is moving all her extremities, although her left ankle was wrapped by fire. They did state that it was an obvious fracture. Close. You said you're about 15? Yep. Okay. Sounds good. Thank you so much. We'll see you guys soon. Of course. Bye. Thanks, buddy.</t>
  </si>
  <si>
    <t>OSHAI Emergency Department, this is Dr. DePalma. Hey, Doc, this is Paramedic Noah with Twin City. I'm coming to you with a 16, 1-6-year-old male who was riding his bike across the street and was struck by a pickup truck going approximately 35 to 40 miles an hour. Has complaints of neck pain, right elbow pain. He's got some solid road rash. And then on his right foot, he's got road rash down to the bone. Road rash down to the bone where? On the right heel and ankle. Okay. Heel and ankle. I'm assuming he hasn't walked after this? No. Did he have a helmet on? He did not. Do you know if he hit his head? I know you said he had neck pain, but... He says he doesn't remember. Doesn't remember. So are we saying presumed loss of consciousness then? Any vomiting? No vomiting. Okay. Is he answering questions for you? Yes. What would you say his GCS is? 15. Okay. And do you have the rest of his vital signs for me? Heart rate 106, sinus pack, 100% room air, 18 respirations, and pressure's coming back 144 over 81. I'm sorry, what did you say his respirations were? 18, 180. Okay. Thank you so much. And how far out are you guys? Sugar was. about 25 minutes 25 okay thank you yep alright we're going to go back to trauma bay when you get here but you can certainly come around and we'll go in with you okay perfect thanks do you happen to know the name just so we can maybe get them in the computer Tyshawn Tyshawn T-Y-S-H-A-W-N okay does anybody does he know his height or weight? Hey, John, how tall are you? Five, seven and a half. And he's about a buck ten, buck twenty. Oh, we'll just split it to 115 then. Do we have a last name for him? Lam, L-A-M-B. L-A-M-B and Dataverse, sorry. It'll just make it easier. Dataverse is 5-29-09. Thank you so much for your help. We will see you in 25 minutes. Yep. See you then, Dr. Clay. All right. Bye.</t>
  </si>
  <si>
    <t>Hello, this is Dr. Reeves. Hello, this is Joy Plant, and I'm a PAM medic. Hey, what's up? Hey, I got a kid, a 7-year-old, 7-year-old female who fell approximately 15 feet out of a window after jumping off the couch. Parents did get up and move her, picked her up, carried her up the stairs. She's got an obvious humeral fracture on the left side, pain on the left leg, no deformity. She has a backboard in a comment right now. We're working on vitals for you. looks like 141 over 80. Seven-year-old? A seven-year-old. Okay. Seven-year-old female. Okay. 15 foot out of the window, obvious deformity of which leg? Right arm, I mean left arm. Left arm. And pain in the left leg. Unknown deformity. I haven't really been able to see so much from here on to Harvard. They do speak, what did they just say they speak? Rohingya. They speak Rohingya. Parents both don't speak English. There was a sibling one team that could translate for us. GCS? Unknown because we don't speak English. We're going to go with a 15 for now, but the neighbors did say that when they saw the child fall that the child was under the sock. Okay. How far out are you? We are like five minutes down the road. I'm just getting all hooked up to them on our day right now. Yeah. Yeah. Anything you want me to do? Any payments or anything? I mean, definitely can do if she seems to be in obvious distress. we're going to go right in the back room with her because of the height of the fall. Correct. So you want us to just go? Yeah. I mean, just a fentanyl would probably be good. She's seven. How much? Yeah. What's her approximate weight? Can you get any weight for her? I mean, looking at her, I mean, I think if she's less than 50 pounds. But honestly, I don't. Ask him if he knows how much he weighs. Yes, that would probably be like... You want going? Who's going then? Is mom going? Okay, is mom taking the car or coming with us? She's taking the car. Okay, so you're following us there. Okay, you're going to want to park in the emergency room. Does he know how much he wants? Oh, my. You know what? Just, yeah, I would just probably roll with her. She's probably going to be like one mic per kilo. Yeah. You could probably do 20 mics of fentanyl if you really want to, but otherwise just head on over and we'll get her taken care of. what you got for vitals? 141 over 88. I got 99% on Romare and 103 for heart rate. 103. And then what was her respiratory rate? About 24. Okay. And then what would you say was the post-ox? Post-ox is 99% Romare. Fantastic. And you said 20 mics IM? Yeah, you could do that. Okay. We'll work on that. Thank you. Thank you. See you in a few, probably about five. Yep, bye. All right, thank you, bye.</t>
  </si>
  <si>
    <t>Hi, it's Dr. Catherine. Hey, this is Maddie Jesse with BigTree. I have a 16-year-old who fell from a train trestle through it. No other intent. Probably, I want to say, close to 50 feet. I'm sorry, say that how many feet again? Probably about 50 feet. He's conscious, alert, and worried. He did lose all consciousness for several minutes at least. he's uh we did give him i got an 18 star sentinel i want to make sure you guys are okay with me bringing him to you is basically the big thing how old is he again 15 15 and how much he probably how much do you weigh santino how much do you weigh 180 okay 201. I'm sorry. I was trying to, I got 100% going. So he fell 5-0 feet? Yes. Onto a train track. Okay. All right. I mean, I just wanted to be sure. You guys would take him home. Whichever one is closer, it's either one. Okay. You felt the same distance, but his mother preferred him going to you guys. Okay. We can do that. We can do that. All right. Thank you so much. Do you need anything else from me? Yep. I need a full set of vitals, please. Okay. 136 over 54. The CO capnography is 38. I'm not getting a very good reading on my full top. I'm on the phone. 118 sinus tack on the monitor. He's got an 18 left AC. I'll work on access on the other side for you. I have fluids running currently, and he had 100 of fentanyl. Okay. Oh, blood sugar was 129. Okay. Does he have any deformities anywhere? I'm sorry, ma'am. Does he have any deformities anywhere? His left is hurting him horribly, but I don't see any deformities. He's got some cuts and bruises otherwise, but he's got good fetals, able to move everything exceptionally. Okay. And then how far? And we're leaving Hamburg now. So we are probably at least 20 minutes. Okay. All right. We will see you. All right. Thank you. Bye-bye. Bye-bye.</t>
  </si>
  <si>
    <t>I was shy. It's Dr. Pathrose. Hi, this is Rob with Woodbom. I have a 13-year-old male ATV accident, approximately 20 mile an hour. He did have his helmet on. His blood pressure is 122 over 64, pulse is 93, oxygen is at 97. He has left leg pain in the proximity of his hip, a bump on his head. Doesn't know how long his nose is bleeding, but he does have dried up blood in his nostrils. Okay. Now, do you want us to come hot, cold? We'll be about 15 minutes if we come cold. That's, I mean, if he's GCF 15 and all those things, you don't have to come in, like, super hot or anything. Okay, yep. No problem. I'm sorry, can you tell me the heart rate one more time? Yep. Our pulse is 93. Okay. All righty. And then LSC or no? I'm sorry? Did he have loss of consciousness? He doesn't, he says he remembers everything. Uh-huh. and that's the best he doesn't know how long his nose bled for he doesn't know how long it was from the time he wrecked until somebody found him there because he was riding alone okay alright we'll see you when you get here alright sounds good thank you bye</t>
  </si>
  <si>
    <t>Hi, this is Selena Moreno. I'm a basic with AMR. I'm bringing you guys a 15-year-old female who was attacked by multiple dogs. She currently has multiple bite wounds to the left leg with some fat hanging out. She is unable to feel. She has complete numbness in her right arm, unable to wiggle her fingers. I can't get a good radio call. She has multiple bite wounds in that as well, but no obvious deformities besides the bite wounds. And then she has a couple on her back and a couple on the left arm. Does she have, like, from that right arm, she has bites on that right arm as well? Yes, she does. Unknown if the dog is vaccinated. The owner said that they are, but there's no, like, proof. We didn't get proof. Do you have vitals? Yeah, vitals are good. Last pressure I got was one sign over 78, heart rate of 80. I can't get a pulse ox on her because mine is currently not working. Okay. She's alert and oriented. She's just complaining of pain in that right arm and the leg. Okay. Is there any, like, evidence of arterial bleeding or pulsatile bleeding from that right arm that she's having a decreased sensation in? From the lung? No, no, no, no, from the right arm. Okay. Okay. There's no, you're not concerned for arterial bleeding at all, correct? No, the bleeding's not severe. We got a bandage dog. They're pretty deep white. Yeah. All right. How far away are you guys? We are about, I would say, like five-ish minutes. Okay. And I apologize, one five or one six-year-old? One five. Okay. So one five-year-old female attacked by multiple dogs has blitzed the left leg, right arm, and the back. the right arm is the most concerning to her because you're having difficulty finding a pulse and she feels she is having trouble sensation. You guys are about five minutes away. Okay. We are going to have you guys start out back in the trauma bay when you guys get here. Okay. All right. Thank you. No problem.</t>
  </si>
  <si>
    <t>Hi, this is Nitya. Hello. Hi. I have a trauma. I have a trauma. I have a 13, one three-year-old female. She was on a bike without a helmet, struck by a motor vehicle about 40 miles an hour. Currently only responsive to pain. I do have an IV established, and she's getting fluids at this time. I do have vitals when you are ready. Yeah, go ahead. 122 over 85. Heart rate is 97. Normal sign is on the monitor. 96% on two liters currently. Respiratory rate is 32, and she has an end tidal rate of 33. Okay. And you said what was the heart rate? Heart rate is 100. 100? Yep. Okay. And you said the GCS, she's only responding to pain? Yeah. She's probably about like eight for GCS currently. Oop. She does have significance leading to the back of the head. Leading to the back of the head? Yes. She was not wearing a helmet when she was struck by the vehicle. So she is responding to pain. So her eyes are two. And then verbal response, moans to pain, two. So what's her GCS like? Two, two, four. And then what's her motor response? well she's she's withdrawn some pain so probably like a so you said she's around 8 do you agree yeah okay and what else do you want me to ask does she have a C collar she is collared currently yes how far out are you we are about 25 minutes out about 25 minutes out yes so just one minute she was on a bike got hit by a car without helmet gcs is around eight response to pain why does it look stable she's on two liters anything else okay we'll see you guys when you get here yeah you said 25 minutes out right two five uh yeah about 20-25 minutes out about 20-25 minutes out okay sounds good thanks</t>
  </si>
  <si>
    <t>Hi, Dr. This is Eric Barkey, paramedic on emergency flight six. We are inbound with a 10-year-old female patient involved in a go-kart motor vehicle accident, I guess you'd call it. It was unwitnessed. She was riding on the back with a sibling. She fell off the back. It appears the go-kart may have somehow ran her over as she had the bruise to her left thigh. now her she is unconscious but she was given 50 of fentanyl on scene by ground paramedics before we got there whom she stated she was kind of panicking um so her gcs was about 14 i'd say prior to our arrival prior to the fentanyl administration uh right now her vitals are as follows. 119 over 58 is her blood pressure, 98% on two liters. Her end tidal is 40, and her pulse rate is 87 in a normal sinus rhythm. Again, she's really, she's unarousable. Again, that's probably to the fentanyl, but we're keeping a close eye on her airway. We have about an eight-minute ETA to your location. Do you have any questions for me? Sorry, can you tell me the blood pressure again? Yeah, it recycled the blood pressure, you said? Or read it? Sorry, can you read it one more time for me? Oh, sure. So that one 19 over what? 58, I'm sorry. No, no, you're fine. It literally cuts out every single time you try to tell me. Like, the code cuts out. I'm like, oh my gosh. And I know you mentioned she got the fentanyl. Is she like, does she respond to like, chiropractic or pupil stimuli? She's unarousal to painful stimuli, but her pupils are equal and reactive. but the paramedic said she wasn't like this until they gave the fentanyl. So that's what we're attributing it to. But she has no obvious injuries aside from the big bruise on her left thigh, no obvious head injuries, no bumps, no swelling, no raccoon's eyes, no nothing. Just the fluster he had post-fentanyl admit. All right? Okay, sounds good. We'll see you guys in about eight minutes then. Yep, see you in about eight minutes. Okay, bye-bye. Bye-bye.</t>
  </si>
  <si>
    <t>OSHA IER, it's Dr. Welliver. Hey, Doc. Skip from Seneca EMS. I'm doing your transfer from Jamestown, the 7-year-old that had the pitchfork and down in the test. Yes. Getting an update of ETA. We're still a little bit less than 30 minutes out. He is stable at this time. I can see a little bit of a drop in his pressure here over the last 30 minutes, so I bumped up his bullets just a little bit. They were at 125 an hour. Last pressure was 89 over 45 When I put him in He was running right around the hobby So I bumped him up a little bit Heart rate's 84 96% On the room air currently So he's still looking pretty stable Splendid, okay, very good Okay, we will see you In maybe 25 minutes Sounds good, see you then Okay, thank you Bye</t>
  </si>
  <si>
    <t>Hello, Shai. It's Dr. Pathers. Hey, Doc. This is Paramedic Piscucci with Twin City Ambulance. I'm coming in with a 15-year-old male, about 240 pounds. He's post-dicto from a seizure, from a head injury. He was just in an e-bike accident. The e-bike goes around just under 30 miles an hour. No helmet. I do see some bleeding from the ears. Okay. I gave him Zofran and 10 of Versa to stop seizing. Okay. He is breathing. We're on the island. We're going to be there about 20, 25 minutes maybe. Okay. We're just trying to get him downstairs. Okay. Can I get a GCS, please? Three. He's not responsive right now. His GCS is three? GCS? No, he's not responsive. Okay. Like not responding to anything? No. Okay, and then do we have a set of vitals? Not yet. Okay. Okay. And he seized for how long? He seized for about 45 seconds, about like 10, 15 minutes ago, and then he seized again when we were trying to get him out of the house, an apartment on a backboard. Okay. And what time did we get the Versed at? Like two minutes ago. Okay. All right. let us know if anything changes on him okay in the meantime I'll get everything else for you what's his pulse box? I don't have anything on him we're trying to get him out of the house right now okay got it sorry alright bye</t>
  </si>
  <si>
    <t>Hello, Jared. I'm Chad. Hi. This is Tim from AMR. We're coming to you from the Falls where a 14-year-old was hit while riding his bike. He's complaining of pain to his mid and lower back and to his buttocks. He was conscious and oriented at the time. Due to the pain, I did give him 100 mics of fentanyl. He's somnolent now, but he is responsive to voice. His vitals are stable. I do have an 18 in his right AC. He has a laceration tube above his right eye, and he's denied any other injuries. Would you say he was complaining of A initially? Uh-huh. Um... Neck pain or back pain? Uh... Back pain, uh... Mid and lower back. How fast was the car going? Um... It's a 30 mile an hour zone, so probably around 40. Was he hominid? Is it worth it? Was he hominid? No, he was not hominid. You have his vitals? His vitals are false of 60, SPO2 of 100%, respirations 12, end tidal of 48, blood pressure 125 over 83. G-STEP was 120. Do you have a GCS for him? GCS initially was 15. Now, because he's after the medication, he's down to a 13. Okay. How far out? 10 to 12. Okay. Thank you. All right.</t>
  </si>
  <si>
    <t>Children's ER, this is Dr. Farnham. Hi, Doctor. This is Adam White on Mercy Flight Number 8. I just wanted to give you guys a heads up that we're going to be bringing you a 9-year-old female patient from Brockton. Apparently, she was playing on a trampoline and fell off of the trampoline. Unfortunately, I don't have any good witnesses to say what her fall looked like or whether there was any loss of consciousness. mom went and picked her up later and found out about it after she picked her up from the park or wherever she was so this happened about an hour and a half ago she's complaining of right-sided flank pain thoracic pain from cervical pain she doesn't seem to be in a ton of distress but she's having some shortness of breath might be a little diminished on the right side but kind of tough for me to tell. A lot going on. Her vitals have been stable. Of course, 111 over 50 was, I think, the last blood pressure. We're going to... No history, measure allergies. We're going to... We're loading her up, and we'll probably be there in about half an hour or so. Okay. Dirty. Yeah, it's like a 25-minute flight, 10 minutes to get going, so somewhere around half an hour. Okay. Do you have a heart rate for her, respiratory rate, and pulse ox? Yeah, I'm sorry. I was waiting for the monitor to tell me the other stuff. No problem. Jill, did one come up yet? Yeah, we did. Okay. Sorry, you're breaking up. Okay. Shout it out when you get it. Blood pressure is 110 over 72. Heart rate is 68. respiratory rate is about 20 and the pulse ox is still taking its time. She GCS 15? Yeah. She's got a little amnesia event though. She what? Sorry. She's amnesia to the event. Okay. Amnesia to event. Okay. Any obvious injuries? Nothing that I can really see now. Okay. Okay. 99 for a pulse ox. Is that K-E-L-O-N? Okay. 99 for a pulse ox on the room air, doctor. Room air. Okay. All right. Do you want us to give her anything for pain? Give me one second. Hold on. Okay. All right. It's printing right now. Question. Yes. Nine-year-old. Nine-year-old saw her for trampoline about an hour and a half ago. Unknown. Unwitnessed. Unknown. Okay, yeah, you can give her some morphine, 0.05 per kilo if she's in pain. 205 per kilo of morphine. All right. Thank you very much. Could you spell your name for me, please, after your last name? Yeah. Yep. It's Barnum, F as in Frank, A-R-N-H-A-M. Barnum. Sounds great. We'll see you in a little bit, doctor. Thank you. All right. See you. Thank you so much. Bye. Bye.</t>
  </si>
  <si>
    <t>This is Dr. Jimenez. Hi, doctors. Thank you for coming. How are you? Doing well. How about yourself? Good. Hey, I'm just giving you a heads up. We're coming in with a 17-year-old male who's involved in a fight. Face is pretty bloody. He's got some pretty good abrasions on his face. He's got three teeth knocked out. Two teeth are broken. One tooth is intact, but it was in the dirt and in the driveway and stuff, so I didn't try to re-implant it. So he was into gravel and stuff, so he just left it out. I do have him, though, but we're treating him like a positive LOC because he has no idea what happened to him. He doesn't remember anything. But mom is here. She's present with us. Got it. Do you think he has a 13? We're going to say 14 because he is confused. He doesn't remember anything. He doesn't remember anything. Okay. Last set of vitals, 156, 92, pulse is 68, respiration is 20, and he's standing at 100% average. So we're throwing a quick line in him and just monitoring that he is talking, so he's not lethargic or falling asleep or anything, but he just doesn't remember anything. It's a repetitive question. Okay. So, okay? Sounds good. What's your EPA? It's being about 10, 12. Okay, sounds good. Thanks. All right, gotcha. Take care. Bye. Sorry.</t>
  </si>
  <si>
    <t>Sarah. Hello, can you hear me better? Hi, yeah, I can hear you now. Okay, perfect. All right. Do you want me to start from the beginning, or? Yeah, if you wouldn't mind. Sure. Ten-year-old male was found in the bottom of a hill. Okay. Yep. On his bicycle, not sure if he fell off or was hit by a vehicle. But, positive loss of consciousness. Sorry, you're cutting out again. What did EMS say? That he had audible pupils upon their arrival. Right now they must be keeping them. What was the GCS? 15, 15. Oh, great. Okay. And what were the other vitals? Heart rate is 107. Can you repeat the blood pressure? Is that 131 over 77? And respiratory rate? 24. Okay. And when will you be here? About 15 minutes. 15 minutes? Okay, got it. Okay, anything else? Thank you. Thank you. Bye. Bye.</t>
  </si>
  <si>
    <t>Hi, this is Dr. Fern. Hi, Chuck with Trans Am Ambulance. Paramedic. We got a 13-year-old e-bike accident, obvious head trauma, unable to fly. He's vomited three times. We got a 20-gauge started. His pupils are sluggish, slightly dilated. Now he's not really following any commands. Our ETA is probably going to be about 35 minutes, 40 minutes. Do you have a GCF on him? Excuse me? Do you have a GCF? I'd give it about a 10. Okay. And you said he's 13. Do you have vitals for him? Yes. Heart rate is 102. SPO2 has been running around 94, 95. BP is 142 over 82. Respirators, lung sounds are clear. He has upper right quadrant abdominal pain with rebound tenderness. Again, vomited times, three times, no blood noted. I don't know, 20 gauge. We'll get a D-stick and all that stuff and route. Okay. Do you know how fast he was going? Not really. It was witnessed by another pediatric, and then parents got on, or adults got on the scene. And with obvious head trauma. I mean, he was not wearing a helmet. Right. It was reported that he had a seizure as well. He was unresponsive. Am I missing anything? Okay. So, again, we're in Franklinville. We've been trying to fly. We've tried three different times. We're going to probably have a police escort. Okay. All right. Have they given any meds or anything? I gave four azophrines so far, given them a fluid bolus. We better get another bag of food. And you're coming from, you said you're coming from Franklinville? Yes. Yes. Okay, with a police escort, so. Yep. Okay. All right. Anything else? One second, hold on. Anything else? Okay, you said about 35 minutes? Roughly, roughly, yes. Okay. All right, we'll be waiting for you guys. Especially if you're deciding. Yeah. What? She leave already? Anything else, children? No, not from us at the moment. If anything else changes or you need anything else, give us a call back, okay? We'll be ready for you guys. Okay. We got procedures if that happens, and we'll be getting going here in a minute. Okay. All right. We'll see you soon. Okay, bye.</t>
  </si>
  <si>
    <t>Hi, this is Dr. Ehrenberg in the Children's ED. Hi, it's MERS. I got a patient information from StatMedEvac coming in from a scene call. Okay. Ten-year-old male, trauma alert, unhelmeted dirt bike rider that ran into a vehicle at approximately 30 miles per hour, positive LLC. He's alert now. Heart rate's 115 sinus. Pressure is 111 over 61. He's standing at 97% on room air. Respirations are 20. He's got some blood to the head, which they believe is from the nose, right knee injury, and they're about seven minutes out. I did notify security as well. Okay. Did you have a GCS by any chance? Did they provide you one? They switched over to the other channel, so I do not have a GCS. Not a problem. We'll page out. Thanks. Thanks. Okay.</t>
  </si>
  <si>
    <t>Emergency Department, this is Dr. DePalma. Hi, Doctor, this is Amy, a paramedic with AMR. Yeah. We're coming to you with a two-year-old male from an MDA. I'm not sure if my other crew called with the pregnant female. Yeah, they're coming soon, so the faster you can go, the better, because I'm putting in intubation supplies together. Yeah, sorry. A two-year-old male, unrestrained passenger in the back of an MDA car in the tree. Oh, was this in the same car? This was the same car. Okay. um were they even in car seat no no car no um okay yeah so he i guess he they said he was in a seat belt but it sounds like he flew out hit the back seat okay pretty labored breathing like he his breathing his lungs sound okay but he's like okay flare nostril sounds okay pretty pale 139 for heart rate he's 97 on room air 111 over 67 for blood pressure um he says his chest and His belly hurt. He's got a bruise on his left head. Other than that, he's pretty nonverbal. Nonverbal, you said? Yeah. I don't know if he's normally verbal, but to us, he's not talking. What would you say his GCS is? Maybe 14. He's not speaking, so I don't. But he was able to talk with his belly and his chest hurt. Are you sure his eyes are open? His eyes are open, but he looks not like that glossed over, but they're there, but it looks like no one's home type. All right. Sounds good. Thank you so much. You guys will be here in how long? We're about 10 minutes out. All right. I appreciate it. Thank you. Bye. Bye. Bye.</t>
  </si>
  <si>
    <t>Hi, this is Eric Barkey, paramedic at Mercy Flight 5. We're inbound with a 13-year-old female involved in a 30-foot fall in about a couple feet of water. She felt a railroad tie broken. She fell down the old railroad bridge. She's currently on 15. She is lethargic, positive MLSD, on the prior to our arrival. Current vitals are as follows, 75 and a sinus rhythm, 10, 100%, last question was 1, 10, 9, 16. Ground EMS administered 1 gram of TXA by our arrival. She has no external bleeding. They were worried about her belly being a little tender and extended, which she noted that as well. She's planning a vaccine in 15. Her liver is healthy and stable with no preeminence. She is tender in her belly, but no obvious other injuries. Okay, you're 15 minutes out? Okay, and you said GCS is 15 right now? Okay. Remember to get that push. I kind of know you've heard some useful magic. Okay. All right. We'll be ready when you guys get here. Okay, great. See you soon. All right. Thank you. See you soon. Bye-bye. Bye.</t>
  </si>
  <si>
    <t>I'm so much. O'Shea Hughes. 24. Hi, I'm a paramedic student. I'm calling about a trauma activation. Okay, what's going on? We have a 16-year-old male. He was found in the parking lot in Harris Health. He has significant facial traumas. His airway is flooded with blood. We're currently suctioning and bagging with a BBM. Heart rate is 114. Last pressure I got was 120 over 68. O2 set right now is 50. receptioning and bagging with the BBM. His GCF is 3 currently. He has significant facial swelling on the left side above his eye and into his eye. So he was found down in the parking lot? He was found down in the parking lot, correct. He was on what looked like an electric bike. Oh, he was on an e-bike? Okay. Yeah. He has no obvious trauma to any other part of the body but the face. Okay. What's your ETA? Oh, what's our ETA, Tyler? 12 minutes. 12 minutes, okay. 12 minutes out. All right, we'll see you guys soon then. All right, thank you. Thanks, bye.</t>
  </si>
  <si>
    <t>Oshai Emergency Department, this is Dr. DePalma. Hi, this is Eric Lohman with All Star. I was told to give you guys a call about a trauma that we're bringing in. Yep, how far out are you guys? We just got on the 190. Okay. So this is a transfer from UPMC Chautauqua. Yeah, I just don't know how far you are, though, because I have to put the page out. About 10, 12 minutes. Oh, 10 to 12 minutes. Okay. Yeah. Can you just tell me the latest vital signs? Latest vital signs are 94 for a pulse. Okay. 18 respirations. Okay. 100% on room air. Okay. And 128 over 75. Is his GCF still 15? What was that? Is his GCF still 15? GPS says 10 minutes. Sorry. No, his GCS. Oh, yes, I'm sorry. Oh, my goodness, I thought you said GPS. Yeah, GCS is still a 15, yeah. All right, and how old is he? Just because I just got here, so I didn't take the first call. I know he has a mandible fracture and has a C collar on. Yes, he's 15. He has a mandible fracture and a sternum fracture along with bilateral lacerations on both his knees and his elbows. Okay. Thank you so much. We will go to the trauma bay when you get here. All righty. Thank you so much. Thank you. Bye. Bye.</t>
  </si>
  <si>
    <t>Hi, this is Dr. Jimenez. Hi, this is Donnie from Stat Medevac. Hello. I have Medevac 12 coming up to see you. 14-year-old male that was struck by a vehicle. Was he like pedestrian versus car? Yes. Okay. Tell me more. That is about all I know. Okay. We just get a brief report from 911, and that's all they really gave me. Did they give any, like, vitals, GCS, anything like that? They did not. Okay. Our crew should be calling a report in. Okay. Do we know how fast the car was going? We do not. Cool. I'm going to ask you more questions you don't know. No, I'm teasing. That's okay. I mean, I can make something up if it would make you feel better. Yep, all we know is a 14-year-old that was struck by a vehicle. Okay. And they wanted to fly him. Okay, do you have an EPA for us? They will be landing on your helipad in 22 minutes. Sounds good. We'll keep an ear out for their report. We appreciate the heads up. You're welcome. Thank you. Bye.</t>
  </si>
  <si>
    <t>O'Shea Emergency Department, this is Dr. Welliver. Hey, Ross, it's Shadow. How are you? Hey, I'm good. How's it going, Chad? Hey, I'm with Mercy Flight at Bradford with Landon Blouse. Yeah. Let me get your guys' report. Oh, yeah. Sounds good. All right. 13-year-old male, severe laceration to the left forearm. They had initially a tourniquet in place. Once he arrived to the ER, they tore that tourniquet down, opened up the wound, and they have him significantly dressed with a pressure dressing right now. Okay. He has no sensation to the lower part of his wrist or hand. It is turning purple. does have a pulse, correct? Faint pulse to that side. Like I said, no sensation. I'm giving him two grams of ASF right now that was ordered by the doc. I have TXA that I'm going to hang it out after we get rolling. He has fluids running. I'm running to gravity. I have two lines in him. Vitally, he's stable. He has a heart rate of 69, pressure of 143 on 95. We did do a dose of 50 of fentanyl for him once we got here. It's been over an hour since he's gotten any morphine, so we did hit him with some pain meds here. He's pretty uncomfortable, but otherwise stable. Okay. All right. Saturating okay for you guys? Yeah, saturating perfect. Okay. No concerns, vitally, just with that hand being blue, et cetera. Yeah. Okay. All right. Any changes to your dressing will be about 32 minutes from the time we launch. Okie doke. Sounds good. See you when you get here. All right. Thanks. Bye. Bye.</t>
  </si>
  <si>
    <t>Children's emergency department, this is Dr. Ruano. Hi, Dr. Ava, Mercy Flight Dispatch. Okay. Very shortly, a six-year-old female from a bus rollover on the thruway. Okay. She has a severe head lack, the rear of the head. Looks like a right arm fracture. GCS is 15. Vital signs are good. Pulse of 115. 124 over 74 on the BP and this is from a bus accident that we have on a three-way, it's a tour bus there's 52 victims so far see you shortly any word on other PEDs, is this the only one or? I have no idea at all, this is the first of five helicopters at the scene so gotta go, thanks Doc bye bye, thank you, bye And</t>
  </si>
  <si>
    <t>Hi, Dr. Patter. Yes. Hey, it's Shadow. How are you? Good. How are you? Can you hear me? Yes. Okay. Hey, did Puno call any of you guys by chance? Give you a heads up. Okay. I have a 12-year-old who fell off her bike with a significant head injury, not acting appropriately. We decided to RSI her here on scene. I'm at Coudersport, so I'm like 40, 45 minutes out. Okay. I have a pressure of 129 on 75. She's standing 100%. And I'm tidal of 36 with the tube. And she has a 6.0 at 20 at the lip. I have bilateral access. She's had probably 200 cc's of fluid. She has 60 of rock, 20 of etomidate on board, plus 50 of scent for post sedation. I'm going to hit her with another 50 and then do boluses of 50 every, like, 15, 20 minutes in flight. She's stable. Prior to this tube, she was acting erratically. Apparently, she fell off her bike, lost consciousness for a minute or greater, came to and was just acting completely outside of herself. She was trying to ride away on her bike. She had a significant hematoma to the back of her head that's increasing in size. Okay. Pupils look okay right now. She's tolerating the tube well, but she was just doing that, like, close her eyes, and she would respond to painful stimuli. Then she didn't respond at all, and then she would respond, and then she was pulling everything off, and then she kind of tucked her arms up under her chin, so just not really acting appropriately. Okay. Mom was significantly concerned with these behaviors as well, so I think it's a little bit more than just a teenage behavioral issue. She never really answered any questions or followed commands for us, but she is already two, so that part's done for you. So you would say maybe GCS of like six or seven? Probably six or seven at the best, three at her worst. Okay. I'm sorry, did you tell me a heart rate? Heart rate is 99 right now. Like I said, 100% on the vent. My last pressure was 127 to Salix. She hasn't been off Vitalize at all. Okay. It was just more her behaviors that caused the tube. We already chatted with Kunal, so he's on board as well. But like I said, it's going to be a bit. I will text you personally when I have an ATI for you. Okay. Sounds good. We'll see what we get here. Thank you. Bye.</t>
  </si>
  <si>
    <t>Hello, this is Dr. Sridharan, Oshai Children's ER. Hi, Doc. Paramedic Nielsen, Mercy Flight 9. We're getting ready to lift out of Ellicottville with a 15-year-old male who hit a tree while mountain biking. There's damage to his helmet. There's bruising to the forehead. He was unconscious when responders first got to him. Right now, he's complaining of upper right quadrant abdominal pain and right side of rib pain. He is diminished on the right. blood pressure is 126 on 82, heart rate is 110 SpO2 is 100% on oxygen and we'll probably be there about 15-20 minutes. How much did you say the pulse ox was? 100% with oxygen. How much of oxygen are you giving him? He's on 10 right now. And you said he's a 15 year old, he hit a tree while biking and his helmet is damaged? Yep. And he had loss of consciousness? Yep, he was unconscious. He was bruising to the... He is now at 15. Okay, and he had bruising where? On his forehead. On his forehead, okay. And he has right leg pain, right upper quadrant pain, and decreased air movement on the right side. Is that right? Yep, that's correct. Does he have any C-collar? Yep, he has C-collar. Okay, any other injuries? Not that we've noticed. got to yet. Okay, have you given him anything for pay? Yeah, he got 75 mics of fentanyl. How much of fentanyl is that? 75 mics of fentanyl. 75, okay. And he's gotten Zofran. And Zofran. And you're about 15-20 minutes out? Yeah, we're about 20 minutes to the rooftop. Okay, thank you. You're welcome. Any other questions?</t>
  </si>
  <si>
    <t>Hi, it's Dr. Toyser at Children's. Hey, Doctor, it's Jeremy Paramedic from RCMS. How are you? Good. What do you have? So, this one's a peculiar one. It's a 13, 1, 3-year-old male patient who the family says shot himself in the head. Upon arrival, he was found next to a pilot gun. He did admit to me in the back of the ambulance that he tried shooting himself in the head to hurt himself. He does have a little wound on the front of his forehead with some swelling and some crepitus underneath the wound. When we got on scene, he had a GCS of 9, and it was significant for him not answering any questions, not talking. He was looking around, but he was not verbally responding to us, and it's hard to say if it's more psychogenic than anything. At this time, after I put the IV in, he's kind of come to a little bit. He keeps answering my yes or no questions. He looks around. His vitals are stable. I can give you the set when you're ready. Other than that, I don't see any other wounds. Okay. So you say his GCS is now probably 15. It's just he won't speak to you? I'm going to call it a 14 just with confusion, just because I honestly don't know. He's able to tell me that he did it on purpose. He's able to tell me that he knows he's in an ambulance. When I said, you know, where are you, he said ambulance. Other than that, he's just not talking any more than that. He keeps falling asleep. It's like I said, it's really hard to ascertain if it's actually psychogenic or if he's really that altered. What do you have for vitals? Yeah, a set of vitals right now. Sorry. Hang on one second. Sorry. We have 109 over 68. Heart rate is 105. Sinus on the monitor. 98% working on getting a blood sugar for you as well, and he doesn't have IV access. When we did find him at home, he was on the bed with a gun next to him. Like I said, it's a rifle, an air-powered rifle. It was 1,100 feet per second rifle, if that's relevant. These little pellets that come in, like little, I don't even know, like lead pellets, I guess. But he did have a significant amount of blood on the floor where it looks like he might have vomited or spit up blood. I don't see any wounds or injuries in his mouth, in his eyes, in his ears, in his nose, just the forehead. How about the forehead one? Was that bleeding a lot? It looks like it was. It's dried up since then, and I've tried to look to see if there's any extra wound or if there's actually a pellet inside his forehead, and it's really hard to tell. Did you notice blood coming from his mouth? No. I looked in there. His mouth is clear. His nose is clear. most of the blood it just looks like it came from his forehead because I could almost see it him having tried to shoot himself in his mouth and that comes out his forehead yeah I definitely looked in there I didn't see anything just from what I could see when I tried opening his mouth further he started trying to bite me and closing his mouth I can try to get another look but at this time everything is very stable what's your ETA look like? it's about 20 minutes or so give or take the traffic okay What would you say his size is? I'd say 13 years old He probably weighs I can give you an actual number Okay Go ask her Sorry, mom's up front Sorry, they're trying to get a number. About 100 to 110 pounds, she said. Okay, sounds good. And I think that's pretty accurate. All right, well, we'll see you when you get here. All right, awesome. I'll let you know if anything changes. Okay, thank you. Thank you. Bye.</t>
  </si>
  <si>
    <t>Hi, it's Dr. Toysher at Children's. Hi, Dr. Toysher, it's Brent Ass. How are you? Okay, what do you got? I have a 15-year-old male that was waiting for the bus this morning, was struck by a moving vehicle that hit a parked car, which pinned him underneath the parked car. He has a nearly amputated right foot that's hanging on by just a thread dock. Okay. We're coming to you from Lockport. let's see he is fully immobilized right this moment stable vitals we're giving pain meds as we speak we called ECMC they declined it he's 15 years old 5'5 and weighs 125 and they declined it telling us to come to children all right then it'll be um do you have um well I guess that we can get that all when he gets here was there anything else other than the foot? He has a couple abrasions just above his pelvis, but pelvis and hip are stable. No obvious deformities anywhere up there. And right now, just general soreness, obviously, body-wise from the impact. The biggest thing is the right ankle and right lower leg. okay and lower leg um so it came and it pinned his so him he was and then the foot underneath correct okay uh was he was his uh torso pinned at all um i guess from the uh information i'm getting from bystanders, he was pinned between a large bush in the front yard and a driver's side quarter panel of a pickup truck. Somehow, some way he got out. I'm not sure if they dragged him out or if he was self-extricated, maybe. Yeah, he was extricated before we got there. Okay. All right. Okay. What's your ETA look like? Probably about 25 minutes or so. 25 minutes. All right. I guess we'll be waiting for you when you get here, and you're getting him some morphine? We have – I called John McNamara. He's our medical director. Mm-hmm. Okay, beautiful. Okay. All right. Thanks, Doc. All right. Yep. Bye. Bye. Bye.</t>
  </si>
  <si>
    <t>O'Shea, you're on. It's Dr. Welliver. O'Shea. Hey, this is Todd with AMR. I'm bringing you a 16-year-old male with two stab wounds to his head, one in the forehead, one in the right lateral forehead. I have a stab wound to the right chest, just below the breast. I do have diminished lung sounds on the right side. Not complaining of any difficulty breathing, but I couldn't hear a whole lot of air movement. Okay. Okay. Conscious, alert, and oriented. You guys are 16 as left AC. Vitals, 136 over 90. Pulse of 110, 100% on room there. And we'll be there in about six minutes. Six minutes? Okie dokie. Yep. Sounds good. We'll see you guys when we get here. Bye-bye. Yep, stab wound to the chest.</t>
  </si>
  <si>
    <t>Children's Air, it's Dr. Bradtomagie. Hey, it's Noir over to you, Mar. Hey, I'm going to bring you a weird call. A 16-year-old male stole a vehicle, drove into the metal I-beam of the train tracks in the corner of Bellovin and Grider. He was extricated from the vehicle, he's got a collar on, he's got a hip-sib fracture on the one leg, a femur fracture on the other leg. I'm trying to get some I'm trying to stabilize a little bit more try to get some IV and some pain that's on board for the kid but he's GCS 15 vitals are great like 150 over 80 something 102 for a heart rate 98% can't get a hold of mom doesn't want to give me his mom's phone number or unlock his phone so you said he stole a vehicle and did what I'm sorry stole a vehicle drove into the metal IV milk holding up a bridge up for a train track. Okay. Was there airbag deployment? Yep. Okay. No, I don't know an LLP. And you said multiple fractures. Okay. I'm still trying to do a couple things here, but I'll probably be there in like 10 minutes or so. I haven't left the scene yet, but probably 10 minutes or so. Okay. Sounds good. Thanks. Yeah, I'll stay tuned. Bye-bye.</t>
  </si>
  <si>
    <t>I'll try to hear Dr. Welliver. Hey, this is Tommy Mercy Flight. We're out in Hinsdale in Arquette County. We have a six-year-old male that impaled a bicycle handle and brake into his leg. Okay. Yeah. So the brake line is actually sticking out of his leg along with his shirt. So the shirt is impaled into the wound itself. Okay. There's very little bleeding. There's no obvious deformity to his femur. Okay. He's kind of cool and collected. His blood pressure is 118 over 74. His heart rate is 128. He's currently breathing at 18 times a minute. He's sitting at 100% on room air, or 99, back and forth. Sure. He is tolerating the pain well. however he says that this is the worst pain he's ever felt in his life so I gave him 25 mics of fentanyl and his blood pressure and all of his vitals are maintaining one second okay sorry about that, there's a business loading up in the aircraft so he's hemodynamically stable, his heart rate's good he has a after the after the fentanyl he has just a very very slight um horizontal gaze and uh nystagmus but uh he's still alert and conscious and his gcs is 15 we're loading him up in the aircraft now we should be children's in about what uh 25 minutes from now yeah about 25 minutes from now we'll be at your rooftop okay so uh did he any head injury loss of consciousness No, he has a full recall of the event. Okay, all right. And then how's his left leg? How's his neurovascular stuff? Yeah, so he has good pulse motor sensation, distal injury. You know, good pedal pulses, good sensation, everything distal, the injury. And he has good cap refill surrounding the wound as well. Nice, okay. Okay, all right, sounds good. Hang on just one second, my friend. Yeah, okay. Do we have demographics I can take Do we have any demographics I can take to the hospital Alright thanks bud Let me give you my phone number You can just send me a picture Alright great So it's timing 716 361 16 4'2". Doc, we're going to... We have two lines in him. We're giving him a little saline right now. His blood pressure is 113 over 70. We just don't want to be chasing our tails with some... with hypotension, so we're going to give him a little fluid. All right, buddy. Do you have a weight and a height on this guy at all? Yeah. He is 72 pounds and 43 inches. Perfect. Thanks, guys. I really appreciate it. Yeah, yeah. We'll see what you get here. Really appreciate the heads up. All right, you got it. Thanks, man. Bye-bye.</t>
  </si>
  <si>
    <t>Hello, this is Dr. Sridharan, OSHAI Children's ER. Hello? Hello, this is OSHAI Children's ER. Hello, hi, this is Wilson Fire Company. We are en route to your facility with a 13-year-old male. Do you want me to give report to you? Yes. Okay, I have a 13-year-old male that was in a car accident. He has all of his vitals are all within normal limits. Okay. He does admit to losing consciousness and blacking out at the time of the accident. He does have a collar on, and we did a full body assessment, and the only thing we found was hematomas or abrasions on his hips from the seat belt. hip and what? Just hip abrasions from the seatbelt. From the seatbelt. Okay. I thought we found no other. I'm sorry, what was that? His GCS is normal? His GCS is normal. Yep, everything. Can you give me his vitals? Yep, so his last set of vitals, which I just took about two minutes ago. Yeah. His blood pressure is 120 over 60. Uh-huh. Pulse is 119. Uh-huh. SPSU is 99 on room air. Okay. Respirations are 16. Okay. So he admits to, yeah. His pain level is a 5. It has gone down. Okay. So the pain was 5 and it's gone down. So his car hit against what? It's another car. Yeah, it was a two-car MVA. His car did roll. Okay. Did you get out by yourself? Yeah, he self-extricated. Okay. And he was able to walk there? Yep, and he was able, yep, he was walking around. Okay. He was wearing a seatbelt and full airbag deployment all around. Okay, so he wasn't wearing a seatbelt and airbags deployed. Yep, he was wearing a seatbelt. Oh, he was? Yes. Was he the driver? No, he's 13. He was not the driver. His dad was. He was in the front seat, though. That's what I wanted to ask. Okay, same thing. How far out are you? We're about 30 minutes. 3-0? Yes. Okay, sounds good. Thank you. All right, thank you. Yeah.</t>
  </si>
  <si>
    <t>Hi, this is Dr. Miller, Children's. Hi, Doc. It's Steve Pepp, Rover at Murr's Control. How are you? I'm good, thanks. What's going on? You got a stat medevac about eight minutes from your rooftop. Okay. They are bringing you a 13-year-old male trauma alert. He was on a scooter hit by a car approximately 30 miles an hour. He is conscious at this time. He has a fracture of the right femur and left forearm. Do you have any vitals or anything? Vital signs right now, blood pressure 126 over 59. Okay. Sinus tach at 112. Okay. He sat 28 breaths per minute, and it's setting at 98%. They have fentanyl on board for pain management. And like I said, approximately eight minutes to your roof. Okay. Do you have a GCF by any chance or no? 15. Perfect. Sounds good. Thank you so much. You're very welcome. Have a good day. You too. Thanks.</t>
  </si>
  <si>
    <t> L2, 17y/o, Vitals(BP 115/74, HR 82, RR 20), GCS:13, MOI(Fall&gt;10 or 3x Child height), fell 10-15 feet, LOC, ETA:30 min</t>
  </si>
  <si>
    <t> L1, 11y/o, Vitals(BP 75/48, HR 120, RR 18), GCS:3, MOI(Ped Vs Car), intubated, on PRBC and Epi gtt, SAH, ETA:10 min</t>
  </si>
  <si>
    <t>L2, 10y/o, Vitals(BP 110/60, HR 151, RR 16), GCS:11, MOI(Ped Vs Car), scooter vs car 30 mph bleeding from R ear obvious L ankle deformity crying localizes to pain, ETA:15 min</t>
  </si>
  <si>
    <t> L2, 16y/o, Vitals(BP 144/81, HR 106, RR 18), GCS:15, MOI(Other), Bike vs. 30MPH MVA; LOC, Blunt trauma:Other, Lower extremity wound, ETA:20 min</t>
  </si>
  <si>
    <t> L2, 7y/o, Vitals(BP 141/88, HR 103, RR 24), GCS:15, MOI(Fall&gt;10 or 3x Child height), fall out of window left leg and left arm deformity, ETA:5 min</t>
  </si>
  <si>
    <t>L1, 13y/o, Vitals(BP 122/85, HR 100, RR 16), GCS:8, MOI(Ped Vs Car), hit by bus, no helmet, occipital bleed, etco2= 33, ETA:15 min</t>
  </si>
  <si>
    <t> L2, 10y/o, Vitals(BP 119/58, HR 87, RR 20), GCS:13, MOI(Ped Vs Car), unwitnessed fall from golf cart, poss run over, less responsive after Fentanyl, on NC 2L, ETA:6 min</t>
  </si>
  <si>
    <t>L2, 7y/o, Vitals(BP 116/79, HR 85, RR 18), GCS:15, MOI(Penetrating Injury), patient had a pitch fork to the chest but pulled it out .No pneumothorax or hemothrorax, stable for, ETA:60 min</t>
  </si>
  <si>
    <t>L1, 15y/o, Vitals(BP [??]/[??], HR [??], RR [??]), GCS:3, MOI(ATV or Motorcycle), e-bike @ 30 mph, blood from ears, LOC with seizure x2, unhelmeted, Versed given, ETA:20 min</t>
  </si>
  <si>
    <t>L2, 14y/o, Vitals(BP 125/83, HR 60, RR 12), GCS:13, MOI(Ped Vs Car), hit by car going 40mph, was on bike, no helmet, back pain, lac above eye, ETA:10 min</t>
  </si>
  <si>
    <t> L2, 10y/o, Vitals(BP 115/54, HR 84, RR [??]), GCS:15, MOI(Fall&gt;10 or 3x Child height), fell from trampoline, paresthesia of LE, SOB, LOC, right flank pain, ETA:Here Now</t>
  </si>
  <si>
    <t> L2, 17y/o, Vitals(BP [??]/[??], HR [??], RR [??]), GCS:14, MOI(Blunt trauma), Pushed off Bicycle LOC, Assault, ETA:Here Now</t>
  </si>
  <si>
    <t>L2, 10y/o, Vitals(BP 131/77, HR 107, RR 20), GCS:15, MOI(Other), poor phone reception limited info: found at bottom of hill next to bike LOC, ETA:15 min</t>
  </si>
  <si>
    <t>L1, 13y/o, Vitals(BP 142/82, HR 102, RR 18), GCS:10, MOI(ATV or Motorcycle), ebike accident, no helmet, obvious head trauma, pupils dilated and sluggish, seizure, RUQ pain, ETA:30 min</t>
  </si>
  <si>
    <t>L2, 10y/o, Vitals(BP 111/61, HR 115, RR 20), GCS:00, MOI(ATV or Motorcycle), unhelmeted dirtbike vs car LOC and R knee injury, ETA:10 min</t>
  </si>
  <si>
    <t>L2, 2y/o, Vitals(BP 111/67, HR 139, RR [??]), GCS:14, MOI(MVC), unrestrained, car V tree, labored breathing, chest and abd trauma, ETA:10 min</t>
  </si>
  <si>
    <t>L2, 13y/o, Vitals(BP 110/60, HR 75, RR 20), GCS:14, MOI(Fall&gt;10 or 3x Child height), 30 foot fall off bridge into 2 ft water LOC abd tender and distended, back/hip pain, ETA:15 min</t>
  </si>
  <si>
    <t> L1, 16y/o, Vitals(BP 120/[??], HR 114, RR [??]), GCS:3, MOI(ATV or Motorcycle), ebike crash unresponsive, bagging, bloody airway Pulse Ox 50, ETA:5 min</t>
  </si>
  <si>
    <t>L2, 15y/o, Vitals(BP 120/75, HR 94, RR 18), GCS:15, MOI(Other), dirt bike accident, known mandible and sternum fracture, ETA:10 min</t>
  </si>
  <si>
    <t>Update, Pt A, L1, 14y/o, Vitals(BP 117/81, HR 92, RR 11), GCS:3, MOI(MVC), intubated - unresponsive on scene, ETA:10 min</t>
  </si>
  <si>
    <t>L2, 13y/o, Vitals(BP 143/95, HR 69, RR [??]), GCS:15, MOI(Penetrating Injury), L forearm arterial lac: Mercy flight on site, insensate L hand, purple, faint pulse, ETA:32 min</t>
  </si>
  <si>
    <t> L2, 6y/o, Vitals(BP 124/74, HR 115, RR 20), GCS:15, MOI(MVC), call from MERS - bus rollover. head lac and RUE deformity., ETA:30 min</t>
  </si>
  <si>
    <t>L1, 12y/o, Vitals(BP 129/75, HR 99, RR 12), GCS:6, MOI(Ot</t>
  </si>
  <si>
    <t>L2, 15y/o, Vitals(BP 126/65, HR 116, RR [??]), GCS:15, MOI(Blunt trauma), LEVEL 2 NOT 1 BIKE cycle hit a tree, had LOC, ETA:15 min</t>
  </si>
  <si>
    <t>L1, 13y/o, Vitals(BP 109/68, HR 105, RR 20), GCS:14, MOI(GSW), Air gun to the forehead, GSW:Head, Penetrating Injuries:Head, Pt answering questions; sleepy and then awakens to answer; vomiting blood, ETA:15 min</t>
  </si>
  <si>
    <t>L2, 15y/o, Vitals(BP 150/[??], HR 120, RR 20), GCS:15, MOI(Ped Vs Car), struck by car-pinned b/w car and bush with foot rolled over, Blunt trauma:Abdomen, Amputation(R foot; near complete-spl), Extricated by EMS arrival, ETA:20 min</t>
  </si>
  <si>
    <t> L1, 16y/o, Vitals(BP 136/90, HR 110, RR [??]), GCS:15, MOI(Penetrating Injury), stab wound to R chest and forehead, dec breath sounds on R, ETA:6 min</t>
  </si>
  <si>
    <t>L2, 16y/o, Vitals(BP 150/80, HR 102, RR [??]), GCS:15, MOI(MVC), stole vehicle and crashed into pole, irbag, lower extremity deformities, ETA:10 min</t>
  </si>
  <si>
    <t>L2, 6y/o, Vitals(BP 118/74, HR 128, RR 18), GCS:15, MOI(Other), bike handle impaled into left femur, good pulse and sensation distally, no head injury, ETA:25 min</t>
  </si>
  <si>
    <t>L2, 13y/o, Vitals(BP 120/60, HR 119, RR [??]), GCS:15, MOI(Ped Vs Car), rollover mva, hip abrasion, seat belt sign, ETA:30 min</t>
  </si>
  <si>
    <t>L2, 13y/o, Vitals(BP 126/59, HR 112, RR [??]), GCS:15, MOI(Ped Vs Car), Blunt trauma:Head, riding ebike, hit by car going 30 mph. deform r femur, l forearm, ETA:Here Now</t>
  </si>
  <si>
    <t>L2, 17 y/o, Vitals(BP, HR, RR), GCS: 13, MOI (fall from 10-15 feet, facial impact), ETA: 30-40 mins</t>
  </si>
  <si>
    <t>L1, 11 y/o, Vitals(BP 76/45, HR 128, RR 18), GCS: , MOI (struck and run over by a truck, traumatic arrest), ETA: 10 minutes</t>
  </si>
  <si>
    <t>L2, 12 y/o, Vitals(BP 136/94, HR 114, RR not provided), GCS: 15, MOI (cyclist struck by vehicle, unhelmeted, ran over legs), ETA: 10 minutes</t>
  </si>
  <si>
    <t>L2, 10 y/o, Vitals(BP unreadable, HR 151, RR 16), GCS: 10, MOI (struck by vehicle at 30 mph), ETA: 15 min</t>
  </si>
  <si>
    <t>L2, 16 y/o, Vitals(144/81, 106, 18), GCS: 15, MOI (bicyclist struck by pickup truck at 35-40 mph), ETA: 25 minutes</t>
  </si>
  <si>
    <t>L2, 7 y/o, Vitals(141/88, 103, 24), GCS: unknown (reported 15), MOI (fall from 15 feet), ETA: 5 minutes</t>
  </si>
  <si>
    <t>L2, 16 y/o, Vitals(136/54, 118, N/A), GCS: , MOI (fall from 50 feet), ETA: 20 minutes</t>
  </si>
  <si>
    <t>L2, 13 y/o, Vitals(122/64, 93, RR not provided), GCS: 15, MOI (ATV accident at 20 mph, helmet worn), ETA: 15 minutes without lights and sirens.</t>
  </si>
  <si>
    <t>L2, 15 y/o, Vitals(BP unclear, HR 80, RR not provided), GCS: Alert and oriented, MOI (multiple dog bites with numbness and decreased sensation in right arm), ETA: 5 minutes</t>
  </si>
  <si>
    <t>L1, 13 y/o, Vitals(122/85, 97-100, 32), GCS: 8, MOI (bicycle struck by vehicle, 40 mph, no helmet), ETA: 20-25 mins</t>
  </si>
  <si>
    <t>L2, 10 y/o, Vitals(119/58, 87, RR not specified), GCS: 14, MOI (go-kart accident, fell off, possible run over), ETA: 8 minutes</t>
  </si>
  <si>
    <t>L2, 7 y/o, Vitals(BP 89/45, HR 84, RR not provided), GCS: not provided, MOI (pitchfork injury), ETA: 25 minutes</t>
  </si>
  <si>
    <t>L1, 15 y/o, Vitals(BP, HR, RR), GCS: 3, MOI (e-bike accident, head injury, postictal), ETA: 20-25 minutes</t>
  </si>
  <si>
    <t>L2, 14 y/o, Vitals(BP 125/83, HR 60, RR 12), GCS: 13, MOI (struck by vehicle at ~40 mph), ETA: 10–12 minutes</t>
  </si>
  <si>
    <t>L2, 9 y/o, Vitals(110/72, 68, 20), GCS: 15, MOI (fall from trampoline), ETA: 30 minutes</t>
  </si>
  <si>
    <t>L2, 17 y/o, Vitals(156/92, 68, 20), GCS: , MOI (facial trauma from altercation), ETA: 10–12 minutes</t>
  </si>
  <si>
    <t>L2, 10 y/o, Vitals(131/77, 107, 24), GCS: 15, MOI (unclear fall or struck by vehicle), ETA: 15 minutes</t>
  </si>
  <si>
    <t>L2, 13 y/o, Vitals(BP 142/82, HR 102, RR not documented), GCS: 10, MOI (e-bike accident with head trauma), ETA: 35-40 minutes</t>
  </si>
  <si>
    <t>L2, 10 y/o, Vitals(BP 111/61, HR 115, RR 20), GCS: , MOI (unhelmeted dirt bike rider into vehicle at 30 mph), ETA: 7 minutes</t>
  </si>
  <si>
    <t>L2, 2 y/o, Vitals(111/67, 139, labored breathing), GCS: 14, MOI (MDA car crash, unrestrained), ETA: 10 minutes</t>
  </si>
  <si>
    <t>L2, 13 y/o, Vitals(BP: N/A, HR: 75, RR: 10), GCS: 15, MOI (fall from 30 feet), ETA: 15 minutes</t>
  </si>
  <si>
    <t>L1, 16 y/o, Vitals(120/68, 114, -), GCS: 3, MOI (electric bike accident), ETA: 12 minutes</t>
  </si>
  <si>
    <t>L2, 15 y/o, Vitals(128/75, 94, 18), GCS: 15, MOI (), ETA: 10-12 min</t>
  </si>
  <si>
    <t>L2, 14 y/o, Vitals(BP, HR, RR), GCS: , MOI (pedestrian vs car), ETA: 22 minutes</t>
  </si>
  <si>
    <t>L2, 13 y/o, Vitals(143/95, 69, RR not provided), GCS: not provided, MOI (severe laceration to left forearm), ETA: 32 minutes</t>
  </si>
  <si>
    <t>L2, 6 y/o, Vitals(124/74, 115, N/A), GCS: 15, MOI (bus rollover), ETA:    The patient does not meet any explicit Level 1 criteria. The GCS is 15, indicating full consciousness, and the vital signs are stable. Although the mechanism of injury is significant (bus rollover), there are no specific Level 1 criteria met such as respiratory compromise, intubation, or critical vital sign thresholds. Therefore, this defaults to Level 2.</t>
  </si>
  <si>
    <t>L1, 12 y/o, Vitals(BP 129/75, HR 99, RR on ventilator), GCS: 6-7, MOI (bicycle fall with significant head injury and intubation), ETA: 40-45 minutes</t>
  </si>
  <si>
    <t>L2, 15 y/o, Vitals(126/82, 110, RR unknown), GCS: unknown, MOI (mountain biking collision with tree, helmet damaged, initial loss of consciousness), ETA: 20 minutes</t>
  </si>
  <si>
    <t>L2, 13 y/o, Vitals(BP 109/68, HR 105, RR not provided), GCS: 9, MOI (self-inflicted air rifle shot to head), ETA: 20 minutes</t>
  </si>
  <si>
    <t>L2, 15 y/o, Vitals(BP, HR, RR), GCS: , MOI (pedestrian struck by vehicle, pinned under car, nearly amputated foot), ETA: 25 minutes</t>
  </si>
  <si>
    <t>L2, 16 y/o, Vitals(136/90, 110, RR not provided), GCS: Alert, MOI (Stab wounds to head and chest), ETA: 6 minutes</t>
  </si>
  <si>
    <t>L2, 16 y/o, Vitals(BP 150/80, HR 102, RR not provided), GCS: 15, MOI (vehicle collision with metal I-beam), ETA: 10 minutes</t>
  </si>
  <si>
    <t>L2, 6 y/o, Vitals(BP, HR, RR), GCS: 15, MOI (impalement from bicycle handle), ETA: 25 minutes</t>
  </si>
  <si>
    <t>L2, 13 y/o, Vitals(120/60, 119, 16), GCS: Normal, MOI (MVC with rollover, brief LOC), ETA: 30 mins</t>
  </si>
  <si>
    <t>L2, 13 y/o, Vitals(126/59, 112, 28), GCS: 15, MOI (scooter vs car at 30 mph), ETA: 8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</si>
</sst>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color theme="1"/>
      <name val="Calibri"/>
      <family val="2"/>
      <scheme val="minor"/>
    </font>
    <font>
      <b/>
      <sz val="11"/>
      <name val="Calibri"/>
      <family val="2"/>
    </font>
    <font>
      <b/>
      <i/>
      <sz val="11"/>
      <color rgb="FF000000"/>
      <name val="Calibri"/>
      <family val="2"/>
      <scheme val="minor"/>
    </font>
    <font>
      <sz val="10"/>
      <color rgb="FF000000"/>
      <name val="Helvetica Neue"/>
      <family val="2"/>
    </font>
    <font>
      <sz val="11"/>
      <color rgb="FF000000"/>
      <name val="Calibri"/>
      <family val="2"/>
      <scheme val="minor"/>
    </font>
    <font>
      <sz val="12"/>
      <name val="Times New Roman"/>
      <family val="1"/>
    </font>
    <font>
      <sz val="11"/>
      <color rgb="FF000000"/>
      <name val="Times New Roman"/>
      <family val="1"/>
    </font>
    <font>
      <sz val="12"/>
      <color rgb="FF000000"/>
      <name val="Times New Roman"/>
      <family val="1"/>
    </font>
    <font>
      <sz val="11"/>
      <name val="Times New Roman"/>
      <family val="1"/>
    </font>
    <font>
      <sz val="11"/>
      <color rgb="FF000000"/>
      <name val="STZhongsong"/>
      <charset val="134"/>
    </font>
    <font>
      <sz val="12"/>
      <color rgb="FF9C0006"/>
      <name val="Times New Roman"/>
      <family val="1"/>
    </font>
    <font>
      <sz val="11"/>
      <color rgb="FF9C0006"/>
      <name val="Times New Roman"/>
      <family val="1"/>
    </font>
    <font>
      <sz val="16"/>
      <color rgb="FF9C0006"/>
      <name val="Times New Roman"/>
      <family val="1"/>
    </font>
    <font>
      <sz val="16"/>
      <color rgb="FF000000"/>
      <name val="Times New Roman"/>
      <family val="1"/>
    </font>
    <font>
      <sz val="16"/>
      <name val="Times New Roman"/>
      <family val="1"/>
    </font>
    <font>
      <sz val="11"/>
      <color rgb="FF006100"/>
      <name val="STZhongsong"/>
      <charset val="134"/>
    </font>
  </fonts>
  <fills count="10">
    <fill>
      <patternFill patternType="none"/>
    </fill>
    <fill>
      <patternFill patternType="gray125"/>
    </fill>
    <fill>
      <patternFill patternType="solid">
        <fgColor theme="9" tint="0.59999389629810485"/>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C7CE"/>
        <bgColor rgb="FF000000"/>
      </patternFill>
    </fill>
    <fill>
      <patternFill patternType="solid">
        <fgColor rgb="FFCAEDFB"/>
        <bgColor rgb="FF000000"/>
      </patternFill>
    </fill>
    <fill>
      <patternFill patternType="solid">
        <fgColor rgb="FF8DB4E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s>
  <cellStyleXfs count="2">
    <xf numFmtId="0" fontId="0" fillId="0" borderId="0"/>
    <xf numFmtId="9" fontId="2" fillId="0" borderId="0" applyFont="0" applyFill="0" applyBorder="0" applyAlignment="0" applyProtection="0"/>
  </cellStyleXfs>
  <cellXfs count="49">
    <xf numFmtId="0" fontId="0" fillId="0" borderId="0" xfId="0"/>
    <xf numFmtId="0" fontId="1" fillId="0" borderId="0" xfId="0" applyFont="1" applyAlignment="1">
      <alignment horizontal="center" wrapText="1"/>
    </xf>
    <xf numFmtId="0" fontId="0" fillId="0" borderId="0" xfId="0" applyAlignment="1">
      <alignment wrapText="1"/>
    </xf>
    <xf numFmtId="0" fontId="1" fillId="4" borderId="0" xfId="0" applyFont="1" applyFill="1" applyAlignment="1">
      <alignment horizontal="center" vertical="center" wrapText="1"/>
    </xf>
    <xf numFmtId="0" fontId="1" fillId="4" borderId="0" xfId="0" applyFont="1" applyFill="1" applyAlignment="1">
      <alignment horizontal="center"/>
    </xf>
    <xf numFmtId="0" fontId="1"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9" fontId="0" fillId="0" borderId="1" xfId="1" applyFont="1" applyBorder="1" applyAlignment="1">
      <alignment horizontal="center" vertical="center" wrapText="1"/>
    </xf>
    <xf numFmtId="0" fontId="3" fillId="4" borderId="1" xfId="0" applyFont="1" applyFill="1" applyBorder="1" applyAlignment="1">
      <alignment horizontal="center" vertical="center" wrapText="1"/>
    </xf>
    <xf numFmtId="0" fontId="4" fillId="0" borderId="0" xfId="0" applyFont="1" applyAlignment="1">
      <alignment horizontal="left" vertical="center"/>
    </xf>
    <xf numFmtId="9" fontId="0" fillId="0" borderId="0" xfId="0" applyNumberFormat="1"/>
    <xf numFmtId="0" fontId="0" fillId="0" borderId="0" xfId="0" pivotButton="1"/>
    <xf numFmtId="0" fontId="0" fillId="0" borderId="1" xfId="0" applyBorder="1"/>
    <xf numFmtId="0" fontId="5"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8" fillId="7" borderId="1" xfId="0" applyFont="1" applyFill="1" applyBorder="1" applyAlignment="1">
      <alignment horizontal="center" vertical="center"/>
    </xf>
    <xf numFmtId="0" fontId="13" fillId="6" borderId="1" xfId="0" applyFont="1" applyFill="1" applyBorder="1" applyAlignment="1">
      <alignment horizontal="center" vertical="center"/>
    </xf>
    <xf numFmtId="0" fontId="14" fillId="6"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9" fontId="0" fillId="0" borderId="4" xfId="1" applyFont="1" applyFill="1"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2"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1" xfId="0" applyNumberFormat="1" applyBorder="1"/>
    <xf numFmtId="0" fontId="0" fillId="0" borderId="1" xfId="0" applyBorder="1" applyAlignment="1">
      <alignment wrapText="1"/>
    </xf>
    <xf numFmtId="0" fontId="11" fillId="0" borderId="1" xfId="0" applyFont="1" applyBorder="1" applyAlignment="1">
      <alignment horizontal="center" wrapText="1"/>
    </xf>
    <xf numFmtId="0" fontId="5" fillId="0" borderId="1" xfId="0" applyFont="1" applyBorder="1" applyAlignment="1">
      <alignment wrapText="1"/>
    </xf>
    <xf numFmtId="0" fontId="7"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9"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9"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17" fillId="0" borderId="0" xfId="0" applyFont="1" applyFill="1" applyAlignment="1">
      <alignment horizontal="center"/>
    </xf>
  </cellXfs>
  <cellStyles count="2">
    <cellStyle name="Normal" xfId="0" builtinId="0"/>
    <cellStyle name="Percent" xfId="1" builtinId="5"/>
  </cellStyles>
  <dxfs count="27">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B9CCE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59996337778862885"/>
        </patternFill>
      </fill>
    </dxf>
    <dxf>
      <fill>
        <patternFill>
          <bgColor rgb="FFFFC7CE"/>
        </patternFill>
      </fill>
    </dxf>
    <dxf>
      <font>
        <color rgb="FF006100"/>
      </font>
      <fill>
        <patternFill>
          <bgColor rgb="FFC6EFCE"/>
        </patternFill>
      </fill>
    </dxf>
    <dxf>
      <fill>
        <patternFill>
          <bgColor rgb="FFB9CCE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8DB4E2"/>
      <color rgb="FFB9CCE5"/>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[OCH_RCH_2023_2025_Combined_Master_V11.xlsx]Sheet2!PivotTable1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'word_count_reduction_percentage' by 'gpt_decision_type'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Sheet2!$D$4</c:f>
              <c:strCache>
                <c:ptCount val="1"/>
                <c:pt idx="0">
                  <c:v>Total</c:v>
                </c:pt>
              </c:strCache>
            </c:strRef>
          </c:tx>
          <c:spPr>
            <a:solidFill>
              <a:schemeClr val="accent1"/>
            </a:solidFill>
            <a:ln>
              <a:noFill/>
            </a:ln>
            <a:effectLst/>
          </c:spPr>
          <c:invertIfNegative val="0"/>
          <c:cat>
            <c:strRef>
              <c:f>Sheet2!$C$5:$C$8</c:f>
              <c:strCache>
                <c:ptCount val="3"/>
                <c:pt idx="0">
                  <c:v>Undertriaged</c:v>
                </c:pt>
                <c:pt idx="1">
                  <c:v>Correct</c:v>
                </c:pt>
                <c:pt idx="2">
                  <c:v>Overtriaged</c:v>
                </c:pt>
              </c:strCache>
            </c:strRef>
          </c:cat>
          <c:val>
            <c:numRef>
              <c:f>Sheet2!$D$5:$D$8</c:f>
              <c:numCache>
                <c:formatCode>0%</c:formatCode>
                <c:ptCount val="3"/>
                <c:pt idx="0">
                  <c:v>0.74954209584034748</c:v>
                </c:pt>
                <c:pt idx="1">
                  <c:v>0.74783668058312613</c:v>
                </c:pt>
                <c:pt idx="2">
                  <c:v>0.71498239681742215</c:v>
                </c:pt>
              </c:numCache>
            </c:numRef>
          </c:val>
          <c:extLst>
            <c:ext xmlns:c16="http://schemas.microsoft.com/office/drawing/2014/chart" uri="{C3380CC4-5D6E-409C-BE32-E72D297353CC}">
              <c16:uniqueId val="{00000000-3593-954C-A4B2-314FE3E77682}"/>
            </c:ext>
          </c:extLst>
        </c:ser>
        <c:dLbls>
          <c:showLegendKey val="0"/>
          <c:showVal val="0"/>
          <c:showCatName val="0"/>
          <c:showSerName val="0"/>
          <c:showPercent val="0"/>
          <c:showBubbleSize val="0"/>
        </c:dLbls>
        <c:gapWidth val="33"/>
        <c:overlap val="-30"/>
        <c:axId val="920391919"/>
        <c:axId val="890111183"/>
      </c:barChart>
      <c:catAx>
        <c:axId val="920391919"/>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gpt_decision_type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11183"/>
        <c:crosses val="autoZero"/>
        <c:auto val="1"/>
        <c:lblAlgn val="ctr"/>
        <c:lblOffset val="100"/>
        <c:noMultiLvlLbl val="0"/>
      </c:catAx>
      <c:valAx>
        <c:axId val="890111183"/>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word_count_reduction_percentage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391919"/>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[OCH_RCH_2023_2025_Combined_Master_V11.xlsx]Sheet2!PivotTable2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'word_count_reduction_percentage' by 'human_decision_type'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Sheet2!$D$24</c:f>
              <c:strCache>
                <c:ptCount val="1"/>
                <c:pt idx="0">
                  <c:v>Total</c:v>
                </c:pt>
              </c:strCache>
            </c:strRef>
          </c:tx>
          <c:spPr>
            <a:solidFill>
              <a:schemeClr val="accent1"/>
            </a:solidFill>
            <a:ln>
              <a:noFill/>
            </a:ln>
            <a:effectLst/>
          </c:spPr>
          <c:invertIfNegative val="0"/>
          <c:cat>
            <c:strRef>
              <c:f>Sheet2!$C$25:$C$28</c:f>
              <c:strCache>
                <c:ptCount val="3"/>
                <c:pt idx="0">
                  <c:v>Undertriaged</c:v>
                </c:pt>
                <c:pt idx="1">
                  <c:v>Correct</c:v>
                </c:pt>
                <c:pt idx="2">
                  <c:v>Overtriaged</c:v>
                </c:pt>
              </c:strCache>
            </c:strRef>
          </c:cat>
          <c:val>
            <c:numRef>
              <c:f>Sheet2!$D$25:$D$28</c:f>
              <c:numCache>
                <c:formatCode>0%</c:formatCode>
                <c:ptCount val="3"/>
                <c:pt idx="0">
                  <c:v>0.77017817248633869</c:v>
                </c:pt>
                <c:pt idx="1">
                  <c:v>0.75153320957018199</c:v>
                </c:pt>
                <c:pt idx="2">
                  <c:v>0.70479445480522773</c:v>
                </c:pt>
              </c:numCache>
            </c:numRef>
          </c:val>
          <c:extLst>
            <c:ext xmlns:c16="http://schemas.microsoft.com/office/drawing/2014/chart" uri="{C3380CC4-5D6E-409C-BE32-E72D297353CC}">
              <c16:uniqueId val="{00000000-1B24-F74C-9A52-3AAF83DBDF50}"/>
            </c:ext>
          </c:extLst>
        </c:ser>
        <c:dLbls>
          <c:showLegendKey val="0"/>
          <c:showVal val="0"/>
          <c:showCatName val="0"/>
          <c:showSerName val="0"/>
          <c:showPercent val="0"/>
          <c:showBubbleSize val="0"/>
        </c:dLbls>
        <c:gapWidth val="33"/>
        <c:overlap val="-30"/>
        <c:axId val="1033372751"/>
        <c:axId val="1032865167"/>
      </c:barChart>
      <c:catAx>
        <c:axId val="103337275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human_decision_type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65167"/>
        <c:crosses val="autoZero"/>
        <c:auto val="1"/>
        <c:lblAlgn val="ctr"/>
        <c:lblOffset val="100"/>
        <c:noMultiLvlLbl val="0"/>
      </c:catAx>
      <c:valAx>
        <c:axId val="1032865167"/>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word_count_reduction_percentage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372751"/>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0</xdr:rowOff>
    </xdr:from>
    <xdr:to>
      <xdr:col>10</xdr:col>
      <xdr:colOff>444500</xdr:colOff>
      <xdr:row>17</xdr:row>
      <xdr:rowOff>76200</xdr:rowOff>
    </xdr:to>
    <xdr:graphicFrame macro="">
      <xdr:nvGraphicFramePr>
        <xdr:cNvPr id="2" name="Chart 1" descr="Chart type: Clustered Bar. 'word_count_reduction_percentage' by 'gpt_decision_type'&#10;&#10;Description automatically generated">
          <a:extLst>
            <a:ext uri="{FF2B5EF4-FFF2-40B4-BE49-F238E27FC236}">
              <a16:creationId xmlns:a16="http://schemas.microsoft.com/office/drawing/2014/main" id="{73EA504B-8FB6-F9DC-54CF-7364DF038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10</xdr:col>
      <xdr:colOff>444500</xdr:colOff>
      <xdr:row>37</xdr:row>
      <xdr:rowOff>76200</xdr:rowOff>
    </xdr:to>
    <xdr:graphicFrame macro="">
      <xdr:nvGraphicFramePr>
        <xdr:cNvPr id="3" name="Chart 2" descr="Chart type: Clustered Bar. 'word_count_reduction_percentage' by 'human_decision_type'&#10;&#10;Description automatically generated">
          <a:extLst>
            <a:ext uri="{FF2B5EF4-FFF2-40B4-BE49-F238E27FC236}">
              <a16:creationId xmlns:a16="http://schemas.microsoft.com/office/drawing/2014/main" id="{6881C410-F2F0-1247-9830-49677AD98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Microsoft Office User" refreshedDate="45848.937246064816" createdVersion="8" refreshedVersion="8" minRefreshableVersion="3" recordCount="309" xr:uid="{EB881E20-690F-184D-AB6C-6EBDE6904866}">
  <cacheSource type="worksheet">
    <worksheetSource ref="A1:AY310" sheet="Sheet1"/>
  </cacheSource>
  <cacheFields count="43">
    <cacheField name="audio_file" numFmtId="0">
      <sharedItems containsSemiMixedTypes="0" containsString="0" containsNumber="1" containsInteger="1" minValue="1009" maxValue="56813593"/>
    </cacheField>
    <cacheField name="id" numFmtId="0">
      <sharedItems containsString="0" containsBlank="1" containsNumber="1" containsInteger="1" minValue="8031004" maxValue="80893833"/>
    </cacheField>
    <cacheField name="site" numFmtId="0">
      <sharedItems/>
    </cacheField>
    <cacheField name="whisper_transcript" numFmtId="0">
      <sharedItems longText="1"/>
    </cacheField>
    <cacheField name="whisper_transcript_word_count" numFmtId="0">
      <sharedItems containsSemiMixedTypes="0" containsString="0" containsNumber="1" containsInteger="1" minValue="22" maxValue="770"/>
    </cacheField>
    <cacheField name="green_essential" numFmtId="0">
      <sharedItems containsBlank="1" longText="1"/>
    </cacheField>
    <cacheField name="green_essential_word_count" numFmtId="0">
      <sharedItems containsSemiMixedTypes="0" containsString="0" containsNumber="1" containsInteger="1" minValue="0" maxValue="132"/>
    </cacheField>
    <cacheField name="word_count_reduction_percentage" numFmtId="9">
      <sharedItems containsSemiMixedTypes="0" containsString="0" containsNumber="1" minValue="7.6923076923076927E-2" maxValue="1"/>
    </cacheField>
    <cacheField name="iss" numFmtId="0">
      <sharedItems containsSemiMixedTypes="0" containsString="0" containsNumber="1" containsInteger="1" minValue="0" maxValue="59"/>
    </cacheField>
    <cacheField name="iss_level" numFmtId="0">
      <sharedItems containsSemiMixedTypes="0" containsString="0" containsNumber="1" containsInteger="1" minValue="1" maxValue="2"/>
    </cacheField>
    <cacheField name="human_level" numFmtId="0">
      <sharedItems containsSemiMixedTypes="0" containsString="0" containsNumber="1" containsInteger="1" minValue="1" maxValue="5"/>
    </cacheField>
    <cacheField name="human_decision_type" numFmtId="0">
      <sharedItems count="3">
        <s v="Correct"/>
        <s v="Overtriaged"/>
        <s v="Undertriaged"/>
      </sharedItems>
    </cacheField>
    <cacheField name="human_page" numFmtId="0">
      <sharedItems containsBlank="1"/>
    </cacheField>
    <cacheField name="gpt4o_level" numFmtId="0">
      <sharedItems containsSemiMixedTypes="0" containsString="0" containsNumber="1" containsInteger="1" minValue="1" maxValue="2"/>
    </cacheField>
    <cacheField name="gpt_decision_type" numFmtId="0">
      <sharedItems count="3">
        <s v="Correct"/>
        <s v="Overtriaged"/>
        <s v="Undertriaged"/>
      </sharedItems>
    </cacheField>
    <cacheField name="gpt4o_page" numFmtId="0">
      <sharedItems longText="1"/>
    </cacheField>
    <cacheField name="Emergency_Identifier" numFmtId="0">
      <sharedItems containsSemiMixedTypes="0" containsString="0" containsNumber="1" containsInteger="1" minValue="1" maxValue="309"/>
    </cacheField>
    <cacheField name="gpt_moi_category" numFmtId="0">
      <sharedItems/>
    </cacheField>
    <cacheField name="gpt_moi_reasoning" numFmtId="0">
      <sharedItems/>
    </cacheField>
    <cacheField name="num_patients_gpt" numFmtId="0">
      <sharedItems containsSemiMixedTypes="0" containsString="0" containsNumber="1" containsInteger="1" minValue="1" maxValue="5"/>
    </cacheField>
    <cacheField name="exclusion_criteria" numFmtId="0">
      <sharedItems/>
    </cacheField>
    <cacheField name="gpt_entity_age" numFmtId="0">
      <sharedItems/>
    </cacheField>
    <cacheField name="gpt_entity_heart_rate" numFmtId="0">
      <sharedItems/>
    </cacheField>
    <cacheField name="gpt_entity_blood_pressure" numFmtId="0">
      <sharedItems/>
    </cacheField>
    <cacheField name="gpt_entity_respiratory_rate" numFmtId="0">
      <sharedItems/>
    </cacheField>
    <cacheField name="gpt_entity_gcs" numFmtId="0">
      <sharedItems/>
    </cacheField>
    <cacheField name="gpt_entity_mental_status" numFmtId="0">
      <sharedItems longText="1"/>
    </cacheField>
    <cacheField name="missing_entity_list" numFmtId="0">
      <sharedItems containsBlank="1"/>
    </cacheField>
    <cacheField name="gpt_entity_mechanism_of_injury" numFmtId="0">
      <sharedItems longText="1"/>
    </cacheField>
    <cacheField name="gpt_redacted_transcript_age" numFmtId="0">
      <sharedItems longText="1"/>
    </cacheField>
    <cacheField name="gpt_redacted_transcript_heart_rate" numFmtId="0">
      <sharedItems longText="1"/>
    </cacheField>
    <cacheField name="gpt_redacted_transcript_blood_pressure" numFmtId="0">
      <sharedItems longText="1"/>
    </cacheField>
    <cacheField name="gpt_redacted_transcript_respiratory_rate" numFmtId="0">
      <sharedItems longText="1"/>
    </cacheField>
    <cacheField name="gpt_redacted_transcript_gcs" numFmtId="0">
      <sharedItems longText="1"/>
    </cacheField>
    <cacheField name="gpt_redacted_transcript_mental_status" numFmtId="0">
      <sharedItems longText="1"/>
    </cacheField>
    <cacheField name="gpt_redacted_transcript_mechanism_of_injury" numFmtId="0">
      <sharedItems longText="1"/>
    </cacheField>
    <cacheField name="gpt4o_hybrid_redacted_level_age" numFmtId="0">
      <sharedItems containsSemiMixedTypes="0" containsString="0" containsNumber="1" containsInteger="1" minValue="1" maxValue="2"/>
    </cacheField>
    <cacheField name="gpt4o_hybrid_redacted_level_heart_rate" numFmtId="0">
      <sharedItems containsSemiMixedTypes="0" containsString="0" containsNumber="1" containsInteger="1" minValue="1" maxValue="2"/>
    </cacheField>
    <cacheField name="gpt4o_hybrid_redacted_level_blood_pressure" numFmtId="0">
      <sharedItems containsSemiMixedTypes="0" containsString="0" containsNumber="1" containsInteger="1" minValue="1" maxValue="2"/>
    </cacheField>
    <cacheField name="gpt4o_hybrid_redacted_level_respiratory_rate" numFmtId="0">
      <sharedItems containsSemiMixedTypes="0" containsString="0" containsNumber="1" containsInteger="1" minValue="1" maxValue="2"/>
    </cacheField>
    <cacheField name="gpt4o_hybrid_redacted_level_gcs" numFmtId="0">
      <sharedItems containsSemiMixedTypes="0" containsString="0" containsNumber="1" containsInteger="1" minValue="1" maxValue="2"/>
    </cacheField>
    <cacheField name="gpt4o_hybrid_redacted_level_mental_status" numFmtId="0">
      <sharedItems containsSemiMixedTypes="0" containsString="0" containsNumber="1" containsInteger="1" minValue="1" maxValue="2"/>
    </cacheField>
    <cacheField name="gpt4o_hybrid_redacted_level_mechanism_of_injury"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08EC80-CA00-4C47-9BBF-BEF693AA1267}"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C24:D28" firstHeaderRow="1" firstDataRow="1" firstDataCol="1"/>
  <pivotFields count="43">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4">
    <i>
      <x v="2"/>
    </i>
    <i>
      <x/>
    </i>
    <i>
      <x v="1"/>
    </i>
    <i t="grand">
      <x/>
    </i>
  </rowItems>
  <colItems count="1">
    <i/>
  </colItems>
  <dataFields count="1">
    <dataField name="Average of word_count_reduction_percentage" fld="7" subtotal="average" baseField="0" baseItem="0" numFmtId="9"/>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20E784-EC0D-4648-A763-8D84C511E04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C4:D8" firstHeaderRow="1" firstDataRow="1" firstDataCol="1"/>
  <pivotFields count="43">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4">
    <i>
      <x v="2"/>
    </i>
    <i>
      <x/>
    </i>
    <i>
      <x v="1"/>
    </i>
    <i t="grand">
      <x/>
    </i>
  </rowItems>
  <colItems count="1">
    <i/>
  </colItems>
  <dataFields count="1">
    <dataField name="Average of word_count_reduction_percentage" fld="7" subtotal="average" baseField="0"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73"/>
  <sheetViews>
    <sheetView tabSelected="1" zoomScale="35" zoomScaleNormal="70" workbookViewId="0">
      <pane ySplit="1" topLeftCell="A338" activePane="bottomLeft" state="frozen"/>
      <selection pane="bottomLeft" activeCell="O340" sqref="O340"/>
    </sheetView>
  </sheetViews>
  <sheetFormatPr baseColWidth="10" defaultColWidth="22.83203125" defaultRowHeight="44" customHeight="1" x14ac:dyDescent="0.2"/>
  <cols>
    <col min="2" max="3" width="10.1640625" customWidth="1"/>
    <col min="4" max="4" width="90.6640625" style="2" customWidth="1"/>
    <col min="5" max="5" width="10.1640625" customWidth="1"/>
    <col min="6" max="6" width="25.5" customWidth="1"/>
    <col min="7" max="7" width="10.1640625" customWidth="1"/>
    <col min="8" max="8" width="9.6640625" customWidth="1"/>
    <col min="9" max="9" width="10" customWidth="1"/>
    <col min="10" max="10" width="14.5" customWidth="1"/>
    <col min="11" max="11" width="15.83203125" customWidth="1"/>
    <col min="12" max="13" width="22.83203125" customWidth="1"/>
    <col min="14" max="14" width="16.6640625" customWidth="1"/>
    <col min="15" max="15" width="22.83203125" customWidth="1"/>
    <col min="16" max="17" width="21.6640625" customWidth="1"/>
    <col min="18" max="18" width="39" customWidth="1"/>
    <col min="19" max="19" width="22.83203125" style="2" customWidth="1"/>
    <col min="20" max="20" width="18.1640625" customWidth="1"/>
    <col min="21" max="21" width="22.83203125" style="17" customWidth="1"/>
    <col min="22" max="30" width="22.83203125" customWidth="1"/>
    <col min="31" max="31" width="22.83203125" style="2" customWidth="1"/>
    <col min="32" max="32" width="22.83203125" customWidth="1"/>
    <col min="35" max="35" width="28.6640625" customWidth="1"/>
    <col min="36" max="36" width="30.33203125" customWidth="1"/>
    <col min="37" max="37" width="31.33203125" customWidth="1"/>
    <col min="38" max="38" width="32.6640625" customWidth="1"/>
    <col min="40" max="40" width="34.1640625" customWidth="1"/>
    <col min="41" max="41" width="40.1640625" customWidth="1"/>
    <col min="42" max="43" width="32.6640625" customWidth="1"/>
    <col min="44" max="44" width="40.1640625" customWidth="1"/>
    <col min="45" max="45" width="39.33203125" customWidth="1"/>
    <col min="46" max="46" width="32.6640625" customWidth="1"/>
    <col min="47" max="47" width="38.83203125" customWidth="1"/>
    <col min="48" max="48" width="40.1640625" customWidth="1"/>
    <col min="49" max="49" width="39.5" customWidth="1"/>
  </cols>
  <sheetData>
    <row r="1" spans="1:54" s="4" customFormat="1" ht="44" customHeight="1" x14ac:dyDescent="0.2">
      <c r="A1" s="5" t="s">
        <v>0</v>
      </c>
      <c r="B1" s="5" t="s">
        <v>1</v>
      </c>
      <c r="C1" s="5" t="s">
        <v>2</v>
      </c>
      <c r="D1" s="5" t="s">
        <v>3</v>
      </c>
      <c r="E1" s="5" t="s">
        <v>3359</v>
      </c>
      <c r="F1" s="5" t="s">
        <v>6</v>
      </c>
      <c r="G1" s="5" t="s">
        <v>3360</v>
      </c>
      <c r="H1" s="5" t="s">
        <v>3363</v>
      </c>
      <c r="I1" s="10" t="s">
        <v>5114</v>
      </c>
      <c r="J1" s="10" t="s">
        <v>5115</v>
      </c>
      <c r="K1" s="10" t="s">
        <v>5378</v>
      </c>
      <c r="L1" s="5" t="s">
        <v>5</v>
      </c>
      <c r="M1" s="5" t="s">
        <v>34</v>
      </c>
      <c r="N1" s="5" t="s">
        <v>4</v>
      </c>
      <c r="O1" s="5" t="s">
        <v>3364</v>
      </c>
      <c r="P1" s="5" t="s">
        <v>7</v>
      </c>
      <c r="Q1" s="10" t="s">
        <v>3362</v>
      </c>
      <c r="R1" s="5" t="s">
        <v>3365</v>
      </c>
      <c r="S1" s="5" t="s">
        <v>3361</v>
      </c>
      <c r="T1" s="10" t="s">
        <v>3475</v>
      </c>
      <c r="U1" s="10" t="s">
        <v>3474</v>
      </c>
      <c r="V1" s="16" t="s">
        <v>3482</v>
      </c>
      <c r="W1" s="16" t="s">
        <v>3481</v>
      </c>
      <c r="X1" s="10" t="s">
        <v>3484</v>
      </c>
      <c r="Y1" s="10" t="s">
        <v>5408</v>
      </c>
      <c r="Z1" s="5" t="s">
        <v>8</v>
      </c>
      <c r="AA1" s="5" t="s">
        <v>9</v>
      </c>
      <c r="AB1" s="5" t="s">
        <v>10</v>
      </c>
      <c r="AC1" s="5" t="s">
        <v>11</v>
      </c>
      <c r="AD1" s="5" t="s">
        <v>12</v>
      </c>
      <c r="AE1" s="5" t="s">
        <v>13</v>
      </c>
      <c r="AF1" s="5" t="s">
        <v>14</v>
      </c>
      <c r="AG1" s="5" t="s">
        <v>15</v>
      </c>
      <c r="AH1" s="5" t="s">
        <v>16</v>
      </c>
      <c r="AI1" s="10" t="s">
        <v>17</v>
      </c>
      <c r="AJ1" s="5" t="s">
        <v>18</v>
      </c>
      <c r="AK1" s="5" t="s">
        <v>19</v>
      </c>
      <c r="AL1" s="5" t="s">
        <v>3366</v>
      </c>
      <c r="AM1" s="19" t="s">
        <v>20</v>
      </c>
      <c r="AN1" s="19" t="s">
        <v>21</v>
      </c>
      <c r="AO1" s="19" t="s">
        <v>22</v>
      </c>
      <c r="AP1" s="19" t="s">
        <v>23</v>
      </c>
      <c r="AQ1" s="19" t="s">
        <v>24</v>
      </c>
      <c r="AR1" s="19" t="s">
        <v>25</v>
      </c>
      <c r="AS1" s="19" t="s">
        <v>26</v>
      </c>
      <c r="AT1" s="5" t="s">
        <v>27</v>
      </c>
      <c r="AU1" s="5" t="s">
        <v>28</v>
      </c>
      <c r="AV1" s="5" t="s">
        <v>29</v>
      </c>
      <c r="AW1" s="5" t="s">
        <v>30</v>
      </c>
      <c r="AX1" s="5" t="s">
        <v>31</v>
      </c>
      <c r="AY1" s="5" t="s">
        <v>32</v>
      </c>
      <c r="AZ1" s="5" t="s">
        <v>33</v>
      </c>
      <c r="BA1" s="1"/>
      <c r="BB1" s="3"/>
    </row>
    <row r="2" spans="1:54" ht="44" customHeight="1" x14ac:dyDescent="0.2">
      <c r="A2" s="6">
        <v>42508427</v>
      </c>
      <c r="B2" s="6"/>
      <c r="C2" s="7" t="s">
        <v>35</v>
      </c>
      <c r="D2" s="6" t="s">
        <v>36</v>
      </c>
      <c r="E2" s="6">
        <f t="shared" ref="E2:E65" si="0">IF(LEN(TRIM(D2))=0, 0, LEN(TRIM(D2)) - LEN(SUBSTITUTE(D2, " ", "")) + 1)</f>
        <v>137</v>
      </c>
      <c r="F2" s="6" t="s">
        <v>37</v>
      </c>
      <c r="G2" s="6">
        <f t="shared" ref="G2:G65" si="1">IF(LEN(TRIM(F2))=0, 0, LEN(TRIM(F2)) - LEN(SUBSTITUTE(F2, " ", "")) + 1)</f>
        <v>41</v>
      </c>
      <c r="H2" s="9">
        <f t="shared" ref="H2:H65" si="2">((E2-G2)/E2)</f>
        <v>0.7007299270072993</v>
      </c>
      <c r="I2" s="6" t="s">
        <v>5116</v>
      </c>
      <c r="J2" s="6">
        <v>3</v>
      </c>
      <c r="K2" s="9">
        <f t="shared" ref="K2:K65" si="3">J2/E2</f>
        <v>2.1897810218978103E-2</v>
      </c>
      <c r="L2" s="6">
        <v>5</v>
      </c>
      <c r="M2" s="6">
        <v>2</v>
      </c>
      <c r="N2" s="6">
        <v>2</v>
      </c>
      <c r="O2" s="6" t="str">
        <f t="shared" ref="O2:O65" si="4">IF(N2=M2, "Correct", IF(N2=1, "Overtriaged", "Undertriaged"))</f>
        <v>Correct</v>
      </c>
      <c r="P2" s="6"/>
      <c r="Q2" s="6">
        <v>2</v>
      </c>
      <c r="R2" s="6" t="str">
        <f t="shared" ref="R2:R65" si="5">IF(Q2=M2, "Correct", IF(Q2=1, "Overtriaged", "Undertriaged"))</f>
        <v>Correct</v>
      </c>
      <c r="S2" s="6" t="s">
        <v>3542</v>
      </c>
      <c r="T2" s="14">
        <v>2</v>
      </c>
      <c r="U2" s="6" t="str">
        <f t="shared" ref="U2:U65" si="6">IF(T2=M2, "Correct", IF(T2=1, "Overtriaged", "Undertriaged"))</f>
        <v>Correct</v>
      </c>
      <c r="V2" s="15">
        <v>2</v>
      </c>
      <c r="W2" s="15" t="str">
        <f t="shared" ref="W2:W65" si="7">IF(V2=M2, "Correct", IF(V2=1, "Overtriaged", "Undertriaged"))</f>
        <v>Correct</v>
      </c>
      <c r="X2" s="14">
        <v>2</v>
      </c>
      <c r="Y2" s="14" t="str">
        <f>IF(X2=M2, "Correct", IF(X2=1, "Overtriaged", "Undertriaged"))</f>
        <v>Correct</v>
      </c>
      <c r="Z2" s="6">
        <v>1</v>
      </c>
      <c r="AA2" s="6" t="s">
        <v>38</v>
      </c>
      <c r="AB2" s="6" t="s">
        <v>39</v>
      </c>
      <c r="AC2" s="6">
        <v>1</v>
      </c>
      <c r="AD2" s="6" t="s">
        <v>40</v>
      </c>
      <c r="AE2" s="6" t="s">
        <v>3853</v>
      </c>
      <c r="AF2" s="6" t="s">
        <v>42</v>
      </c>
      <c r="AG2" s="6" t="s">
        <v>43</v>
      </c>
      <c r="AH2" s="6" t="s">
        <v>3854</v>
      </c>
      <c r="AI2" s="6" t="s">
        <v>44</v>
      </c>
      <c r="AJ2" s="6" t="s">
        <v>45</v>
      </c>
      <c r="AK2" s="6" t="s">
        <v>46</v>
      </c>
      <c r="AL2" s="6" t="s">
        <v>3477</v>
      </c>
      <c r="AM2" s="6" t="s">
        <v>4588</v>
      </c>
      <c r="AN2" s="6" t="s">
        <v>47</v>
      </c>
      <c r="AO2" s="6" t="s">
        <v>48</v>
      </c>
      <c r="AP2" s="6" t="s">
        <v>4589</v>
      </c>
      <c r="AQ2" s="21" t="s">
        <v>36</v>
      </c>
      <c r="AR2" s="6" t="s">
        <v>49</v>
      </c>
      <c r="AS2" s="6" t="s">
        <v>50</v>
      </c>
      <c r="AT2" s="14">
        <v>2</v>
      </c>
      <c r="AU2" s="14">
        <v>2</v>
      </c>
      <c r="AV2" s="14">
        <v>2</v>
      </c>
      <c r="AW2" s="14">
        <v>2</v>
      </c>
      <c r="AX2" s="14">
        <v>2</v>
      </c>
      <c r="AY2" s="14">
        <v>2</v>
      </c>
      <c r="AZ2" s="14">
        <v>2</v>
      </c>
      <c r="BA2" s="2"/>
    </row>
    <row r="3" spans="1:54" ht="44" customHeight="1" x14ac:dyDescent="0.2">
      <c r="A3" s="6">
        <v>42597044</v>
      </c>
      <c r="B3" s="6"/>
      <c r="C3" s="7" t="s">
        <v>35</v>
      </c>
      <c r="D3" s="6" t="s">
        <v>51</v>
      </c>
      <c r="E3" s="6">
        <f t="shared" si="0"/>
        <v>252</v>
      </c>
      <c r="F3" s="6" t="s">
        <v>52</v>
      </c>
      <c r="G3" s="6">
        <f t="shared" si="1"/>
        <v>125</v>
      </c>
      <c r="H3" s="9">
        <f t="shared" si="2"/>
        <v>0.50396825396825395</v>
      </c>
      <c r="I3" s="6" t="s">
        <v>5117</v>
      </c>
      <c r="J3" s="6">
        <v>5</v>
      </c>
      <c r="K3" s="9">
        <f t="shared" si="3"/>
        <v>1.984126984126984E-2</v>
      </c>
      <c r="L3" s="6">
        <v>1</v>
      </c>
      <c r="M3" s="6">
        <v>2</v>
      </c>
      <c r="N3" s="6">
        <v>2</v>
      </c>
      <c r="O3" s="6" t="str">
        <f t="shared" si="4"/>
        <v>Correct</v>
      </c>
      <c r="P3" s="6"/>
      <c r="Q3" s="6">
        <v>2</v>
      </c>
      <c r="R3" s="6" t="str">
        <f t="shared" si="5"/>
        <v>Correct</v>
      </c>
      <c r="S3" s="6" t="s">
        <v>3543</v>
      </c>
      <c r="T3" s="14">
        <v>2</v>
      </c>
      <c r="U3" s="6" t="str">
        <f t="shared" si="6"/>
        <v>Correct</v>
      </c>
      <c r="V3" s="15">
        <v>1</v>
      </c>
      <c r="W3" s="15" t="str">
        <f t="shared" si="7"/>
        <v>Overtriaged</v>
      </c>
      <c r="X3" s="14">
        <v>2</v>
      </c>
      <c r="Y3" s="14" t="str">
        <f t="shared" ref="Y3:Y66" si="8">IF(X3=M3, "Correct", IF(X3=1, "Overtriaged", "Undertriaged"))</f>
        <v>Correct</v>
      </c>
      <c r="Z3" s="6">
        <v>2</v>
      </c>
      <c r="AA3" s="6" t="s">
        <v>53</v>
      </c>
      <c r="AB3" s="6" t="s">
        <v>54</v>
      </c>
      <c r="AC3" s="6">
        <v>1</v>
      </c>
      <c r="AD3" s="6" t="s">
        <v>40</v>
      </c>
      <c r="AE3" s="6" t="s">
        <v>55</v>
      </c>
      <c r="AF3" s="6" t="s">
        <v>56</v>
      </c>
      <c r="AG3" s="6" t="s">
        <v>57</v>
      </c>
      <c r="AH3" s="6" t="s">
        <v>3855</v>
      </c>
      <c r="AI3" s="6" t="s">
        <v>3367</v>
      </c>
      <c r="AJ3" s="6" t="s">
        <v>58</v>
      </c>
      <c r="AK3" s="6" t="s">
        <v>59</v>
      </c>
      <c r="AL3" s="6" t="s">
        <v>3477</v>
      </c>
      <c r="AM3" s="6" t="s">
        <v>60</v>
      </c>
      <c r="AN3" s="6" t="s">
        <v>61</v>
      </c>
      <c r="AO3" s="6" t="s">
        <v>62</v>
      </c>
      <c r="AP3" s="6" t="s">
        <v>4590</v>
      </c>
      <c r="AQ3" s="21" t="s">
        <v>4397</v>
      </c>
      <c r="AR3" s="6" t="s">
        <v>63</v>
      </c>
      <c r="AS3" s="6" t="s">
        <v>64</v>
      </c>
      <c r="AT3" s="14">
        <v>2</v>
      </c>
      <c r="AU3" s="14">
        <v>2</v>
      </c>
      <c r="AV3" s="14">
        <v>2</v>
      </c>
      <c r="AW3" s="14">
        <v>2</v>
      </c>
      <c r="AX3" s="14">
        <v>2</v>
      </c>
      <c r="AY3" s="14">
        <v>2</v>
      </c>
      <c r="AZ3" s="14">
        <v>2</v>
      </c>
      <c r="BA3" s="2"/>
    </row>
    <row r="4" spans="1:54" ht="44" customHeight="1" x14ac:dyDescent="0.2">
      <c r="A4" s="6">
        <v>42643949</v>
      </c>
      <c r="B4" s="6"/>
      <c r="C4" s="7" t="s">
        <v>35</v>
      </c>
      <c r="D4" s="6" t="s">
        <v>65</v>
      </c>
      <c r="E4" s="6">
        <f t="shared" si="0"/>
        <v>286</v>
      </c>
      <c r="F4" s="6" t="s">
        <v>66</v>
      </c>
      <c r="G4" s="6">
        <f t="shared" si="1"/>
        <v>76</v>
      </c>
      <c r="H4" s="9">
        <f t="shared" si="2"/>
        <v>0.73426573426573427</v>
      </c>
      <c r="I4" s="6" t="s">
        <v>5118</v>
      </c>
      <c r="J4" s="6">
        <v>3</v>
      </c>
      <c r="K4" s="9">
        <f t="shared" si="3"/>
        <v>1.048951048951049E-2</v>
      </c>
      <c r="L4" s="6">
        <v>1</v>
      </c>
      <c r="M4" s="6">
        <v>2</v>
      </c>
      <c r="N4" s="6">
        <v>2</v>
      </c>
      <c r="O4" s="6" t="str">
        <f t="shared" si="4"/>
        <v>Correct</v>
      </c>
      <c r="P4" s="6"/>
      <c r="Q4" s="6">
        <v>1</v>
      </c>
      <c r="R4" s="6" t="str">
        <f t="shared" si="5"/>
        <v>Overtriaged</v>
      </c>
      <c r="S4" s="6" t="s">
        <v>3759</v>
      </c>
      <c r="T4" s="14">
        <v>2</v>
      </c>
      <c r="U4" s="6" t="str">
        <f t="shared" si="6"/>
        <v>Correct</v>
      </c>
      <c r="V4" s="15">
        <v>2</v>
      </c>
      <c r="W4" s="15" t="str">
        <f t="shared" si="7"/>
        <v>Correct</v>
      </c>
      <c r="X4" s="14">
        <v>2</v>
      </c>
      <c r="Y4" s="14" t="str">
        <f t="shared" si="8"/>
        <v>Correct</v>
      </c>
      <c r="Z4" s="6">
        <v>3</v>
      </c>
      <c r="AA4" s="6" t="s">
        <v>67</v>
      </c>
      <c r="AB4" s="6" t="s">
        <v>68</v>
      </c>
      <c r="AC4" s="6">
        <v>1</v>
      </c>
      <c r="AD4" s="6" t="s">
        <v>40</v>
      </c>
      <c r="AE4" s="6" t="s">
        <v>69</v>
      </c>
      <c r="AF4" s="6" t="s">
        <v>70</v>
      </c>
      <c r="AG4" s="6" t="s">
        <v>71</v>
      </c>
      <c r="AH4" s="6" t="s">
        <v>72</v>
      </c>
      <c r="AI4" s="6" t="s">
        <v>3368</v>
      </c>
      <c r="AJ4" s="6" t="s">
        <v>3856</v>
      </c>
      <c r="AK4" s="6" t="s">
        <v>73</v>
      </c>
      <c r="AL4" s="6" t="s">
        <v>3477</v>
      </c>
      <c r="AM4" s="6" t="s">
        <v>74</v>
      </c>
      <c r="AN4" s="6" t="s">
        <v>75</v>
      </c>
      <c r="AO4" s="6" t="s">
        <v>76</v>
      </c>
      <c r="AP4" s="6" t="s">
        <v>77</v>
      </c>
      <c r="AQ4" s="21" t="s">
        <v>4398</v>
      </c>
      <c r="AR4" s="6" t="s">
        <v>4591</v>
      </c>
      <c r="AS4" s="6" t="s">
        <v>78</v>
      </c>
      <c r="AT4" s="14">
        <v>2</v>
      </c>
      <c r="AU4" s="14">
        <v>1</v>
      </c>
      <c r="AV4" s="14">
        <v>1</v>
      </c>
      <c r="AW4" s="14">
        <v>2</v>
      </c>
      <c r="AX4" s="14">
        <v>2</v>
      </c>
      <c r="AY4" s="14">
        <v>2</v>
      </c>
      <c r="AZ4" s="14">
        <v>1</v>
      </c>
      <c r="BA4" s="2"/>
    </row>
    <row r="5" spans="1:54" ht="44" customHeight="1" x14ac:dyDescent="0.2">
      <c r="A5" s="6">
        <v>42711670</v>
      </c>
      <c r="B5" s="6"/>
      <c r="C5" s="7" t="s">
        <v>35</v>
      </c>
      <c r="D5" s="6" t="s">
        <v>79</v>
      </c>
      <c r="E5" s="6">
        <f t="shared" si="0"/>
        <v>69</v>
      </c>
      <c r="F5" s="6" t="s">
        <v>80</v>
      </c>
      <c r="G5" s="6">
        <f t="shared" si="1"/>
        <v>47</v>
      </c>
      <c r="H5" s="9">
        <f t="shared" si="2"/>
        <v>0.3188405797101449</v>
      </c>
      <c r="I5" s="6"/>
      <c r="J5" s="6">
        <v>0</v>
      </c>
      <c r="K5" s="9">
        <f t="shared" si="3"/>
        <v>0</v>
      </c>
      <c r="L5" s="6">
        <v>1</v>
      </c>
      <c r="M5" s="6">
        <v>2</v>
      </c>
      <c r="N5" s="6">
        <v>1</v>
      </c>
      <c r="O5" s="6" t="str">
        <f t="shared" si="4"/>
        <v>Overtriaged</v>
      </c>
      <c r="P5" s="6"/>
      <c r="Q5" s="6">
        <v>2</v>
      </c>
      <c r="R5" s="6" t="str">
        <f t="shared" si="5"/>
        <v>Correct</v>
      </c>
      <c r="S5" s="6" t="s">
        <v>3760</v>
      </c>
      <c r="T5" s="14">
        <v>2</v>
      </c>
      <c r="U5" s="6" t="str">
        <f t="shared" si="6"/>
        <v>Correct</v>
      </c>
      <c r="V5" s="15">
        <v>1</v>
      </c>
      <c r="W5" s="15" t="str">
        <f t="shared" si="7"/>
        <v>Overtriaged</v>
      </c>
      <c r="X5" s="14">
        <v>2</v>
      </c>
      <c r="Y5" s="14" t="str">
        <f t="shared" si="8"/>
        <v>Correct</v>
      </c>
      <c r="Z5" s="6">
        <v>4</v>
      </c>
      <c r="AA5" s="6" t="s">
        <v>81</v>
      </c>
      <c r="AB5" s="6" t="s">
        <v>82</v>
      </c>
      <c r="AC5" s="6">
        <v>1</v>
      </c>
      <c r="AD5" s="6" t="s">
        <v>40</v>
      </c>
      <c r="AE5" s="6" t="s">
        <v>83</v>
      </c>
      <c r="AF5" s="6" t="s">
        <v>84</v>
      </c>
      <c r="AG5" s="6" t="s">
        <v>85</v>
      </c>
      <c r="AH5" s="6" t="s">
        <v>86</v>
      </c>
      <c r="AI5" s="6" t="s">
        <v>44</v>
      </c>
      <c r="AJ5" s="6" t="s">
        <v>44</v>
      </c>
      <c r="AK5" s="6" t="s">
        <v>87</v>
      </c>
      <c r="AL5" s="6" t="s">
        <v>5098</v>
      </c>
      <c r="AM5" s="6" t="s">
        <v>88</v>
      </c>
      <c r="AN5" s="6" t="s">
        <v>89</v>
      </c>
      <c r="AO5" s="6" t="s">
        <v>90</v>
      </c>
      <c r="AP5" s="6" t="s">
        <v>91</v>
      </c>
      <c r="AQ5" s="21" t="s">
        <v>79</v>
      </c>
      <c r="AR5" s="6" t="s">
        <v>79</v>
      </c>
      <c r="AS5" s="6" t="s">
        <v>92</v>
      </c>
      <c r="AT5" s="14">
        <v>2</v>
      </c>
      <c r="AU5" s="14">
        <v>2</v>
      </c>
      <c r="AV5" s="14">
        <v>2</v>
      </c>
      <c r="AW5" s="14">
        <v>2</v>
      </c>
      <c r="AX5" s="14">
        <v>2</v>
      </c>
      <c r="AY5" s="14">
        <v>2</v>
      </c>
      <c r="AZ5" s="14">
        <v>2</v>
      </c>
      <c r="BA5" s="2"/>
    </row>
    <row r="6" spans="1:54" ht="44" customHeight="1" x14ac:dyDescent="0.2">
      <c r="A6" s="6">
        <v>42810834</v>
      </c>
      <c r="B6" s="6"/>
      <c r="C6" s="7" t="s">
        <v>35</v>
      </c>
      <c r="D6" s="6" t="s">
        <v>93</v>
      </c>
      <c r="E6" s="6">
        <f t="shared" si="0"/>
        <v>72</v>
      </c>
      <c r="F6" s="6" t="s">
        <v>94</v>
      </c>
      <c r="G6" s="6">
        <f t="shared" si="1"/>
        <v>20</v>
      </c>
      <c r="H6" s="9">
        <f t="shared" si="2"/>
        <v>0.72222222222222221</v>
      </c>
      <c r="I6" s="6"/>
      <c r="J6" s="6">
        <v>0</v>
      </c>
      <c r="K6" s="9">
        <f t="shared" si="3"/>
        <v>0</v>
      </c>
      <c r="L6" s="6">
        <v>5</v>
      </c>
      <c r="M6" s="6">
        <v>2</v>
      </c>
      <c r="N6" s="6">
        <v>1</v>
      </c>
      <c r="O6" s="6" t="str">
        <f t="shared" si="4"/>
        <v>Overtriaged</v>
      </c>
      <c r="P6" s="6"/>
      <c r="Q6" s="6">
        <v>1</v>
      </c>
      <c r="R6" s="6" t="str">
        <f t="shared" si="5"/>
        <v>Overtriaged</v>
      </c>
      <c r="S6" s="6" t="s">
        <v>3761</v>
      </c>
      <c r="T6" s="14">
        <v>1</v>
      </c>
      <c r="U6" s="6" t="str">
        <f t="shared" si="6"/>
        <v>Overtriaged</v>
      </c>
      <c r="V6" s="15">
        <v>1</v>
      </c>
      <c r="W6" s="15" t="str">
        <f t="shared" si="7"/>
        <v>Overtriaged</v>
      </c>
      <c r="X6" s="14">
        <v>1</v>
      </c>
      <c r="Y6" s="14" t="str">
        <f t="shared" si="8"/>
        <v>Overtriaged</v>
      </c>
      <c r="Z6" s="6">
        <v>5</v>
      </c>
      <c r="AA6" s="6" t="s">
        <v>95</v>
      </c>
      <c r="AB6" s="6" t="s">
        <v>96</v>
      </c>
      <c r="AC6" s="6">
        <v>1</v>
      </c>
      <c r="AD6" s="6" t="s">
        <v>40</v>
      </c>
      <c r="AE6" s="6" t="s">
        <v>97</v>
      </c>
      <c r="AF6" s="6" t="s">
        <v>98</v>
      </c>
      <c r="AG6" s="6" t="s">
        <v>99</v>
      </c>
      <c r="AH6" s="6" t="s">
        <v>44</v>
      </c>
      <c r="AI6" s="6" t="s">
        <v>44</v>
      </c>
      <c r="AJ6" s="6" t="s">
        <v>44</v>
      </c>
      <c r="AK6" s="6" t="s">
        <v>100</v>
      </c>
      <c r="AL6" s="6" t="s">
        <v>5099</v>
      </c>
      <c r="AM6" s="6" t="s">
        <v>101</v>
      </c>
      <c r="AN6" s="6" t="s">
        <v>102</v>
      </c>
      <c r="AO6" s="6" t="s">
        <v>103</v>
      </c>
      <c r="AP6" s="6" t="s">
        <v>93</v>
      </c>
      <c r="AQ6" s="21" t="s">
        <v>93</v>
      </c>
      <c r="AR6" s="6" t="s">
        <v>93</v>
      </c>
      <c r="AS6" s="6" t="s">
        <v>104</v>
      </c>
      <c r="AT6" s="14">
        <v>1</v>
      </c>
      <c r="AU6" s="14">
        <v>1</v>
      </c>
      <c r="AV6" s="14">
        <v>1</v>
      </c>
      <c r="AW6" s="14">
        <v>1</v>
      </c>
      <c r="AX6" s="14">
        <v>1</v>
      </c>
      <c r="AY6" s="14">
        <v>1</v>
      </c>
      <c r="AZ6" s="14">
        <v>2</v>
      </c>
      <c r="BA6" s="2"/>
    </row>
    <row r="7" spans="1:54" ht="44" customHeight="1" x14ac:dyDescent="0.2">
      <c r="A7" s="6">
        <v>42844290</v>
      </c>
      <c r="B7" s="6"/>
      <c r="C7" s="7" t="s">
        <v>35</v>
      </c>
      <c r="D7" s="6" t="s">
        <v>105</v>
      </c>
      <c r="E7" s="6">
        <f t="shared" si="0"/>
        <v>163</v>
      </c>
      <c r="F7" s="6" t="s">
        <v>106</v>
      </c>
      <c r="G7" s="6">
        <f t="shared" si="1"/>
        <v>91</v>
      </c>
      <c r="H7" s="9">
        <f t="shared" si="2"/>
        <v>0.44171779141104295</v>
      </c>
      <c r="I7" s="6" t="s">
        <v>5119</v>
      </c>
      <c r="J7" s="6">
        <v>1</v>
      </c>
      <c r="K7" s="9">
        <f t="shared" si="3"/>
        <v>6.1349693251533744E-3</v>
      </c>
      <c r="L7" s="6">
        <v>10</v>
      </c>
      <c r="M7" s="6">
        <v>2</v>
      </c>
      <c r="N7" s="6">
        <v>2</v>
      </c>
      <c r="O7" s="6" t="str">
        <f t="shared" si="4"/>
        <v>Correct</v>
      </c>
      <c r="P7" s="6"/>
      <c r="Q7" s="6">
        <v>1</v>
      </c>
      <c r="R7" s="6" t="str">
        <f t="shared" si="5"/>
        <v>Overtriaged</v>
      </c>
      <c r="S7" s="6" t="s">
        <v>3762</v>
      </c>
      <c r="T7" s="14">
        <v>1</v>
      </c>
      <c r="U7" s="6" t="str">
        <f t="shared" si="6"/>
        <v>Overtriaged</v>
      </c>
      <c r="V7" s="15">
        <v>1</v>
      </c>
      <c r="W7" s="15" t="str">
        <f t="shared" si="7"/>
        <v>Overtriaged</v>
      </c>
      <c r="X7" s="14">
        <v>1</v>
      </c>
      <c r="Y7" s="14" t="str">
        <f t="shared" si="8"/>
        <v>Overtriaged</v>
      </c>
      <c r="Z7" s="6">
        <v>6</v>
      </c>
      <c r="AA7" s="6" t="s">
        <v>107</v>
      </c>
      <c r="AB7" s="6" t="s">
        <v>108</v>
      </c>
      <c r="AC7" s="6">
        <v>1</v>
      </c>
      <c r="AD7" s="6" t="s">
        <v>40</v>
      </c>
      <c r="AE7" s="6" t="s">
        <v>3857</v>
      </c>
      <c r="AF7" s="6" t="s">
        <v>110</v>
      </c>
      <c r="AG7" s="6" t="s">
        <v>111</v>
      </c>
      <c r="AH7" s="6" t="s">
        <v>112</v>
      </c>
      <c r="AI7" s="6" t="s">
        <v>3369</v>
      </c>
      <c r="AJ7" s="6" t="s">
        <v>3858</v>
      </c>
      <c r="AK7" s="6" t="s">
        <v>3859</v>
      </c>
      <c r="AL7" s="6" t="s">
        <v>3477</v>
      </c>
      <c r="AM7" s="6" t="s">
        <v>4592</v>
      </c>
      <c r="AN7" s="6" t="s">
        <v>113</v>
      </c>
      <c r="AO7" s="6" t="s">
        <v>114</v>
      </c>
      <c r="AP7" s="6" t="s">
        <v>115</v>
      </c>
      <c r="AQ7" s="21" t="s">
        <v>4399</v>
      </c>
      <c r="AR7" s="6" t="s">
        <v>4593</v>
      </c>
      <c r="AS7" s="6" t="s">
        <v>4594</v>
      </c>
      <c r="AT7" s="14">
        <v>1</v>
      </c>
      <c r="AU7" s="14">
        <v>1</v>
      </c>
      <c r="AV7" s="14">
        <v>1</v>
      </c>
      <c r="AW7" s="14">
        <v>1</v>
      </c>
      <c r="AX7" s="14">
        <v>1</v>
      </c>
      <c r="AY7" s="14">
        <v>1</v>
      </c>
      <c r="AZ7" s="14">
        <v>1</v>
      </c>
      <c r="BA7" s="2"/>
    </row>
    <row r="8" spans="1:54" ht="44" customHeight="1" x14ac:dyDescent="0.2">
      <c r="A8" s="6">
        <v>42899455</v>
      </c>
      <c r="B8" s="6"/>
      <c r="C8" s="7" t="s">
        <v>35</v>
      </c>
      <c r="D8" s="6" t="s">
        <v>116</v>
      </c>
      <c r="E8" s="6">
        <f t="shared" si="0"/>
        <v>202</v>
      </c>
      <c r="F8" s="6"/>
      <c r="G8" s="6">
        <f t="shared" si="1"/>
        <v>0</v>
      </c>
      <c r="H8" s="9">
        <f t="shared" si="2"/>
        <v>1</v>
      </c>
      <c r="I8" s="6" t="s">
        <v>5120</v>
      </c>
      <c r="J8" s="6">
        <v>1</v>
      </c>
      <c r="K8" s="9">
        <f t="shared" si="3"/>
        <v>4.9504950495049506E-3</v>
      </c>
      <c r="L8" s="6">
        <v>2</v>
      </c>
      <c r="M8" s="6">
        <v>2</v>
      </c>
      <c r="N8" s="6">
        <v>2</v>
      </c>
      <c r="O8" s="6" t="str">
        <f t="shared" si="4"/>
        <v>Correct</v>
      </c>
      <c r="P8" s="6"/>
      <c r="Q8" s="6">
        <v>2</v>
      </c>
      <c r="R8" s="6" t="str">
        <f t="shared" si="5"/>
        <v>Correct</v>
      </c>
      <c r="S8" s="6" t="s">
        <v>117</v>
      </c>
      <c r="T8" s="14"/>
      <c r="U8" s="6" t="str">
        <f t="shared" si="6"/>
        <v>Undertriaged</v>
      </c>
      <c r="V8" s="15">
        <v>1</v>
      </c>
      <c r="W8" s="15" t="str">
        <f t="shared" si="7"/>
        <v>Overtriaged</v>
      </c>
      <c r="X8" s="14">
        <v>2</v>
      </c>
      <c r="Y8" s="14" t="str">
        <f t="shared" si="8"/>
        <v>Correct</v>
      </c>
      <c r="Z8" s="6">
        <v>7</v>
      </c>
      <c r="AA8" s="6" t="s">
        <v>118</v>
      </c>
      <c r="AB8" s="6" t="s">
        <v>119</v>
      </c>
      <c r="AC8" s="6">
        <v>2</v>
      </c>
      <c r="AD8" s="6" t="s">
        <v>120</v>
      </c>
      <c r="AE8" s="6" t="s">
        <v>121</v>
      </c>
      <c r="AF8" s="6" t="s">
        <v>44</v>
      </c>
      <c r="AG8" s="6" t="s">
        <v>44</v>
      </c>
      <c r="AH8" s="6" t="s">
        <v>44</v>
      </c>
      <c r="AI8" s="6" t="s">
        <v>44</v>
      </c>
      <c r="AJ8" s="6" t="s">
        <v>44</v>
      </c>
      <c r="AK8" s="6" t="s">
        <v>3860</v>
      </c>
      <c r="AL8" s="6" t="s">
        <v>5100</v>
      </c>
      <c r="AM8" s="6" t="s">
        <v>122</v>
      </c>
      <c r="AN8" s="6" t="s">
        <v>116</v>
      </c>
      <c r="AO8" s="6" t="s">
        <v>116</v>
      </c>
      <c r="AP8" s="6" t="s">
        <v>116</v>
      </c>
      <c r="AQ8" s="21" t="s">
        <v>116</v>
      </c>
      <c r="AR8" s="6" t="s">
        <v>116</v>
      </c>
      <c r="AS8" s="6" t="s">
        <v>4595</v>
      </c>
      <c r="AT8" s="14">
        <v>2</v>
      </c>
      <c r="AU8" s="14">
        <v>2</v>
      </c>
      <c r="AV8" s="14">
        <v>2</v>
      </c>
      <c r="AW8" s="14">
        <v>2</v>
      </c>
      <c r="AX8" s="14">
        <v>2</v>
      </c>
      <c r="AY8" s="14">
        <v>2</v>
      </c>
      <c r="AZ8" s="14">
        <v>2</v>
      </c>
      <c r="BA8" s="2"/>
    </row>
    <row r="9" spans="1:54" ht="44" customHeight="1" x14ac:dyDescent="0.2">
      <c r="A9" s="6">
        <v>42898107</v>
      </c>
      <c r="B9" s="6"/>
      <c r="C9" s="7" t="s">
        <v>35</v>
      </c>
      <c r="D9" s="6" t="s">
        <v>123</v>
      </c>
      <c r="E9" s="6">
        <f t="shared" si="0"/>
        <v>231</v>
      </c>
      <c r="F9" s="6" t="s">
        <v>124</v>
      </c>
      <c r="G9" s="6">
        <f t="shared" si="1"/>
        <v>82</v>
      </c>
      <c r="H9" s="9">
        <f t="shared" si="2"/>
        <v>0.64502164502164505</v>
      </c>
      <c r="I9" s="6" t="s">
        <v>5121</v>
      </c>
      <c r="J9" s="6">
        <v>2</v>
      </c>
      <c r="K9" s="9">
        <f t="shared" si="3"/>
        <v>8.658008658008658E-3</v>
      </c>
      <c r="L9" s="6">
        <v>5</v>
      </c>
      <c r="M9" s="6">
        <v>2</v>
      </c>
      <c r="N9" s="6">
        <v>2</v>
      </c>
      <c r="O9" s="6" t="str">
        <f t="shared" si="4"/>
        <v>Correct</v>
      </c>
      <c r="P9" s="6"/>
      <c r="Q9" s="6">
        <v>2</v>
      </c>
      <c r="R9" s="6" t="str">
        <f t="shared" si="5"/>
        <v>Correct</v>
      </c>
      <c r="S9" s="6" t="s">
        <v>3544</v>
      </c>
      <c r="T9" s="14">
        <v>2</v>
      </c>
      <c r="U9" s="6" t="str">
        <f t="shared" si="6"/>
        <v>Correct</v>
      </c>
      <c r="V9" s="15">
        <v>2</v>
      </c>
      <c r="W9" s="15" t="str">
        <f t="shared" si="7"/>
        <v>Correct</v>
      </c>
      <c r="X9" s="14">
        <v>2</v>
      </c>
      <c r="Y9" s="14" t="str">
        <f t="shared" si="8"/>
        <v>Correct</v>
      </c>
      <c r="Z9" s="6">
        <v>8</v>
      </c>
      <c r="AA9" s="6" t="s">
        <v>125</v>
      </c>
      <c r="AB9" s="6" t="s">
        <v>126</v>
      </c>
      <c r="AC9" s="6">
        <v>1</v>
      </c>
      <c r="AD9" s="6" t="s">
        <v>40</v>
      </c>
      <c r="AE9" s="6" t="s">
        <v>127</v>
      </c>
      <c r="AF9" s="6" t="s">
        <v>128</v>
      </c>
      <c r="AG9" s="6" t="s">
        <v>129</v>
      </c>
      <c r="AH9" s="6" t="s">
        <v>44</v>
      </c>
      <c r="AI9" s="6" t="s">
        <v>3370</v>
      </c>
      <c r="AJ9" s="6" t="s">
        <v>3861</v>
      </c>
      <c r="AK9" s="6" t="s">
        <v>3862</v>
      </c>
      <c r="AL9" s="6" t="s">
        <v>3476</v>
      </c>
      <c r="AM9" s="6" t="s">
        <v>130</v>
      </c>
      <c r="AN9" s="6" t="s">
        <v>131</v>
      </c>
      <c r="AO9" s="6" t="s">
        <v>132</v>
      </c>
      <c r="AP9" s="6" t="s">
        <v>123</v>
      </c>
      <c r="AQ9" s="21" t="s">
        <v>4400</v>
      </c>
      <c r="AR9" s="6" t="s">
        <v>4596</v>
      </c>
      <c r="AS9" s="6" t="s">
        <v>4597</v>
      </c>
      <c r="AT9" s="14">
        <v>2</v>
      </c>
      <c r="AU9" s="14">
        <v>2</v>
      </c>
      <c r="AV9" s="14">
        <v>2</v>
      </c>
      <c r="AW9" s="14">
        <v>2</v>
      </c>
      <c r="AX9" s="14">
        <v>2</v>
      </c>
      <c r="AY9" s="14">
        <v>2</v>
      </c>
      <c r="AZ9" s="14">
        <v>2</v>
      </c>
      <c r="BA9" s="2"/>
    </row>
    <row r="10" spans="1:54" ht="44" customHeight="1" x14ac:dyDescent="0.2">
      <c r="A10" s="6">
        <v>43173932</v>
      </c>
      <c r="B10" s="6"/>
      <c r="C10" s="7" t="s">
        <v>35</v>
      </c>
      <c r="D10" s="6" t="s">
        <v>133</v>
      </c>
      <c r="E10" s="6">
        <f t="shared" si="0"/>
        <v>140</v>
      </c>
      <c r="F10" s="6" t="s">
        <v>134</v>
      </c>
      <c r="G10" s="6">
        <f t="shared" si="1"/>
        <v>50</v>
      </c>
      <c r="H10" s="9">
        <f t="shared" si="2"/>
        <v>0.6428571428571429</v>
      </c>
      <c r="I10" s="6" t="s">
        <v>5122</v>
      </c>
      <c r="J10" s="6">
        <v>7</v>
      </c>
      <c r="K10" s="9">
        <f t="shared" si="3"/>
        <v>0.05</v>
      </c>
      <c r="L10" s="6">
        <v>1</v>
      </c>
      <c r="M10" s="6">
        <v>2</v>
      </c>
      <c r="N10" s="6">
        <v>2</v>
      </c>
      <c r="O10" s="6" t="str">
        <f t="shared" si="4"/>
        <v>Correct</v>
      </c>
      <c r="P10" s="6"/>
      <c r="Q10" s="6">
        <v>2</v>
      </c>
      <c r="R10" s="6" t="str">
        <f t="shared" si="5"/>
        <v>Correct</v>
      </c>
      <c r="S10" s="6" t="s">
        <v>3545</v>
      </c>
      <c r="T10" s="14">
        <v>2</v>
      </c>
      <c r="U10" s="6" t="str">
        <f t="shared" si="6"/>
        <v>Correct</v>
      </c>
      <c r="V10" s="15">
        <v>2</v>
      </c>
      <c r="W10" s="15" t="str">
        <f t="shared" si="7"/>
        <v>Correct</v>
      </c>
      <c r="X10" s="14">
        <v>2</v>
      </c>
      <c r="Y10" s="14" t="str">
        <f t="shared" si="8"/>
        <v>Correct</v>
      </c>
      <c r="Z10" s="6">
        <v>9</v>
      </c>
      <c r="AA10" s="6" t="s">
        <v>135</v>
      </c>
      <c r="AB10" s="6" t="s">
        <v>136</v>
      </c>
      <c r="AC10" s="6">
        <v>1</v>
      </c>
      <c r="AD10" s="6" t="s">
        <v>40</v>
      </c>
      <c r="AE10" s="6" t="s">
        <v>3863</v>
      </c>
      <c r="AF10" s="6" t="s">
        <v>137</v>
      </c>
      <c r="AG10" s="6" t="s">
        <v>138</v>
      </c>
      <c r="AH10" s="6" t="s">
        <v>44</v>
      </c>
      <c r="AI10" s="6" t="s">
        <v>44</v>
      </c>
      <c r="AJ10" s="6" t="s">
        <v>44</v>
      </c>
      <c r="AK10" s="6" t="s">
        <v>3864</v>
      </c>
      <c r="AL10" s="6" t="s">
        <v>5099</v>
      </c>
      <c r="AM10" s="6" t="s">
        <v>4598</v>
      </c>
      <c r="AN10" s="6" t="s">
        <v>139</v>
      </c>
      <c r="AO10" s="6" t="s">
        <v>140</v>
      </c>
      <c r="AP10" s="6" t="s">
        <v>133</v>
      </c>
      <c r="AQ10" s="21" t="s">
        <v>133</v>
      </c>
      <c r="AR10" s="6" t="s">
        <v>133</v>
      </c>
      <c r="AS10" s="6" t="s">
        <v>4599</v>
      </c>
      <c r="AT10" s="14">
        <v>2</v>
      </c>
      <c r="AU10" s="14">
        <v>2</v>
      </c>
      <c r="AV10" s="14">
        <v>2</v>
      </c>
      <c r="AW10" s="14">
        <v>2</v>
      </c>
      <c r="AX10" s="14">
        <v>2</v>
      </c>
      <c r="AY10" s="14">
        <v>2</v>
      </c>
      <c r="AZ10" s="14">
        <v>2</v>
      </c>
      <c r="BA10" s="2"/>
    </row>
    <row r="11" spans="1:54" ht="44" customHeight="1" x14ac:dyDescent="0.2">
      <c r="A11" s="6">
        <v>43267793</v>
      </c>
      <c r="B11" s="6"/>
      <c r="C11" s="7" t="s">
        <v>35</v>
      </c>
      <c r="D11" s="6" t="s">
        <v>141</v>
      </c>
      <c r="E11" s="6">
        <f t="shared" si="0"/>
        <v>101</v>
      </c>
      <c r="F11" s="6" t="s">
        <v>143</v>
      </c>
      <c r="G11" s="6">
        <f t="shared" si="1"/>
        <v>71</v>
      </c>
      <c r="H11" s="9">
        <f t="shared" si="2"/>
        <v>0.29702970297029702</v>
      </c>
      <c r="I11" s="6"/>
      <c r="J11" s="6">
        <v>0</v>
      </c>
      <c r="K11" s="9">
        <f t="shared" si="3"/>
        <v>0</v>
      </c>
      <c r="L11" s="6">
        <v>5</v>
      </c>
      <c r="M11" s="6">
        <v>2</v>
      </c>
      <c r="N11" s="6">
        <v>2</v>
      </c>
      <c r="O11" s="6" t="str">
        <f t="shared" si="4"/>
        <v>Correct</v>
      </c>
      <c r="P11" s="6"/>
      <c r="Q11" s="6">
        <v>2</v>
      </c>
      <c r="R11" s="6" t="str">
        <f t="shared" si="5"/>
        <v>Correct</v>
      </c>
      <c r="S11" s="6" t="s">
        <v>142</v>
      </c>
      <c r="T11" s="14">
        <v>2</v>
      </c>
      <c r="U11" s="6" t="str">
        <f t="shared" si="6"/>
        <v>Correct</v>
      </c>
      <c r="V11" s="15">
        <v>2</v>
      </c>
      <c r="W11" s="15" t="str">
        <f t="shared" si="7"/>
        <v>Correct</v>
      </c>
      <c r="X11" s="14">
        <v>2</v>
      </c>
      <c r="Y11" s="14" t="str">
        <f t="shared" si="8"/>
        <v>Correct</v>
      </c>
      <c r="Z11" s="6">
        <v>10</v>
      </c>
      <c r="AA11" s="6" t="s">
        <v>38</v>
      </c>
      <c r="AB11" s="6" t="s">
        <v>144</v>
      </c>
      <c r="AC11" s="6">
        <v>1</v>
      </c>
      <c r="AD11" s="6" t="s">
        <v>40</v>
      </c>
      <c r="AE11" s="6" t="s">
        <v>3865</v>
      </c>
      <c r="AF11" s="6" t="s">
        <v>145</v>
      </c>
      <c r="AG11" s="6" t="s">
        <v>146</v>
      </c>
      <c r="AH11" s="6" t="s">
        <v>147</v>
      </c>
      <c r="AI11" s="6" t="s">
        <v>148</v>
      </c>
      <c r="AJ11" s="6" t="s">
        <v>148</v>
      </c>
      <c r="AK11" s="6" t="s">
        <v>149</v>
      </c>
      <c r="AL11" s="6" t="s">
        <v>3477</v>
      </c>
      <c r="AM11" s="6" t="s">
        <v>4600</v>
      </c>
      <c r="AN11" s="6" t="s">
        <v>150</v>
      </c>
      <c r="AO11" s="6" t="s">
        <v>151</v>
      </c>
      <c r="AP11" s="6" t="s">
        <v>152</v>
      </c>
      <c r="AQ11" s="21" t="s">
        <v>153</v>
      </c>
      <c r="AR11" s="6" t="s">
        <v>153</v>
      </c>
      <c r="AS11" s="6" t="s">
        <v>154</v>
      </c>
      <c r="AT11" s="14">
        <v>2</v>
      </c>
      <c r="AU11" s="14">
        <v>2</v>
      </c>
      <c r="AV11" s="14">
        <v>2</v>
      </c>
      <c r="AW11" s="14">
        <v>2</v>
      </c>
      <c r="AX11" s="14">
        <v>2</v>
      </c>
      <c r="AY11" s="14">
        <v>2</v>
      </c>
      <c r="AZ11" s="14">
        <v>2</v>
      </c>
      <c r="BA11" s="2"/>
    </row>
    <row r="12" spans="1:54" ht="44" customHeight="1" x14ac:dyDescent="0.2">
      <c r="A12" s="6">
        <v>43980403</v>
      </c>
      <c r="B12" s="6"/>
      <c r="C12" s="7" t="s">
        <v>35</v>
      </c>
      <c r="D12" s="6" t="s">
        <v>155</v>
      </c>
      <c r="E12" s="6">
        <f t="shared" si="0"/>
        <v>51</v>
      </c>
      <c r="F12" s="6" t="s">
        <v>157</v>
      </c>
      <c r="G12" s="6">
        <f t="shared" si="1"/>
        <v>33</v>
      </c>
      <c r="H12" s="9">
        <f t="shared" si="2"/>
        <v>0.35294117647058826</v>
      </c>
      <c r="I12" s="6"/>
      <c r="J12" s="6">
        <v>0</v>
      </c>
      <c r="K12" s="9">
        <f t="shared" si="3"/>
        <v>0</v>
      </c>
      <c r="L12" s="6">
        <v>11</v>
      </c>
      <c r="M12" s="6">
        <v>2</v>
      </c>
      <c r="N12" s="6">
        <v>1</v>
      </c>
      <c r="O12" s="6" t="str">
        <f t="shared" si="4"/>
        <v>Overtriaged</v>
      </c>
      <c r="P12" s="6"/>
      <c r="Q12" s="6">
        <v>1</v>
      </c>
      <c r="R12" s="6" t="str">
        <f t="shared" si="5"/>
        <v>Overtriaged</v>
      </c>
      <c r="S12" s="6" t="s">
        <v>156</v>
      </c>
      <c r="T12" s="14">
        <v>1</v>
      </c>
      <c r="U12" s="6" t="str">
        <f t="shared" si="6"/>
        <v>Overtriaged</v>
      </c>
      <c r="V12" s="15">
        <v>1</v>
      </c>
      <c r="W12" s="15" t="str">
        <f t="shared" si="7"/>
        <v>Overtriaged</v>
      </c>
      <c r="X12" s="14">
        <v>1</v>
      </c>
      <c r="Y12" s="14" t="str">
        <f t="shared" si="8"/>
        <v>Overtriaged</v>
      </c>
      <c r="Z12" s="6">
        <v>11</v>
      </c>
      <c r="AA12" s="6" t="s">
        <v>158</v>
      </c>
      <c r="AB12" s="6" t="s">
        <v>159</v>
      </c>
      <c r="AC12" s="6">
        <v>1</v>
      </c>
      <c r="AD12" s="6" t="s">
        <v>40</v>
      </c>
      <c r="AE12" s="6" t="s">
        <v>160</v>
      </c>
      <c r="AF12" s="6" t="s">
        <v>161</v>
      </c>
      <c r="AG12" s="6" t="s">
        <v>162</v>
      </c>
      <c r="AH12" s="6" t="s">
        <v>163</v>
      </c>
      <c r="AI12" s="6" t="s">
        <v>164</v>
      </c>
      <c r="AJ12" s="6" t="s">
        <v>164</v>
      </c>
      <c r="AK12" s="6" t="s">
        <v>165</v>
      </c>
      <c r="AL12" s="6" t="s">
        <v>3477</v>
      </c>
      <c r="AM12" s="6" t="s">
        <v>166</v>
      </c>
      <c r="AN12" s="6" t="s">
        <v>167</v>
      </c>
      <c r="AO12" s="6" t="s">
        <v>168</v>
      </c>
      <c r="AP12" s="6" t="s">
        <v>169</v>
      </c>
      <c r="AQ12" s="21" t="s">
        <v>170</v>
      </c>
      <c r="AR12" s="6" t="s">
        <v>170</v>
      </c>
      <c r="AS12" s="6" t="s">
        <v>171</v>
      </c>
      <c r="AT12" s="14">
        <v>1</v>
      </c>
      <c r="AU12" s="14">
        <v>1</v>
      </c>
      <c r="AV12" s="14">
        <v>1</v>
      </c>
      <c r="AW12" s="14">
        <v>1</v>
      </c>
      <c r="AX12" s="14">
        <v>1</v>
      </c>
      <c r="AY12" s="14">
        <v>1</v>
      </c>
      <c r="AZ12" s="14">
        <v>1</v>
      </c>
      <c r="BA12" s="2"/>
    </row>
    <row r="13" spans="1:54" ht="44" customHeight="1" x14ac:dyDescent="0.2">
      <c r="A13" s="6">
        <v>43400776</v>
      </c>
      <c r="B13" s="6"/>
      <c r="C13" s="7" t="s">
        <v>35</v>
      </c>
      <c r="D13" s="6" t="s">
        <v>172</v>
      </c>
      <c r="E13" s="6">
        <f t="shared" si="0"/>
        <v>153</v>
      </c>
      <c r="F13" s="6" t="s">
        <v>173</v>
      </c>
      <c r="G13" s="6">
        <f t="shared" si="1"/>
        <v>99</v>
      </c>
      <c r="H13" s="9">
        <f t="shared" si="2"/>
        <v>0.35294117647058826</v>
      </c>
      <c r="I13" s="6" t="s">
        <v>5123</v>
      </c>
      <c r="J13" s="6">
        <v>4</v>
      </c>
      <c r="K13" s="9">
        <f t="shared" si="3"/>
        <v>2.6143790849673203E-2</v>
      </c>
      <c r="L13" s="6">
        <v>6</v>
      </c>
      <c r="M13" s="6">
        <v>2</v>
      </c>
      <c r="N13" s="6">
        <v>2</v>
      </c>
      <c r="O13" s="6" t="str">
        <f t="shared" si="4"/>
        <v>Correct</v>
      </c>
      <c r="P13" s="6"/>
      <c r="Q13" s="6">
        <v>2</v>
      </c>
      <c r="R13" s="6" t="str">
        <f t="shared" si="5"/>
        <v>Correct</v>
      </c>
      <c r="S13" s="6" t="s">
        <v>3546</v>
      </c>
      <c r="T13" s="14">
        <v>2</v>
      </c>
      <c r="U13" s="6" t="str">
        <f t="shared" si="6"/>
        <v>Correct</v>
      </c>
      <c r="V13" s="15">
        <v>2</v>
      </c>
      <c r="W13" s="15" t="str">
        <f t="shared" si="7"/>
        <v>Correct</v>
      </c>
      <c r="X13" s="14">
        <v>2</v>
      </c>
      <c r="Y13" s="14" t="str">
        <f t="shared" si="8"/>
        <v>Correct</v>
      </c>
      <c r="Z13" s="6">
        <v>12</v>
      </c>
      <c r="AA13" s="6" t="s">
        <v>174</v>
      </c>
      <c r="AB13" s="6" t="s">
        <v>175</v>
      </c>
      <c r="AC13" s="6">
        <v>1</v>
      </c>
      <c r="AD13" s="6" t="s">
        <v>40</v>
      </c>
      <c r="AE13" s="6" t="s">
        <v>176</v>
      </c>
      <c r="AF13" s="6" t="s">
        <v>3866</v>
      </c>
      <c r="AG13" s="6" t="s">
        <v>177</v>
      </c>
      <c r="AH13" s="6" t="s">
        <v>178</v>
      </c>
      <c r="AI13" s="6" t="s">
        <v>3371</v>
      </c>
      <c r="AJ13" s="6" t="s">
        <v>179</v>
      </c>
      <c r="AK13" s="6" t="s">
        <v>180</v>
      </c>
      <c r="AL13" s="6" t="s">
        <v>3477</v>
      </c>
      <c r="AM13" s="6" t="s">
        <v>181</v>
      </c>
      <c r="AN13" s="6" t="s">
        <v>4601</v>
      </c>
      <c r="AO13" s="6" t="s">
        <v>182</v>
      </c>
      <c r="AP13" s="6" t="s">
        <v>183</v>
      </c>
      <c r="AQ13" s="21" t="s">
        <v>4401</v>
      </c>
      <c r="AR13" s="6" t="s">
        <v>184</v>
      </c>
      <c r="AS13" s="6" t="s">
        <v>185</v>
      </c>
      <c r="AT13" s="14">
        <v>2</v>
      </c>
      <c r="AU13" s="14">
        <v>2</v>
      </c>
      <c r="AV13" s="14">
        <v>2</v>
      </c>
      <c r="AW13" s="14">
        <v>2</v>
      </c>
      <c r="AX13" s="14">
        <v>2</v>
      </c>
      <c r="AY13" s="14">
        <v>2</v>
      </c>
      <c r="AZ13" s="14">
        <v>2</v>
      </c>
      <c r="BA13" s="2"/>
    </row>
    <row r="14" spans="1:54" ht="44" customHeight="1" x14ac:dyDescent="0.2">
      <c r="A14" s="6">
        <v>43996683</v>
      </c>
      <c r="B14" s="6"/>
      <c r="C14" s="7" t="s">
        <v>35</v>
      </c>
      <c r="D14" s="6" t="s">
        <v>186</v>
      </c>
      <c r="E14" s="6">
        <f t="shared" si="0"/>
        <v>178</v>
      </c>
      <c r="F14" s="6" t="s">
        <v>187</v>
      </c>
      <c r="G14" s="6">
        <f t="shared" si="1"/>
        <v>95</v>
      </c>
      <c r="H14" s="9">
        <f t="shared" si="2"/>
        <v>0.46629213483146065</v>
      </c>
      <c r="I14" s="6" t="s">
        <v>5124</v>
      </c>
      <c r="J14" s="6">
        <v>7</v>
      </c>
      <c r="K14" s="9">
        <f t="shared" si="3"/>
        <v>3.9325842696629212E-2</v>
      </c>
      <c r="L14" s="6">
        <v>4</v>
      </c>
      <c r="M14" s="6">
        <v>2</v>
      </c>
      <c r="N14" s="6">
        <v>2</v>
      </c>
      <c r="O14" s="6" t="str">
        <f t="shared" si="4"/>
        <v>Correct</v>
      </c>
      <c r="P14" s="6"/>
      <c r="Q14" s="6">
        <v>2</v>
      </c>
      <c r="R14" s="6" t="str">
        <f t="shared" si="5"/>
        <v>Correct</v>
      </c>
      <c r="S14" s="6" t="s">
        <v>3547</v>
      </c>
      <c r="T14" s="14">
        <v>2</v>
      </c>
      <c r="U14" s="6" t="str">
        <f t="shared" si="6"/>
        <v>Correct</v>
      </c>
      <c r="V14" s="15">
        <v>2</v>
      </c>
      <c r="W14" s="15" t="str">
        <f t="shared" si="7"/>
        <v>Correct</v>
      </c>
      <c r="X14" s="14">
        <v>2</v>
      </c>
      <c r="Y14" s="14" t="str">
        <f t="shared" si="8"/>
        <v>Correct</v>
      </c>
      <c r="Z14" s="6">
        <v>13</v>
      </c>
      <c r="AA14" s="6" t="s">
        <v>188</v>
      </c>
      <c r="AB14" s="6" t="s">
        <v>189</v>
      </c>
      <c r="AC14" s="6">
        <v>1</v>
      </c>
      <c r="AD14" s="6" t="s">
        <v>40</v>
      </c>
      <c r="AE14" s="6" t="s">
        <v>190</v>
      </c>
      <c r="AF14" s="6" t="s">
        <v>191</v>
      </c>
      <c r="AG14" s="6" t="s">
        <v>192</v>
      </c>
      <c r="AH14" s="6" t="s">
        <v>44</v>
      </c>
      <c r="AI14" s="6" t="s">
        <v>3372</v>
      </c>
      <c r="AJ14" s="6" t="s">
        <v>3867</v>
      </c>
      <c r="AK14" s="6" t="s">
        <v>193</v>
      </c>
      <c r="AL14" s="6" t="s">
        <v>3476</v>
      </c>
      <c r="AM14" s="6" t="s">
        <v>194</v>
      </c>
      <c r="AN14" s="6" t="s">
        <v>195</v>
      </c>
      <c r="AO14" s="6" t="s">
        <v>196</v>
      </c>
      <c r="AP14" s="6" t="s">
        <v>186</v>
      </c>
      <c r="AQ14" s="21" t="s">
        <v>4402</v>
      </c>
      <c r="AR14" s="6" t="s">
        <v>4602</v>
      </c>
      <c r="AS14" s="6" t="s">
        <v>197</v>
      </c>
      <c r="AT14" s="14">
        <v>2</v>
      </c>
      <c r="AU14" s="14">
        <v>2</v>
      </c>
      <c r="AV14" s="14">
        <v>2</v>
      </c>
      <c r="AW14" s="14">
        <v>2</v>
      </c>
      <c r="AX14" s="14">
        <v>2</v>
      </c>
      <c r="AY14" s="14">
        <v>2</v>
      </c>
      <c r="AZ14" s="14">
        <v>2</v>
      </c>
      <c r="BA14" s="2"/>
    </row>
    <row r="15" spans="1:54" ht="44" customHeight="1" x14ac:dyDescent="0.2">
      <c r="A15" s="6">
        <v>44015508</v>
      </c>
      <c r="B15" s="6"/>
      <c r="C15" s="7" t="s">
        <v>35</v>
      </c>
      <c r="D15" s="6" t="s">
        <v>198</v>
      </c>
      <c r="E15" s="6">
        <f t="shared" si="0"/>
        <v>109</v>
      </c>
      <c r="F15" s="6" t="s">
        <v>199</v>
      </c>
      <c r="G15" s="6">
        <f t="shared" si="1"/>
        <v>45</v>
      </c>
      <c r="H15" s="9">
        <f t="shared" si="2"/>
        <v>0.58715596330275233</v>
      </c>
      <c r="I15" s="6" t="s">
        <v>5125</v>
      </c>
      <c r="J15" s="6">
        <v>5</v>
      </c>
      <c r="K15" s="9">
        <f t="shared" si="3"/>
        <v>4.5871559633027525E-2</v>
      </c>
      <c r="L15" s="6">
        <v>1</v>
      </c>
      <c r="M15" s="6">
        <v>2</v>
      </c>
      <c r="N15" s="6">
        <v>1</v>
      </c>
      <c r="O15" s="6" t="str">
        <f t="shared" si="4"/>
        <v>Overtriaged</v>
      </c>
      <c r="P15" s="6"/>
      <c r="Q15" s="6">
        <v>2</v>
      </c>
      <c r="R15" s="6" t="str">
        <f t="shared" si="5"/>
        <v>Correct</v>
      </c>
      <c r="S15" s="6" t="s">
        <v>3548</v>
      </c>
      <c r="T15" s="14">
        <v>2</v>
      </c>
      <c r="U15" s="6" t="str">
        <f t="shared" si="6"/>
        <v>Correct</v>
      </c>
      <c r="V15" s="15">
        <v>1</v>
      </c>
      <c r="W15" s="15" t="str">
        <f t="shared" si="7"/>
        <v>Overtriaged</v>
      </c>
      <c r="X15" s="14">
        <v>2</v>
      </c>
      <c r="Y15" s="14" t="str">
        <f t="shared" si="8"/>
        <v>Correct</v>
      </c>
      <c r="Z15" s="6">
        <v>14</v>
      </c>
      <c r="AA15" s="6" t="s">
        <v>200</v>
      </c>
      <c r="AB15" s="6" t="s">
        <v>201</v>
      </c>
      <c r="AC15" s="6">
        <v>1</v>
      </c>
      <c r="AD15" s="6" t="s">
        <v>40</v>
      </c>
      <c r="AE15" s="6" t="s">
        <v>202</v>
      </c>
      <c r="AF15" s="6" t="s">
        <v>42</v>
      </c>
      <c r="AG15" s="6" t="s">
        <v>203</v>
      </c>
      <c r="AH15" s="6" t="s">
        <v>44</v>
      </c>
      <c r="AI15" s="6" t="s">
        <v>3379</v>
      </c>
      <c r="AJ15" s="6" t="s">
        <v>204</v>
      </c>
      <c r="AK15" s="6" t="s">
        <v>205</v>
      </c>
      <c r="AL15" s="6" t="s">
        <v>3476</v>
      </c>
      <c r="AM15" s="6" t="s">
        <v>206</v>
      </c>
      <c r="AN15" s="6" t="s">
        <v>207</v>
      </c>
      <c r="AO15" s="6" t="s">
        <v>208</v>
      </c>
      <c r="AP15" s="6" t="s">
        <v>198</v>
      </c>
      <c r="AQ15" s="21" t="s">
        <v>4403</v>
      </c>
      <c r="AR15" s="6" t="s">
        <v>209</v>
      </c>
      <c r="AS15" s="6" t="s">
        <v>210</v>
      </c>
      <c r="AT15" s="14">
        <v>2</v>
      </c>
      <c r="AU15" s="14">
        <v>2</v>
      </c>
      <c r="AV15" s="14">
        <v>2</v>
      </c>
      <c r="AW15" s="14">
        <v>2</v>
      </c>
      <c r="AX15" s="14">
        <v>2</v>
      </c>
      <c r="AY15" s="14">
        <v>2</v>
      </c>
      <c r="AZ15" s="14">
        <v>2</v>
      </c>
      <c r="BA15" s="2"/>
    </row>
    <row r="16" spans="1:54" ht="44" customHeight="1" x14ac:dyDescent="0.2">
      <c r="A16" s="6">
        <v>44129163</v>
      </c>
      <c r="B16" s="6"/>
      <c r="C16" s="7" t="s">
        <v>35</v>
      </c>
      <c r="D16" s="6" t="s">
        <v>211</v>
      </c>
      <c r="E16" s="6">
        <f t="shared" si="0"/>
        <v>150</v>
      </c>
      <c r="F16" s="6" t="s">
        <v>212</v>
      </c>
      <c r="G16" s="6">
        <f t="shared" si="1"/>
        <v>51</v>
      </c>
      <c r="H16" s="9">
        <f t="shared" si="2"/>
        <v>0.66</v>
      </c>
      <c r="I16" s="6"/>
      <c r="J16" s="6">
        <v>0</v>
      </c>
      <c r="K16" s="9">
        <f t="shared" si="3"/>
        <v>0</v>
      </c>
      <c r="L16" s="6">
        <v>1</v>
      </c>
      <c r="M16" s="6">
        <v>2</v>
      </c>
      <c r="N16" s="6">
        <v>2</v>
      </c>
      <c r="O16" s="6" t="str">
        <f t="shared" si="4"/>
        <v>Correct</v>
      </c>
      <c r="P16" s="6"/>
      <c r="Q16" s="6">
        <v>2</v>
      </c>
      <c r="R16" s="6" t="str">
        <f t="shared" si="5"/>
        <v>Correct</v>
      </c>
      <c r="S16" s="6" t="s">
        <v>3549</v>
      </c>
      <c r="T16" s="14">
        <v>2</v>
      </c>
      <c r="U16" s="6" t="str">
        <f t="shared" si="6"/>
        <v>Correct</v>
      </c>
      <c r="V16" s="15">
        <v>2</v>
      </c>
      <c r="W16" s="15" t="str">
        <f t="shared" si="7"/>
        <v>Correct</v>
      </c>
      <c r="X16" s="14">
        <v>2</v>
      </c>
      <c r="Y16" s="14" t="str">
        <f t="shared" si="8"/>
        <v>Correct</v>
      </c>
      <c r="Z16" s="6">
        <v>15</v>
      </c>
      <c r="AA16" s="6" t="s">
        <v>213</v>
      </c>
      <c r="AB16" s="6" t="s">
        <v>214</v>
      </c>
      <c r="AC16" s="6">
        <v>1</v>
      </c>
      <c r="AD16" s="6" t="s">
        <v>40</v>
      </c>
      <c r="AE16" s="6" t="s">
        <v>215</v>
      </c>
      <c r="AF16" s="6" t="s">
        <v>216</v>
      </c>
      <c r="AG16" s="6" t="s">
        <v>217</v>
      </c>
      <c r="AH16" s="6" t="s">
        <v>218</v>
      </c>
      <c r="AI16" s="6" t="s">
        <v>44</v>
      </c>
      <c r="AJ16" s="6" t="s">
        <v>219</v>
      </c>
      <c r="AK16" s="6" t="s">
        <v>220</v>
      </c>
      <c r="AL16" s="6" t="s">
        <v>3477</v>
      </c>
      <c r="AM16" s="6" t="s">
        <v>221</v>
      </c>
      <c r="AN16" s="6" t="s">
        <v>222</v>
      </c>
      <c r="AO16" s="6" t="s">
        <v>223</v>
      </c>
      <c r="AP16" s="6" t="s">
        <v>224</v>
      </c>
      <c r="AQ16" s="21" t="s">
        <v>211</v>
      </c>
      <c r="AR16" s="6" t="s">
        <v>225</v>
      </c>
      <c r="AS16" s="6" t="s">
        <v>226</v>
      </c>
      <c r="AT16" s="14">
        <v>2</v>
      </c>
      <c r="AU16" s="14">
        <v>2</v>
      </c>
      <c r="AV16" s="14">
        <v>2</v>
      </c>
      <c r="AW16" s="14">
        <v>2</v>
      </c>
      <c r="AX16" s="14">
        <v>2</v>
      </c>
      <c r="AY16" s="14">
        <v>2</v>
      </c>
      <c r="AZ16" s="14">
        <v>2</v>
      </c>
      <c r="BA16" s="2"/>
    </row>
    <row r="17" spans="1:53" ht="44" customHeight="1" x14ac:dyDescent="0.2">
      <c r="A17" s="6">
        <v>44197348</v>
      </c>
      <c r="B17" s="6"/>
      <c r="C17" s="7" t="s">
        <v>35</v>
      </c>
      <c r="D17" s="6" t="s">
        <v>227</v>
      </c>
      <c r="E17" s="6">
        <f t="shared" si="0"/>
        <v>97</v>
      </c>
      <c r="F17" s="6" t="s">
        <v>228</v>
      </c>
      <c r="G17" s="6">
        <f t="shared" si="1"/>
        <v>72</v>
      </c>
      <c r="H17" s="9">
        <f t="shared" si="2"/>
        <v>0.25773195876288657</v>
      </c>
      <c r="I17" s="6" t="s">
        <v>5126</v>
      </c>
      <c r="J17" s="6">
        <v>3</v>
      </c>
      <c r="K17" s="9">
        <f t="shared" si="3"/>
        <v>3.0927835051546393E-2</v>
      </c>
      <c r="L17" s="6">
        <v>1</v>
      </c>
      <c r="M17" s="6">
        <v>2</v>
      </c>
      <c r="N17" s="6">
        <v>2</v>
      </c>
      <c r="O17" s="6" t="str">
        <f t="shared" si="4"/>
        <v>Correct</v>
      </c>
      <c r="P17" s="6"/>
      <c r="Q17" s="6">
        <v>2</v>
      </c>
      <c r="R17" s="6" t="str">
        <f t="shared" si="5"/>
        <v>Correct</v>
      </c>
      <c r="S17" s="6" t="s">
        <v>3550</v>
      </c>
      <c r="T17" s="14">
        <v>2</v>
      </c>
      <c r="U17" s="6" t="str">
        <f t="shared" si="6"/>
        <v>Correct</v>
      </c>
      <c r="V17" s="15">
        <v>2</v>
      </c>
      <c r="W17" s="15" t="str">
        <f t="shared" si="7"/>
        <v>Correct</v>
      </c>
      <c r="X17" s="14">
        <v>2</v>
      </c>
      <c r="Y17" s="14" t="str">
        <f t="shared" si="8"/>
        <v>Correct</v>
      </c>
      <c r="Z17" s="6">
        <v>16</v>
      </c>
      <c r="AA17" s="6" t="s">
        <v>229</v>
      </c>
      <c r="AB17" s="6" t="s">
        <v>230</v>
      </c>
      <c r="AC17" s="6">
        <v>1</v>
      </c>
      <c r="AD17" s="6" t="s">
        <v>40</v>
      </c>
      <c r="AE17" s="6" t="s">
        <v>231</v>
      </c>
      <c r="AF17" s="6" t="s">
        <v>232</v>
      </c>
      <c r="AG17" s="6" t="s">
        <v>233</v>
      </c>
      <c r="AH17" s="6" t="s">
        <v>44</v>
      </c>
      <c r="AI17" s="6" t="s">
        <v>44</v>
      </c>
      <c r="AJ17" s="6" t="s">
        <v>3868</v>
      </c>
      <c r="AK17" s="6" t="s">
        <v>3869</v>
      </c>
      <c r="AL17" s="6" t="s">
        <v>3476</v>
      </c>
      <c r="AM17" s="6" t="s">
        <v>234</v>
      </c>
      <c r="AN17" s="6" t="s">
        <v>235</v>
      </c>
      <c r="AO17" s="6" t="s">
        <v>236</v>
      </c>
      <c r="AP17" s="6" t="s">
        <v>227</v>
      </c>
      <c r="AQ17" s="21" t="s">
        <v>227</v>
      </c>
      <c r="AR17" s="6" t="s">
        <v>4603</v>
      </c>
      <c r="AS17" s="6" t="s">
        <v>4604</v>
      </c>
      <c r="AT17" s="14">
        <v>2</v>
      </c>
      <c r="AU17" s="14">
        <v>2</v>
      </c>
      <c r="AV17" s="14">
        <v>2</v>
      </c>
      <c r="AW17" s="14">
        <v>2</v>
      </c>
      <c r="AX17" s="14">
        <v>2</v>
      </c>
      <c r="AY17" s="14">
        <v>2</v>
      </c>
      <c r="AZ17" s="14">
        <v>2</v>
      </c>
      <c r="BA17" s="2"/>
    </row>
    <row r="18" spans="1:53" ht="44" customHeight="1" x14ac:dyDescent="0.2">
      <c r="A18" s="6">
        <v>44276758</v>
      </c>
      <c r="B18" s="6"/>
      <c r="C18" s="7" t="s">
        <v>35</v>
      </c>
      <c r="D18" s="6" t="s">
        <v>237</v>
      </c>
      <c r="E18" s="6">
        <f t="shared" si="0"/>
        <v>81</v>
      </c>
      <c r="F18" s="6" t="s">
        <v>238</v>
      </c>
      <c r="G18" s="6">
        <f t="shared" si="1"/>
        <v>53</v>
      </c>
      <c r="H18" s="9">
        <f t="shared" si="2"/>
        <v>0.34567901234567899</v>
      </c>
      <c r="I18" s="6"/>
      <c r="J18" s="6">
        <v>0</v>
      </c>
      <c r="K18" s="9">
        <f t="shared" si="3"/>
        <v>0</v>
      </c>
      <c r="L18" s="6">
        <v>1</v>
      </c>
      <c r="M18" s="6">
        <v>2</v>
      </c>
      <c r="N18" s="6">
        <v>2</v>
      </c>
      <c r="O18" s="6" t="str">
        <f t="shared" si="4"/>
        <v>Correct</v>
      </c>
      <c r="P18" s="6"/>
      <c r="Q18" s="6">
        <v>2</v>
      </c>
      <c r="R18" s="6" t="str">
        <f t="shared" si="5"/>
        <v>Correct</v>
      </c>
      <c r="S18" s="6" t="s">
        <v>3551</v>
      </c>
      <c r="T18" s="14">
        <v>2</v>
      </c>
      <c r="U18" s="6" t="str">
        <f t="shared" si="6"/>
        <v>Correct</v>
      </c>
      <c r="V18" s="15">
        <v>1</v>
      </c>
      <c r="W18" s="15" t="str">
        <f t="shared" si="7"/>
        <v>Overtriaged</v>
      </c>
      <c r="X18" s="14">
        <v>2</v>
      </c>
      <c r="Y18" s="14" t="str">
        <f t="shared" si="8"/>
        <v>Correct</v>
      </c>
      <c r="Z18" s="6">
        <v>17</v>
      </c>
      <c r="AA18" s="6" t="s">
        <v>239</v>
      </c>
      <c r="AB18" s="6" t="s">
        <v>240</v>
      </c>
      <c r="AC18" s="6">
        <v>1</v>
      </c>
      <c r="AD18" s="6" t="s">
        <v>40</v>
      </c>
      <c r="AE18" s="6" t="s">
        <v>241</v>
      </c>
      <c r="AF18" s="6" t="s">
        <v>242</v>
      </c>
      <c r="AG18" s="6" t="s">
        <v>243</v>
      </c>
      <c r="AH18" s="6" t="s">
        <v>244</v>
      </c>
      <c r="AI18" s="6" t="s">
        <v>44</v>
      </c>
      <c r="AJ18" s="6" t="s">
        <v>44</v>
      </c>
      <c r="AK18" s="6" t="s">
        <v>3870</v>
      </c>
      <c r="AL18" s="6" t="s">
        <v>5098</v>
      </c>
      <c r="AM18" s="6" t="s">
        <v>245</v>
      </c>
      <c r="AN18" s="6" t="s">
        <v>246</v>
      </c>
      <c r="AO18" s="6" t="s">
        <v>247</v>
      </c>
      <c r="AP18" s="6" t="s">
        <v>248</v>
      </c>
      <c r="AQ18" s="21" t="s">
        <v>237</v>
      </c>
      <c r="AR18" s="6" t="s">
        <v>237</v>
      </c>
      <c r="AS18" s="6" t="s">
        <v>4605</v>
      </c>
      <c r="AT18" s="14">
        <v>2</v>
      </c>
      <c r="AU18" s="14">
        <v>2</v>
      </c>
      <c r="AV18" s="14">
        <v>2</v>
      </c>
      <c r="AW18" s="14">
        <v>2</v>
      </c>
      <c r="AX18" s="14">
        <v>2</v>
      </c>
      <c r="AY18" s="14">
        <v>2</v>
      </c>
      <c r="AZ18" s="14">
        <v>2</v>
      </c>
      <c r="BA18" s="2"/>
    </row>
    <row r="19" spans="1:53" ht="44" customHeight="1" x14ac:dyDescent="0.2">
      <c r="A19" s="6">
        <v>44307994</v>
      </c>
      <c r="B19" s="6"/>
      <c r="C19" s="7" t="s">
        <v>35</v>
      </c>
      <c r="D19" s="6" t="s">
        <v>249</v>
      </c>
      <c r="E19" s="6">
        <f t="shared" si="0"/>
        <v>147</v>
      </c>
      <c r="F19" s="6"/>
      <c r="G19" s="6">
        <f t="shared" si="1"/>
        <v>0</v>
      </c>
      <c r="H19" s="9">
        <f t="shared" si="2"/>
        <v>1</v>
      </c>
      <c r="I19" s="6"/>
      <c r="J19" s="6">
        <v>0</v>
      </c>
      <c r="K19" s="9">
        <f t="shared" si="3"/>
        <v>0</v>
      </c>
      <c r="L19" s="6">
        <v>5</v>
      </c>
      <c r="M19" s="6">
        <v>2</v>
      </c>
      <c r="N19" s="6">
        <v>2</v>
      </c>
      <c r="O19" s="6" t="str">
        <f t="shared" si="4"/>
        <v>Correct</v>
      </c>
      <c r="P19" s="6"/>
      <c r="Q19" s="6">
        <v>2</v>
      </c>
      <c r="R19" s="6" t="str">
        <f t="shared" si="5"/>
        <v>Correct</v>
      </c>
      <c r="S19" s="6" t="s">
        <v>250</v>
      </c>
      <c r="T19" s="14"/>
      <c r="U19" s="6" t="str">
        <f t="shared" si="6"/>
        <v>Undertriaged</v>
      </c>
      <c r="V19" s="15">
        <v>2</v>
      </c>
      <c r="W19" s="15" t="str">
        <f t="shared" si="7"/>
        <v>Correct</v>
      </c>
      <c r="X19" s="14">
        <v>2</v>
      </c>
      <c r="Y19" s="14" t="str">
        <f t="shared" si="8"/>
        <v>Correct</v>
      </c>
      <c r="Z19" s="6">
        <v>18</v>
      </c>
      <c r="AA19" s="6" t="s">
        <v>251</v>
      </c>
      <c r="AB19" s="6" t="s">
        <v>252</v>
      </c>
      <c r="AC19" s="6">
        <v>2</v>
      </c>
      <c r="AD19" s="6" t="s">
        <v>120</v>
      </c>
      <c r="AE19" s="6" t="s">
        <v>253</v>
      </c>
      <c r="AF19" s="6" t="s">
        <v>254</v>
      </c>
      <c r="AG19" s="6" t="s">
        <v>255</v>
      </c>
      <c r="AH19" s="6" t="s">
        <v>44</v>
      </c>
      <c r="AI19" s="6" t="s">
        <v>4320</v>
      </c>
      <c r="AJ19" s="6" t="s">
        <v>256</v>
      </c>
      <c r="AK19" s="6" t="s">
        <v>3871</v>
      </c>
      <c r="AL19" s="6" t="s">
        <v>3476</v>
      </c>
      <c r="AM19" s="6" t="s">
        <v>257</v>
      </c>
      <c r="AN19" s="6" t="s">
        <v>258</v>
      </c>
      <c r="AO19" s="6" t="s">
        <v>259</v>
      </c>
      <c r="AP19" s="6" t="s">
        <v>249</v>
      </c>
      <c r="AQ19" s="21" t="s">
        <v>4404</v>
      </c>
      <c r="AR19" s="6" t="s">
        <v>260</v>
      </c>
      <c r="AS19" s="6" t="s">
        <v>4606</v>
      </c>
      <c r="AT19" s="14">
        <v>2</v>
      </c>
      <c r="AU19" s="14">
        <v>2</v>
      </c>
      <c r="AV19" s="14">
        <v>2</v>
      </c>
      <c r="AW19" s="14">
        <v>2</v>
      </c>
      <c r="AX19" s="14">
        <v>2</v>
      </c>
      <c r="AY19" s="14">
        <v>2</v>
      </c>
      <c r="AZ19" s="14">
        <v>2</v>
      </c>
      <c r="BA19" s="2"/>
    </row>
    <row r="20" spans="1:53" ht="44" customHeight="1" x14ac:dyDescent="0.2">
      <c r="A20" s="6">
        <v>44283710</v>
      </c>
      <c r="B20" s="6"/>
      <c r="C20" s="7" t="s">
        <v>35</v>
      </c>
      <c r="D20" s="6" t="s">
        <v>261</v>
      </c>
      <c r="E20" s="6">
        <f t="shared" si="0"/>
        <v>136</v>
      </c>
      <c r="F20" s="6" t="s">
        <v>262</v>
      </c>
      <c r="G20" s="6">
        <f t="shared" si="1"/>
        <v>76</v>
      </c>
      <c r="H20" s="9">
        <f t="shared" si="2"/>
        <v>0.44117647058823528</v>
      </c>
      <c r="I20" s="6" t="s">
        <v>5127</v>
      </c>
      <c r="J20" s="6">
        <v>5</v>
      </c>
      <c r="K20" s="9">
        <f t="shared" si="3"/>
        <v>3.6764705882352942E-2</v>
      </c>
      <c r="L20" s="6">
        <v>9</v>
      </c>
      <c r="M20" s="6">
        <v>2</v>
      </c>
      <c r="N20" s="6">
        <v>1</v>
      </c>
      <c r="O20" s="6" t="str">
        <f t="shared" si="4"/>
        <v>Overtriaged</v>
      </c>
      <c r="P20" s="6"/>
      <c r="Q20" s="6">
        <v>1</v>
      </c>
      <c r="R20" s="6" t="str">
        <f t="shared" si="5"/>
        <v>Overtriaged</v>
      </c>
      <c r="S20" s="6" t="s">
        <v>3763</v>
      </c>
      <c r="T20" s="14">
        <v>1</v>
      </c>
      <c r="U20" s="6" t="str">
        <f t="shared" si="6"/>
        <v>Overtriaged</v>
      </c>
      <c r="V20" s="15">
        <v>2</v>
      </c>
      <c r="W20" s="15" t="str">
        <f t="shared" si="7"/>
        <v>Correct</v>
      </c>
      <c r="X20" s="14">
        <v>1</v>
      </c>
      <c r="Y20" s="14" t="str">
        <f t="shared" si="8"/>
        <v>Overtriaged</v>
      </c>
      <c r="Z20" s="6">
        <v>19</v>
      </c>
      <c r="AA20" s="6" t="s">
        <v>263</v>
      </c>
      <c r="AB20" s="6" t="s">
        <v>264</v>
      </c>
      <c r="AC20" s="6">
        <v>1</v>
      </c>
      <c r="AD20" s="6" t="s">
        <v>40</v>
      </c>
      <c r="AE20" s="6" t="s">
        <v>265</v>
      </c>
      <c r="AF20" s="6" t="s">
        <v>44</v>
      </c>
      <c r="AG20" s="6" t="s">
        <v>44</v>
      </c>
      <c r="AH20" s="6" t="s">
        <v>44</v>
      </c>
      <c r="AI20" s="6" t="s">
        <v>3373</v>
      </c>
      <c r="AJ20" s="6" t="s">
        <v>266</v>
      </c>
      <c r="AK20" s="6" t="s">
        <v>3872</v>
      </c>
      <c r="AL20" s="6" t="s">
        <v>3480</v>
      </c>
      <c r="AM20" s="6" t="s">
        <v>267</v>
      </c>
      <c r="AN20" s="6" t="s">
        <v>261</v>
      </c>
      <c r="AO20" s="6" t="s">
        <v>261</v>
      </c>
      <c r="AP20" s="6" t="s">
        <v>261</v>
      </c>
      <c r="AQ20" s="21" t="s">
        <v>4405</v>
      </c>
      <c r="AR20" s="6" t="s">
        <v>268</v>
      </c>
      <c r="AS20" s="6" t="s">
        <v>4607</v>
      </c>
      <c r="AT20" s="14">
        <v>2</v>
      </c>
      <c r="AU20" s="14">
        <v>1</v>
      </c>
      <c r="AV20" s="14">
        <v>2</v>
      </c>
      <c r="AW20" s="14">
        <v>2</v>
      </c>
      <c r="AX20" s="14">
        <v>1</v>
      </c>
      <c r="AY20" s="14">
        <v>1</v>
      </c>
      <c r="AZ20" s="14">
        <v>2</v>
      </c>
      <c r="BA20" s="2"/>
    </row>
    <row r="21" spans="1:53" ht="44" customHeight="1" x14ac:dyDescent="0.2">
      <c r="A21" s="6">
        <v>44343459</v>
      </c>
      <c r="B21" s="6"/>
      <c r="C21" s="7" t="s">
        <v>35</v>
      </c>
      <c r="D21" s="6" t="s">
        <v>269</v>
      </c>
      <c r="E21" s="6">
        <f t="shared" si="0"/>
        <v>46</v>
      </c>
      <c r="F21" s="6" t="s">
        <v>270</v>
      </c>
      <c r="G21" s="6">
        <f t="shared" si="1"/>
        <v>27</v>
      </c>
      <c r="H21" s="9">
        <f t="shared" si="2"/>
        <v>0.41304347826086957</v>
      </c>
      <c r="I21" s="6"/>
      <c r="J21" s="6">
        <v>0</v>
      </c>
      <c r="K21" s="9">
        <f t="shared" si="3"/>
        <v>0</v>
      </c>
      <c r="L21" s="6">
        <v>1</v>
      </c>
      <c r="M21" s="6">
        <v>2</v>
      </c>
      <c r="N21" s="6">
        <v>2</v>
      </c>
      <c r="O21" s="6" t="str">
        <f t="shared" si="4"/>
        <v>Correct</v>
      </c>
      <c r="P21" s="6"/>
      <c r="Q21" s="6">
        <v>2</v>
      </c>
      <c r="R21" s="6" t="str">
        <f t="shared" si="5"/>
        <v>Correct</v>
      </c>
      <c r="S21" s="6" t="s">
        <v>3552</v>
      </c>
      <c r="T21" s="14">
        <v>2</v>
      </c>
      <c r="U21" s="6" t="str">
        <f t="shared" si="6"/>
        <v>Correct</v>
      </c>
      <c r="V21" s="15">
        <v>2</v>
      </c>
      <c r="W21" s="15" t="str">
        <f t="shared" si="7"/>
        <v>Correct</v>
      </c>
      <c r="X21" s="14">
        <v>2</v>
      </c>
      <c r="Y21" s="14" t="str">
        <f t="shared" si="8"/>
        <v>Correct</v>
      </c>
      <c r="Z21" s="6">
        <v>20</v>
      </c>
      <c r="AA21" s="6" t="s">
        <v>271</v>
      </c>
      <c r="AB21" s="6" t="s">
        <v>272</v>
      </c>
      <c r="AC21" s="6">
        <v>1</v>
      </c>
      <c r="AD21" s="6" t="s">
        <v>40</v>
      </c>
      <c r="AE21" s="6" t="s">
        <v>273</v>
      </c>
      <c r="AF21" s="6" t="s">
        <v>44</v>
      </c>
      <c r="AG21" s="6" t="s">
        <v>44</v>
      </c>
      <c r="AH21" s="6" t="s">
        <v>44</v>
      </c>
      <c r="AI21" s="6" t="s">
        <v>44</v>
      </c>
      <c r="AJ21" s="6" t="s">
        <v>44</v>
      </c>
      <c r="AK21" s="6" t="s">
        <v>274</v>
      </c>
      <c r="AL21" s="6" t="s">
        <v>5100</v>
      </c>
      <c r="AM21" s="6" t="s">
        <v>275</v>
      </c>
      <c r="AN21" s="6" t="s">
        <v>269</v>
      </c>
      <c r="AO21" s="6" t="s">
        <v>269</v>
      </c>
      <c r="AP21" s="6" t="s">
        <v>269</v>
      </c>
      <c r="AQ21" s="21" t="s">
        <v>269</v>
      </c>
      <c r="AR21" s="6" t="s">
        <v>269</v>
      </c>
      <c r="AS21" s="6" t="s">
        <v>276</v>
      </c>
      <c r="AT21" s="14">
        <v>2</v>
      </c>
      <c r="AU21" s="14">
        <v>2</v>
      </c>
      <c r="AV21" s="14">
        <v>2</v>
      </c>
      <c r="AW21" s="14">
        <v>2</v>
      </c>
      <c r="AX21" s="14">
        <v>2</v>
      </c>
      <c r="AY21" s="14">
        <v>2</v>
      </c>
      <c r="AZ21" s="14">
        <v>2</v>
      </c>
      <c r="BA21" s="2"/>
    </row>
    <row r="22" spans="1:53" ht="44" customHeight="1" x14ac:dyDescent="0.2">
      <c r="A22" s="6">
        <v>44384910</v>
      </c>
      <c r="B22" s="6"/>
      <c r="C22" s="7" t="s">
        <v>35</v>
      </c>
      <c r="D22" s="6" t="s">
        <v>277</v>
      </c>
      <c r="E22" s="6">
        <f t="shared" si="0"/>
        <v>83</v>
      </c>
      <c r="F22" s="6" t="s">
        <v>278</v>
      </c>
      <c r="G22" s="6">
        <f t="shared" si="1"/>
        <v>41</v>
      </c>
      <c r="H22" s="9">
        <f t="shared" si="2"/>
        <v>0.50602409638554213</v>
      </c>
      <c r="I22" s="6"/>
      <c r="J22" s="6">
        <v>0</v>
      </c>
      <c r="K22" s="9">
        <f t="shared" si="3"/>
        <v>0</v>
      </c>
      <c r="L22" s="6">
        <v>1</v>
      </c>
      <c r="M22" s="6">
        <v>2</v>
      </c>
      <c r="N22" s="6">
        <v>2</v>
      </c>
      <c r="O22" s="6" t="str">
        <f t="shared" si="4"/>
        <v>Correct</v>
      </c>
      <c r="P22" s="6"/>
      <c r="Q22" s="6">
        <v>2</v>
      </c>
      <c r="R22" s="6" t="str">
        <f t="shared" si="5"/>
        <v>Correct</v>
      </c>
      <c r="S22" s="6" t="s">
        <v>3764</v>
      </c>
      <c r="T22" s="14">
        <v>1</v>
      </c>
      <c r="U22" s="6" t="str">
        <f t="shared" si="6"/>
        <v>Overtriaged</v>
      </c>
      <c r="V22" s="15">
        <v>2</v>
      </c>
      <c r="W22" s="15" t="str">
        <f t="shared" si="7"/>
        <v>Correct</v>
      </c>
      <c r="X22" s="14">
        <v>2</v>
      </c>
      <c r="Y22" s="14" t="str">
        <f t="shared" si="8"/>
        <v>Correct</v>
      </c>
      <c r="Z22" s="6">
        <v>21</v>
      </c>
      <c r="AA22" s="6" t="s">
        <v>279</v>
      </c>
      <c r="AB22" s="6" t="s">
        <v>280</v>
      </c>
      <c r="AC22" s="6">
        <v>1</v>
      </c>
      <c r="AD22" s="6" t="s">
        <v>40</v>
      </c>
      <c r="AE22" s="6" t="s">
        <v>281</v>
      </c>
      <c r="AF22" s="6" t="s">
        <v>44</v>
      </c>
      <c r="AG22" s="6" t="s">
        <v>44</v>
      </c>
      <c r="AH22" s="6" t="s">
        <v>44</v>
      </c>
      <c r="AI22" s="6" t="s">
        <v>44</v>
      </c>
      <c r="AJ22" s="6" t="s">
        <v>44</v>
      </c>
      <c r="AK22" s="6" t="s">
        <v>282</v>
      </c>
      <c r="AL22" s="6" t="s">
        <v>5100</v>
      </c>
      <c r="AM22" s="6" t="s">
        <v>283</v>
      </c>
      <c r="AN22" s="6" t="s">
        <v>277</v>
      </c>
      <c r="AO22" s="6" t="s">
        <v>277</v>
      </c>
      <c r="AP22" s="6" t="s">
        <v>277</v>
      </c>
      <c r="AQ22" s="21" t="s">
        <v>277</v>
      </c>
      <c r="AR22" s="6" t="s">
        <v>277</v>
      </c>
      <c r="AS22" s="6" t="s">
        <v>284</v>
      </c>
      <c r="AT22" s="14">
        <v>2</v>
      </c>
      <c r="AU22" s="14">
        <v>2</v>
      </c>
      <c r="AV22" s="14">
        <v>2</v>
      </c>
      <c r="AW22" s="14">
        <v>2</v>
      </c>
      <c r="AX22" s="14">
        <v>2</v>
      </c>
      <c r="AY22" s="14">
        <v>2</v>
      </c>
      <c r="AZ22" s="14">
        <v>2</v>
      </c>
      <c r="BA22" s="2"/>
    </row>
    <row r="23" spans="1:53" ht="44" customHeight="1" x14ac:dyDescent="0.2">
      <c r="A23" s="6">
        <v>44413232</v>
      </c>
      <c r="B23" s="6"/>
      <c r="C23" s="7" t="s">
        <v>35</v>
      </c>
      <c r="D23" s="6" t="s">
        <v>285</v>
      </c>
      <c r="E23" s="6">
        <f t="shared" si="0"/>
        <v>179</v>
      </c>
      <c r="F23" s="6" t="s">
        <v>286</v>
      </c>
      <c r="G23" s="6">
        <f t="shared" si="1"/>
        <v>57</v>
      </c>
      <c r="H23" s="9">
        <f t="shared" si="2"/>
        <v>0.68156424581005581</v>
      </c>
      <c r="I23" s="6" t="s">
        <v>5128</v>
      </c>
      <c r="J23" s="6">
        <v>2</v>
      </c>
      <c r="K23" s="9">
        <f t="shared" si="3"/>
        <v>1.11731843575419E-2</v>
      </c>
      <c r="L23" s="6">
        <v>5</v>
      </c>
      <c r="M23" s="6">
        <v>2</v>
      </c>
      <c r="N23" s="6">
        <v>2</v>
      </c>
      <c r="O23" s="6" t="str">
        <f t="shared" si="4"/>
        <v>Correct</v>
      </c>
      <c r="P23" s="6"/>
      <c r="Q23" s="6">
        <v>2</v>
      </c>
      <c r="R23" s="6" t="str">
        <f t="shared" si="5"/>
        <v>Correct</v>
      </c>
      <c r="S23" s="6" t="s">
        <v>3553</v>
      </c>
      <c r="T23" s="14">
        <v>2</v>
      </c>
      <c r="U23" s="6" t="str">
        <f t="shared" si="6"/>
        <v>Correct</v>
      </c>
      <c r="V23" s="15">
        <v>1</v>
      </c>
      <c r="W23" s="15" t="str">
        <f t="shared" si="7"/>
        <v>Overtriaged</v>
      </c>
      <c r="X23" s="14">
        <v>2</v>
      </c>
      <c r="Y23" s="14" t="str">
        <f t="shared" si="8"/>
        <v>Correct</v>
      </c>
      <c r="Z23" s="6">
        <v>22</v>
      </c>
      <c r="AA23" s="6" t="s">
        <v>287</v>
      </c>
      <c r="AB23" s="6" t="s">
        <v>288</v>
      </c>
      <c r="AC23" s="6">
        <v>1</v>
      </c>
      <c r="AD23" s="6" t="s">
        <v>40</v>
      </c>
      <c r="AE23" s="6" t="s">
        <v>289</v>
      </c>
      <c r="AF23" s="6" t="s">
        <v>290</v>
      </c>
      <c r="AG23" s="6" t="s">
        <v>3873</v>
      </c>
      <c r="AH23" s="6" t="s">
        <v>291</v>
      </c>
      <c r="AI23" s="6" t="s">
        <v>3374</v>
      </c>
      <c r="AJ23" s="6" t="s">
        <v>292</v>
      </c>
      <c r="AK23" s="6" t="s">
        <v>293</v>
      </c>
      <c r="AL23" s="6" t="s">
        <v>3477</v>
      </c>
      <c r="AM23" s="6" t="s">
        <v>294</v>
      </c>
      <c r="AN23" s="6" t="s">
        <v>295</v>
      </c>
      <c r="AO23" s="6" t="s">
        <v>285</v>
      </c>
      <c r="AP23" s="6" t="s">
        <v>296</v>
      </c>
      <c r="AQ23" s="21" t="s">
        <v>4406</v>
      </c>
      <c r="AR23" s="6" t="s">
        <v>297</v>
      </c>
      <c r="AS23" s="6" t="s">
        <v>298</v>
      </c>
      <c r="AT23" s="14">
        <v>2</v>
      </c>
      <c r="AU23" s="14">
        <v>2</v>
      </c>
      <c r="AV23" s="14">
        <v>2</v>
      </c>
      <c r="AW23" s="14">
        <v>2</v>
      </c>
      <c r="AX23" s="14">
        <v>2</v>
      </c>
      <c r="AY23" s="14">
        <v>2</v>
      </c>
      <c r="AZ23" s="14">
        <v>2</v>
      </c>
      <c r="BA23" s="2"/>
    </row>
    <row r="24" spans="1:53" ht="44" customHeight="1" x14ac:dyDescent="0.2">
      <c r="A24" s="6">
        <v>44426611</v>
      </c>
      <c r="B24" s="6"/>
      <c r="C24" s="7" t="s">
        <v>35</v>
      </c>
      <c r="D24" s="6" t="s">
        <v>299</v>
      </c>
      <c r="E24" s="6">
        <f t="shared" si="0"/>
        <v>134</v>
      </c>
      <c r="F24" s="6" t="s">
        <v>300</v>
      </c>
      <c r="G24" s="6">
        <f t="shared" si="1"/>
        <v>23</v>
      </c>
      <c r="H24" s="9">
        <f t="shared" si="2"/>
        <v>0.82835820895522383</v>
      </c>
      <c r="I24" s="6" t="s">
        <v>5129</v>
      </c>
      <c r="J24" s="6">
        <v>3</v>
      </c>
      <c r="K24" s="9">
        <f t="shared" si="3"/>
        <v>2.2388059701492536E-2</v>
      </c>
      <c r="L24" s="6">
        <v>2</v>
      </c>
      <c r="M24" s="6">
        <v>2</v>
      </c>
      <c r="N24" s="6">
        <v>1</v>
      </c>
      <c r="O24" s="6" t="str">
        <f t="shared" si="4"/>
        <v>Overtriaged</v>
      </c>
      <c r="P24" s="6"/>
      <c r="Q24" s="6">
        <v>2</v>
      </c>
      <c r="R24" s="6" t="str">
        <f t="shared" si="5"/>
        <v>Correct</v>
      </c>
      <c r="S24" s="6" t="s">
        <v>3554</v>
      </c>
      <c r="T24" s="14">
        <v>2</v>
      </c>
      <c r="U24" s="6" t="str">
        <f t="shared" si="6"/>
        <v>Correct</v>
      </c>
      <c r="V24" s="15">
        <v>2</v>
      </c>
      <c r="W24" s="15" t="str">
        <f t="shared" si="7"/>
        <v>Correct</v>
      </c>
      <c r="X24" s="14">
        <v>2</v>
      </c>
      <c r="Y24" s="14" t="str">
        <f t="shared" si="8"/>
        <v>Correct</v>
      </c>
      <c r="Z24" s="6">
        <v>23</v>
      </c>
      <c r="AA24" s="6" t="s">
        <v>301</v>
      </c>
      <c r="AB24" s="6" t="s">
        <v>302</v>
      </c>
      <c r="AC24" s="6">
        <v>1</v>
      </c>
      <c r="AD24" s="6" t="s">
        <v>40</v>
      </c>
      <c r="AE24" s="6" t="s">
        <v>241</v>
      </c>
      <c r="AF24" s="6" t="s">
        <v>44</v>
      </c>
      <c r="AG24" s="6" t="s">
        <v>44</v>
      </c>
      <c r="AH24" s="6" t="s">
        <v>44</v>
      </c>
      <c r="AI24" s="6" t="s">
        <v>44</v>
      </c>
      <c r="AJ24" s="6" t="s">
        <v>44</v>
      </c>
      <c r="AK24" s="6" t="s">
        <v>303</v>
      </c>
      <c r="AL24" s="6" t="s">
        <v>5100</v>
      </c>
      <c r="AM24" s="6" t="s">
        <v>304</v>
      </c>
      <c r="AN24" s="6" t="s">
        <v>299</v>
      </c>
      <c r="AO24" s="6" t="s">
        <v>299</v>
      </c>
      <c r="AP24" s="6" t="s">
        <v>299</v>
      </c>
      <c r="AQ24" s="21" t="s">
        <v>299</v>
      </c>
      <c r="AR24" s="6" t="s">
        <v>299</v>
      </c>
      <c r="AS24" s="6" t="s">
        <v>305</v>
      </c>
      <c r="AT24" s="14">
        <v>2</v>
      </c>
      <c r="AU24" s="14">
        <v>2</v>
      </c>
      <c r="AV24" s="14">
        <v>2</v>
      </c>
      <c r="AW24" s="14">
        <v>2</v>
      </c>
      <c r="AX24" s="14">
        <v>2</v>
      </c>
      <c r="AY24" s="14">
        <v>2</v>
      </c>
      <c r="AZ24" s="14">
        <v>2</v>
      </c>
      <c r="BA24" s="2"/>
    </row>
    <row r="25" spans="1:53" ht="44" customHeight="1" x14ac:dyDescent="0.2">
      <c r="A25" s="6">
        <v>44509525</v>
      </c>
      <c r="B25" s="6"/>
      <c r="C25" s="7" t="s">
        <v>35</v>
      </c>
      <c r="D25" s="6" t="s">
        <v>306</v>
      </c>
      <c r="E25" s="6">
        <f t="shared" si="0"/>
        <v>150</v>
      </c>
      <c r="F25" s="6" t="s">
        <v>307</v>
      </c>
      <c r="G25" s="6">
        <f t="shared" si="1"/>
        <v>28</v>
      </c>
      <c r="H25" s="9">
        <f t="shared" si="2"/>
        <v>0.81333333333333335</v>
      </c>
      <c r="I25" s="6" t="s">
        <v>5130</v>
      </c>
      <c r="J25" s="6">
        <v>4</v>
      </c>
      <c r="K25" s="9">
        <f t="shared" si="3"/>
        <v>2.6666666666666668E-2</v>
      </c>
      <c r="L25" s="6">
        <v>5</v>
      </c>
      <c r="M25" s="6">
        <v>2</v>
      </c>
      <c r="N25" s="6">
        <v>2</v>
      </c>
      <c r="O25" s="6" t="str">
        <f t="shared" si="4"/>
        <v>Correct</v>
      </c>
      <c r="P25" s="6"/>
      <c r="Q25" s="6">
        <v>2</v>
      </c>
      <c r="R25" s="6" t="str">
        <f t="shared" si="5"/>
        <v>Correct</v>
      </c>
      <c r="S25" s="6" t="s">
        <v>3555</v>
      </c>
      <c r="T25" s="14">
        <v>2</v>
      </c>
      <c r="U25" s="6" t="str">
        <f t="shared" si="6"/>
        <v>Correct</v>
      </c>
      <c r="V25" s="15">
        <v>2</v>
      </c>
      <c r="W25" s="15" t="str">
        <f t="shared" si="7"/>
        <v>Correct</v>
      </c>
      <c r="X25" s="14">
        <v>2</v>
      </c>
      <c r="Y25" s="14" t="str">
        <f t="shared" si="8"/>
        <v>Correct</v>
      </c>
      <c r="Z25" s="6">
        <v>24</v>
      </c>
      <c r="AA25" s="6" t="s">
        <v>38</v>
      </c>
      <c r="AB25" s="6" t="s">
        <v>308</v>
      </c>
      <c r="AC25" s="6">
        <v>1</v>
      </c>
      <c r="AD25" s="6" t="s">
        <v>40</v>
      </c>
      <c r="AE25" s="6" t="s">
        <v>309</v>
      </c>
      <c r="AF25" s="6" t="s">
        <v>310</v>
      </c>
      <c r="AG25" s="6" t="s">
        <v>311</v>
      </c>
      <c r="AH25" s="6" t="s">
        <v>44</v>
      </c>
      <c r="AI25" s="6" t="s">
        <v>4339</v>
      </c>
      <c r="AJ25" s="6" t="s">
        <v>312</v>
      </c>
      <c r="AK25" s="6" t="s">
        <v>313</v>
      </c>
      <c r="AL25" s="6" t="s">
        <v>3476</v>
      </c>
      <c r="AM25" s="6" t="s">
        <v>314</v>
      </c>
      <c r="AN25" s="6" t="s">
        <v>315</v>
      </c>
      <c r="AO25" s="6" t="s">
        <v>316</v>
      </c>
      <c r="AP25" s="6" t="s">
        <v>306</v>
      </c>
      <c r="AQ25" s="21" t="s">
        <v>4407</v>
      </c>
      <c r="AR25" s="6" t="s">
        <v>317</v>
      </c>
      <c r="AS25" s="6" t="s">
        <v>318</v>
      </c>
      <c r="AT25" s="14">
        <v>2</v>
      </c>
      <c r="AU25" s="14">
        <v>2</v>
      </c>
      <c r="AV25" s="14">
        <v>2</v>
      </c>
      <c r="AW25" s="14">
        <v>2</v>
      </c>
      <c r="AX25" s="14">
        <v>1</v>
      </c>
      <c r="AY25" s="14">
        <v>2</v>
      </c>
      <c r="AZ25" s="14">
        <v>2</v>
      </c>
      <c r="BA25" s="2"/>
    </row>
    <row r="26" spans="1:53" ht="44" customHeight="1" x14ac:dyDescent="0.2">
      <c r="A26" s="6">
        <v>44540067</v>
      </c>
      <c r="B26" s="6"/>
      <c r="C26" s="7" t="s">
        <v>35</v>
      </c>
      <c r="D26" s="6" t="s">
        <v>319</v>
      </c>
      <c r="E26" s="6">
        <f t="shared" si="0"/>
        <v>167</v>
      </c>
      <c r="F26" s="6" t="s">
        <v>320</v>
      </c>
      <c r="G26" s="6">
        <f t="shared" si="1"/>
        <v>42</v>
      </c>
      <c r="H26" s="9">
        <f t="shared" si="2"/>
        <v>0.74850299401197606</v>
      </c>
      <c r="I26" s="6"/>
      <c r="J26" s="6">
        <v>0</v>
      </c>
      <c r="K26" s="9">
        <f t="shared" si="3"/>
        <v>0</v>
      </c>
      <c r="L26" s="6">
        <v>1</v>
      </c>
      <c r="M26" s="6">
        <v>2</v>
      </c>
      <c r="N26" s="6">
        <v>2</v>
      </c>
      <c r="O26" s="6" t="str">
        <f t="shared" si="4"/>
        <v>Correct</v>
      </c>
      <c r="P26" s="6"/>
      <c r="Q26" s="6">
        <v>2</v>
      </c>
      <c r="R26" s="6" t="str">
        <f t="shared" si="5"/>
        <v>Correct</v>
      </c>
      <c r="S26" s="6" t="s">
        <v>3556</v>
      </c>
      <c r="T26" s="14">
        <v>2</v>
      </c>
      <c r="U26" s="6" t="str">
        <f t="shared" si="6"/>
        <v>Correct</v>
      </c>
      <c r="V26" s="15">
        <v>2</v>
      </c>
      <c r="W26" s="15" t="str">
        <f t="shared" si="7"/>
        <v>Correct</v>
      </c>
      <c r="X26" s="14">
        <v>2</v>
      </c>
      <c r="Y26" s="14" t="str">
        <f t="shared" si="8"/>
        <v>Correct</v>
      </c>
      <c r="Z26" s="6">
        <v>25</v>
      </c>
      <c r="AA26" s="6" t="s">
        <v>321</v>
      </c>
      <c r="AB26" s="6" t="s">
        <v>322</v>
      </c>
      <c r="AC26" s="6">
        <v>1</v>
      </c>
      <c r="AD26" s="6" t="s">
        <v>40</v>
      </c>
      <c r="AE26" s="6" t="s">
        <v>323</v>
      </c>
      <c r="AF26" s="6" t="s">
        <v>3874</v>
      </c>
      <c r="AG26" s="6" t="s">
        <v>324</v>
      </c>
      <c r="AH26" s="6" t="s">
        <v>325</v>
      </c>
      <c r="AI26" s="6" t="s">
        <v>44</v>
      </c>
      <c r="AJ26" s="6" t="s">
        <v>44</v>
      </c>
      <c r="AK26" s="6" t="s">
        <v>3875</v>
      </c>
      <c r="AL26" s="6" t="s">
        <v>5098</v>
      </c>
      <c r="AM26" s="6" t="s">
        <v>326</v>
      </c>
      <c r="AN26" s="6" t="s">
        <v>4608</v>
      </c>
      <c r="AO26" s="6" t="s">
        <v>327</v>
      </c>
      <c r="AP26" s="6" t="s">
        <v>328</v>
      </c>
      <c r="AQ26" s="21" t="s">
        <v>319</v>
      </c>
      <c r="AR26" s="6" t="s">
        <v>319</v>
      </c>
      <c r="AS26" s="6" t="s">
        <v>4609</v>
      </c>
      <c r="AT26" s="14">
        <v>2</v>
      </c>
      <c r="AU26" s="14">
        <v>2</v>
      </c>
      <c r="AV26" s="14">
        <v>2</v>
      </c>
      <c r="AW26" s="14">
        <v>2</v>
      </c>
      <c r="AX26" s="14">
        <v>2</v>
      </c>
      <c r="AY26" s="14">
        <v>2</v>
      </c>
      <c r="AZ26" s="14">
        <v>2</v>
      </c>
      <c r="BA26" s="2"/>
    </row>
    <row r="27" spans="1:53" ht="44" customHeight="1" x14ac:dyDescent="0.2">
      <c r="A27" s="6">
        <v>44577238</v>
      </c>
      <c r="B27" s="6"/>
      <c r="C27" s="7" t="s">
        <v>35</v>
      </c>
      <c r="D27" s="6" t="s">
        <v>329</v>
      </c>
      <c r="E27" s="6">
        <f t="shared" si="0"/>
        <v>69</v>
      </c>
      <c r="F27" s="6" t="s">
        <v>330</v>
      </c>
      <c r="G27" s="6">
        <f t="shared" si="1"/>
        <v>8</v>
      </c>
      <c r="H27" s="9">
        <f t="shared" si="2"/>
        <v>0.88405797101449279</v>
      </c>
      <c r="I27" s="6" t="s">
        <v>5131</v>
      </c>
      <c r="J27" s="6">
        <v>2</v>
      </c>
      <c r="K27" s="9">
        <f t="shared" si="3"/>
        <v>2.8985507246376812E-2</v>
      </c>
      <c r="L27" s="6">
        <v>6</v>
      </c>
      <c r="M27" s="6">
        <v>2</v>
      </c>
      <c r="N27" s="6">
        <v>2</v>
      </c>
      <c r="O27" s="6" t="str">
        <f t="shared" si="4"/>
        <v>Correct</v>
      </c>
      <c r="P27" s="6"/>
      <c r="Q27" s="6">
        <v>2</v>
      </c>
      <c r="R27" s="6" t="str">
        <f t="shared" si="5"/>
        <v>Correct</v>
      </c>
      <c r="S27" s="6" t="s">
        <v>3557</v>
      </c>
      <c r="T27" s="14">
        <v>2</v>
      </c>
      <c r="U27" s="6" t="str">
        <f t="shared" si="6"/>
        <v>Correct</v>
      </c>
      <c r="V27" s="15">
        <v>1</v>
      </c>
      <c r="W27" s="15" t="str">
        <f t="shared" si="7"/>
        <v>Overtriaged</v>
      </c>
      <c r="X27" s="14">
        <v>1</v>
      </c>
      <c r="Y27" s="14" t="str">
        <f t="shared" si="8"/>
        <v>Overtriaged</v>
      </c>
      <c r="Z27" s="6">
        <v>26</v>
      </c>
      <c r="AA27" s="6" t="s">
        <v>331</v>
      </c>
      <c r="AB27" s="6" t="s">
        <v>332</v>
      </c>
      <c r="AC27" s="6">
        <v>1</v>
      </c>
      <c r="AD27" s="6" t="s">
        <v>40</v>
      </c>
      <c r="AE27" s="6" t="s">
        <v>333</v>
      </c>
      <c r="AF27" s="6" t="s">
        <v>44</v>
      </c>
      <c r="AG27" s="6" t="s">
        <v>44</v>
      </c>
      <c r="AH27" s="6" t="s">
        <v>44</v>
      </c>
      <c r="AI27" s="6" t="s">
        <v>44</v>
      </c>
      <c r="AJ27" s="6" t="s">
        <v>44</v>
      </c>
      <c r="AK27" s="6" t="s">
        <v>334</v>
      </c>
      <c r="AL27" s="6" t="s">
        <v>5100</v>
      </c>
      <c r="AM27" s="6" t="s">
        <v>4610</v>
      </c>
      <c r="AN27" s="6" t="s">
        <v>329</v>
      </c>
      <c r="AO27" s="6" t="s">
        <v>329</v>
      </c>
      <c r="AP27" s="6" t="s">
        <v>329</v>
      </c>
      <c r="AQ27" s="21" t="s">
        <v>329</v>
      </c>
      <c r="AR27" s="6" t="s">
        <v>329</v>
      </c>
      <c r="AS27" s="6" t="s">
        <v>335</v>
      </c>
      <c r="AT27" s="14">
        <v>2</v>
      </c>
      <c r="AU27" s="14">
        <v>2</v>
      </c>
      <c r="AV27" s="14">
        <v>2</v>
      </c>
      <c r="AW27" s="14">
        <v>2</v>
      </c>
      <c r="AX27" s="14">
        <v>2</v>
      </c>
      <c r="AY27" s="14">
        <v>2</v>
      </c>
      <c r="AZ27" s="14">
        <v>2</v>
      </c>
      <c r="BA27" s="2"/>
    </row>
    <row r="28" spans="1:53" ht="44" customHeight="1" x14ac:dyDescent="0.2">
      <c r="A28" s="6">
        <v>44678353</v>
      </c>
      <c r="B28" s="6"/>
      <c r="C28" s="7" t="s">
        <v>35</v>
      </c>
      <c r="D28" s="6" t="s">
        <v>336</v>
      </c>
      <c r="E28" s="6">
        <f t="shared" si="0"/>
        <v>107</v>
      </c>
      <c r="F28" s="6" t="s">
        <v>337</v>
      </c>
      <c r="G28" s="6">
        <f t="shared" si="1"/>
        <v>41</v>
      </c>
      <c r="H28" s="9">
        <f t="shared" si="2"/>
        <v>0.61682242990654201</v>
      </c>
      <c r="I28" s="6" t="s">
        <v>5132</v>
      </c>
      <c r="J28" s="6">
        <v>2</v>
      </c>
      <c r="K28" s="9">
        <f t="shared" si="3"/>
        <v>1.8691588785046728E-2</v>
      </c>
      <c r="L28" s="6">
        <v>4</v>
      </c>
      <c r="M28" s="6">
        <v>2</v>
      </c>
      <c r="N28" s="6">
        <v>2</v>
      </c>
      <c r="O28" s="6" t="str">
        <f t="shared" si="4"/>
        <v>Correct</v>
      </c>
      <c r="P28" s="6"/>
      <c r="Q28" s="6">
        <v>2</v>
      </c>
      <c r="R28" s="6" t="str">
        <f t="shared" si="5"/>
        <v>Correct</v>
      </c>
      <c r="S28" s="6" t="s">
        <v>3558</v>
      </c>
      <c r="T28" s="14">
        <v>2</v>
      </c>
      <c r="U28" s="6" t="str">
        <f t="shared" si="6"/>
        <v>Correct</v>
      </c>
      <c r="V28" s="15">
        <v>2</v>
      </c>
      <c r="W28" s="15" t="str">
        <f t="shared" si="7"/>
        <v>Correct</v>
      </c>
      <c r="X28" s="14">
        <v>2</v>
      </c>
      <c r="Y28" s="14" t="str">
        <f t="shared" si="8"/>
        <v>Correct</v>
      </c>
      <c r="Z28" s="6">
        <v>27</v>
      </c>
      <c r="AA28" s="6" t="s">
        <v>338</v>
      </c>
      <c r="AB28" s="6" t="s">
        <v>339</v>
      </c>
      <c r="AC28" s="6">
        <v>1</v>
      </c>
      <c r="AD28" s="6" t="s">
        <v>40</v>
      </c>
      <c r="AE28" s="6" t="s">
        <v>340</v>
      </c>
      <c r="AF28" s="6" t="s">
        <v>3876</v>
      </c>
      <c r="AG28" s="6" t="s">
        <v>341</v>
      </c>
      <c r="AH28" s="6" t="s">
        <v>342</v>
      </c>
      <c r="AI28" s="6" t="s">
        <v>3375</v>
      </c>
      <c r="AJ28" s="6" t="s">
        <v>343</v>
      </c>
      <c r="AK28" s="6" t="s">
        <v>344</v>
      </c>
      <c r="AL28" s="6" t="s">
        <v>3477</v>
      </c>
      <c r="AM28" s="6" t="s">
        <v>345</v>
      </c>
      <c r="AN28" s="6" t="s">
        <v>4611</v>
      </c>
      <c r="AO28" s="6" t="s">
        <v>346</v>
      </c>
      <c r="AP28" s="6" t="s">
        <v>347</v>
      </c>
      <c r="AQ28" s="21" t="s">
        <v>4408</v>
      </c>
      <c r="AR28" s="6" t="s">
        <v>348</v>
      </c>
      <c r="AS28" s="6" t="s">
        <v>349</v>
      </c>
      <c r="AT28" s="14">
        <v>2</v>
      </c>
      <c r="AU28" s="14">
        <v>2</v>
      </c>
      <c r="AV28" s="14">
        <v>2</v>
      </c>
      <c r="AW28" s="14">
        <v>2</v>
      </c>
      <c r="AX28" s="14">
        <v>2</v>
      </c>
      <c r="AY28" s="14">
        <v>2</v>
      </c>
      <c r="AZ28" s="14">
        <v>2</v>
      </c>
      <c r="BA28" s="2"/>
    </row>
    <row r="29" spans="1:53" ht="44" customHeight="1" x14ac:dyDescent="0.2">
      <c r="A29" s="6">
        <v>44711037</v>
      </c>
      <c r="B29" s="6"/>
      <c r="C29" s="7" t="s">
        <v>35</v>
      </c>
      <c r="D29" s="6" t="s">
        <v>350</v>
      </c>
      <c r="E29" s="6">
        <f t="shared" si="0"/>
        <v>127</v>
      </c>
      <c r="F29" s="6" t="s">
        <v>351</v>
      </c>
      <c r="G29" s="6">
        <f t="shared" si="1"/>
        <v>40</v>
      </c>
      <c r="H29" s="9">
        <f t="shared" si="2"/>
        <v>0.68503937007874016</v>
      </c>
      <c r="I29" s="6" t="s">
        <v>5133</v>
      </c>
      <c r="J29" s="6">
        <v>4</v>
      </c>
      <c r="K29" s="9">
        <f t="shared" si="3"/>
        <v>3.1496062992125984E-2</v>
      </c>
      <c r="L29" s="6">
        <v>9</v>
      </c>
      <c r="M29" s="6">
        <v>2</v>
      </c>
      <c r="N29" s="6">
        <v>2</v>
      </c>
      <c r="O29" s="6" t="str">
        <f t="shared" si="4"/>
        <v>Correct</v>
      </c>
      <c r="P29" s="6"/>
      <c r="Q29" s="6">
        <v>1</v>
      </c>
      <c r="R29" s="6" t="str">
        <f t="shared" si="5"/>
        <v>Overtriaged</v>
      </c>
      <c r="S29" s="6" t="s">
        <v>3765</v>
      </c>
      <c r="T29" s="14">
        <v>1</v>
      </c>
      <c r="U29" s="6" t="str">
        <f t="shared" si="6"/>
        <v>Overtriaged</v>
      </c>
      <c r="V29" s="15">
        <v>1</v>
      </c>
      <c r="W29" s="15" t="str">
        <f t="shared" si="7"/>
        <v>Overtriaged</v>
      </c>
      <c r="X29" s="14">
        <v>2</v>
      </c>
      <c r="Y29" s="14" t="str">
        <f t="shared" si="8"/>
        <v>Correct</v>
      </c>
      <c r="Z29" s="6">
        <v>28</v>
      </c>
      <c r="AA29" s="6" t="s">
        <v>352</v>
      </c>
      <c r="AB29" s="6" t="s">
        <v>353</v>
      </c>
      <c r="AC29" s="6">
        <v>1</v>
      </c>
      <c r="AD29" s="6" t="s">
        <v>40</v>
      </c>
      <c r="AE29" s="6" t="s">
        <v>354</v>
      </c>
      <c r="AF29" s="6" t="s">
        <v>355</v>
      </c>
      <c r="AG29" s="6" t="s">
        <v>356</v>
      </c>
      <c r="AH29" s="6" t="s">
        <v>44</v>
      </c>
      <c r="AI29" s="6" t="s">
        <v>3376</v>
      </c>
      <c r="AJ29" s="6" t="s">
        <v>357</v>
      </c>
      <c r="AK29" s="6" t="s">
        <v>3877</v>
      </c>
      <c r="AL29" s="6" t="s">
        <v>3476</v>
      </c>
      <c r="AM29" s="6" t="s">
        <v>358</v>
      </c>
      <c r="AN29" s="6" t="s">
        <v>359</v>
      </c>
      <c r="AO29" s="6" t="s">
        <v>360</v>
      </c>
      <c r="AP29" s="6" t="s">
        <v>350</v>
      </c>
      <c r="AQ29" s="21" t="s">
        <v>4409</v>
      </c>
      <c r="AR29" s="6" t="s">
        <v>361</v>
      </c>
      <c r="AS29" s="6" t="s">
        <v>4612</v>
      </c>
      <c r="AT29" s="14">
        <v>1</v>
      </c>
      <c r="AU29" s="14">
        <v>1</v>
      </c>
      <c r="AV29" s="14">
        <v>1</v>
      </c>
      <c r="AW29" s="14">
        <v>1</v>
      </c>
      <c r="AX29" s="14">
        <v>2</v>
      </c>
      <c r="AY29" s="14">
        <v>2</v>
      </c>
      <c r="AZ29" s="14">
        <v>2</v>
      </c>
      <c r="BA29" s="2"/>
    </row>
    <row r="30" spans="1:53" ht="44" customHeight="1" x14ac:dyDescent="0.2">
      <c r="A30" s="6">
        <v>44758677</v>
      </c>
      <c r="B30" s="6"/>
      <c r="C30" s="7" t="s">
        <v>35</v>
      </c>
      <c r="D30" s="6" t="s">
        <v>362</v>
      </c>
      <c r="E30" s="6">
        <f t="shared" si="0"/>
        <v>98</v>
      </c>
      <c r="F30" s="6" t="s">
        <v>364</v>
      </c>
      <c r="G30" s="6">
        <f t="shared" si="1"/>
        <v>24</v>
      </c>
      <c r="H30" s="9">
        <f t="shared" si="2"/>
        <v>0.75510204081632648</v>
      </c>
      <c r="I30" s="6" t="s">
        <v>5134</v>
      </c>
      <c r="J30" s="6">
        <v>2</v>
      </c>
      <c r="K30" s="9">
        <f t="shared" si="3"/>
        <v>2.0408163265306121E-2</v>
      </c>
      <c r="L30" s="6">
        <v>1</v>
      </c>
      <c r="M30" s="6">
        <v>2</v>
      </c>
      <c r="N30" s="6">
        <v>2</v>
      </c>
      <c r="O30" s="6" t="str">
        <f t="shared" si="4"/>
        <v>Correct</v>
      </c>
      <c r="P30" s="6"/>
      <c r="Q30" s="6">
        <v>2</v>
      </c>
      <c r="R30" s="6" t="str">
        <f t="shared" si="5"/>
        <v>Correct</v>
      </c>
      <c r="S30" s="6" t="s">
        <v>363</v>
      </c>
      <c r="T30" s="14">
        <v>2</v>
      </c>
      <c r="U30" s="6" t="str">
        <f t="shared" si="6"/>
        <v>Correct</v>
      </c>
      <c r="V30" s="15">
        <v>2</v>
      </c>
      <c r="W30" s="15" t="str">
        <f t="shared" si="7"/>
        <v>Correct</v>
      </c>
      <c r="X30" s="14">
        <v>2</v>
      </c>
      <c r="Y30" s="14" t="str">
        <f t="shared" si="8"/>
        <v>Correct</v>
      </c>
      <c r="Z30" s="6">
        <v>29</v>
      </c>
      <c r="AA30" s="6" t="s">
        <v>338</v>
      </c>
      <c r="AB30" s="6" t="s">
        <v>365</v>
      </c>
      <c r="AC30" s="6">
        <v>1</v>
      </c>
      <c r="AD30" s="6" t="s">
        <v>40</v>
      </c>
      <c r="AE30" s="6" t="s">
        <v>309</v>
      </c>
      <c r="AF30" s="6" t="s">
        <v>44</v>
      </c>
      <c r="AG30" s="6" t="s">
        <v>366</v>
      </c>
      <c r="AH30" s="6" t="s">
        <v>44</v>
      </c>
      <c r="AI30" s="6" t="s">
        <v>44</v>
      </c>
      <c r="AJ30" s="6" t="s">
        <v>44</v>
      </c>
      <c r="AK30" s="6" t="s">
        <v>367</v>
      </c>
      <c r="AL30" s="6" t="s">
        <v>5101</v>
      </c>
      <c r="AM30" s="6" t="s">
        <v>368</v>
      </c>
      <c r="AN30" s="6" t="s">
        <v>362</v>
      </c>
      <c r="AO30" s="6" t="s">
        <v>369</v>
      </c>
      <c r="AP30" s="6" t="s">
        <v>362</v>
      </c>
      <c r="AQ30" s="21" t="s">
        <v>362</v>
      </c>
      <c r="AR30" s="6" t="s">
        <v>362</v>
      </c>
      <c r="AS30" s="6" t="s">
        <v>370</v>
      </c>
      <c r="AT30" s="14">
        <v>2</v>
      </c>
      <c r="AU30" s="14">
        <v>2</v>
      </c>
      <c r="AV30" s="14">
        <v>2</v>
      </c>
      <c r="AW30" s="14">
        <v>2</v>
      </c>
      <c r="AX30" s="14">
        <v>2</v>
      </c>
      <c r="AY30" s="14">
        <v>2</v>
      </c>
      <c r="AZ30" s="14">
        <v>2</v>
      </c>
      <c r="BA30" s="2"/>
    </row>
    <row r="31" spans="1:53" ht="44" customHeight="1" x14ac:dyDescent="0.2">
      <c r="A31" s="6">
        <v>44811507</v>
      </c>
      <c r="B31" s="6"/>
      <c r="C31" s="7" t="s">
        <v>35</v>
      </c>
      <c r="D31" s="6" t="s">
        <v>371</v>
      </c>
      <c r="E31" s="6">
        <f t="shared" si="0"/>
        <v>210</v>
      </c>
      <c r="F31" s="6" t="s">
        <v>372</v>
      </c>
      <c r="G31" s="6">
        <f t="shared" si="1"/>
        <v>78</v>
      </c>
      <c r="H31" s="9">
        <f t="shared" si="2"/>
        <v>0.62857142857142856</v>
      </c>
      <c r="I31" s="6"/>
      <c r="J31" s="6">
        <v>0</v>
      </c>
      <c r="K31" s="9">
        <f t="shared" si="3"/>
        <v>0</v>
      </c>
      <c r="L31" s="6">
        <v>2</v>
      </c>
      <c r="M31" s="6">
        <v>2</v>
      </c>
      <c r="N31" s="6">
        <v>1</v>
      </c>
      <c r="O31" s="6" t="str">
        <f t="shared" si="4"/>
        <v>Overtriaged</v>
      </c>
      <c r="P31" s="6"/>
      <c r="Q31" s="6">
        <v>1</v>
      </c>
      <c r="R31" s="6" t="str">
        <f t="shared" si="5"/>
        <v>Overtriaged</v>
      </c>
      <c r="S31" s="6" t="s">
        <v>3766</v>
      </c>
      <c r="T31" s="14">
        <v>2</v>
      </c>
      <c r="U31" s="6" t="str">
        <f t="shared" si="6"/>
        <v>Correct</v>
      </c>
      <c r="V31" s="15">
        <v>2</v>
      </c>
      <c r="W31" s="15" t="str">
        <f t="shared" si="7"/>
        <v>Correct</v>
      </c>
      <c r="X31" s="14">
        <v>2</v>
      </c>
      <c r="Y31" s="14" t="str">
        <f t="shared" si="8"/>
        <v>Correct</v>
      </c>
      <c r="Z31" s="6">
        <v>30</v>
      </c>
      <c r="AA31" s="6" t="s">
        <v>373</v>
      </c>
      <c r="AB31" s="6" t="s">
        <v>374</v>
      </c>
      <c r="AC31" s="6">
        <v>1</v>
      </c>
      <c r="AD31" s="6" t="s">
        <v>40</v>
      </c>
      <c r="AE31" s="6" t="s">
        <v>44</v>
      </c>
      <c r="AF31" s="6" t="s">
        <v>375</v>
      </c>
      <c r="AG31" s="6" t="s">
        <v>376</v>
      </c>
      <c r="AH31" s="6" t="s">
        <v>44</v>
      </c>
      <c r="AI31" s="6" t="s">
        <v>4340</v>
      </c>
      <c r="AJ31" s="6" t="s">
        <v>3878</v>
      </c>
      <c r="AK31" s="6" t="s">
        <v>377</v>
      </c>
      <c r="AL31" s="6" t="s">
        <v>5102</v>
      </c>
      <c r="AM31" s="6" t="s">
        <v>371</v>
      </c>
      <c r="AN31" s="6" t="s">
        <v>378</v>
      </c>
      <c r="AO31" s="6" t="s">
        <v>379</v>
      </c>
      <c r="AP31" s="6" t="s">
        <v>371</v>
      </c>
      <c r="AQ31" s="21" t="s">
        <v>4410</v>
      </c>
      <c r="AR31" s="6" t="s">
        <v>4613</v>
      </c>
      <c r="AS31" s="6" t="s">
        <v>380</v>
      </c>
      <c r="AT31" s="14">
        <v>2</v>
      </c>
      <c r="AU31" s="14">
        <v>2</v>
      </c>
      <c r="AV31" s="14">
        <v>2</v>
      </c>
      <c r="AW31" s="14">
        <v>2</v>
      </c>
      <c r="AX31" s="14">
        <v>2</v>
      </c>
      <c r="AY31" s="14">
        <v>2</v>
      </c>
      <c r="AZ31" s="14">
        <v>2</v>
      </c>
      <c r="BA31" s="2"/>
    </row>
    <row r="32" spans="1:53" ht="44" customHeight="1" x14ac:dyDescent="0.2">
      <c r="A32" s="6">
        <v>44837389</v>
      </c>
      <c r="B32" s="6"/>
      <c r="C32" s="7" t="s">
        <v>35</v>
      </c>
      <c r="D32" s="6" t="s">
        <v>381</v>
      </c>
      <c r="E32" s="6">
        <f t="shared" si="0"/>
        <v>214</v>
      </c>
      <c r="F32" s="6" t="s">
        <v>382</v>
      </c>
      <c r="G32" s="6">
        <f t="shared" si="1"/>
        <v>24</v>
      </c>
      <c r="H32" s="9">
        <f t="shared" si="2"/>
        <v>0.88785046728971961</v>
      </c>
      <c r="I32" s="6"/>
      <c r="J32" s="6">
        <v>0</v>
      </c>
      <c r="K32" s="9">
        <f t="shared" si="3"/>
        <v>0</v>
      </c>
      <c r="L32" s="6">
        <v>5</v>
      </c>
      <c r="M32" s="6">
        <v>2</v>
      </c>
      <c r="N32" s="6">
        <v>2</v>
      </c>
      <c r="O32" s="6" t="str">
        <f t="shared" si="4"/>
        <v>Correct</v>
      </c>
      <c r="P32" s="6"/>
      <c r="Q32" s="6">
        <v>2</v>
      </c>
      <c r="R32" s="6" t="str">
        <f t="shared" si="5"/>
        <v>Correct</v>
      </c>
      <c r="S32" s="6" t="s">
        <v>3559</v>
      </c>
      <c r="T32" s="14">
        <v>2</v>
      </c>
      <c r="U32" s="6" t="str">
        <f t="shared" si="6"/>
        <v>Correct</v>
      </c>
      <c r="V32" s="15">
        <v>2</v>
      </c>
      <c r="W32" s="15" t="str">
        <f t="shared" si="7"/>
        <v>Correct</v>
      </c>
      <c r="X32" s="14">
        <v>2</v>
      </c>
      <c r="Y32" s="14" t="str">
        <f t="shared" si="8"/>
        <v>Correct</v>
      </c>
      <c r="Z32" s="6">
        <v>31</v>
      </c>
      <c r="AA32" s="6" t="s">
        <v>383</v>
      </c>
      <c r="AB32" s="6" t="s">
        <v>384</v>
      </c>
      <c r="AC32" s="6">
        <v>1</v>
      </c>
      <c r="AD32" s="6" t="s">
        <v>40</v>
      </c>
      <c r="AE32" s="6" t="s">
        <v>385</v>
      </c>
      <c r="AF32" s="6" t="s">
        <v>44</v>
      </c>
      <c r="AG32" s="6" t="s">
        <v>44</v>
      </c>
      <c r="AH32" s="6" t="s">
        <v>44</v>
      </c>
      <c r="AI32" s="6" t="s">
        <v>4341</v>
      </c>
      <c r="AJ32" s="6" t="s">
        <v>3879</v>
      </c>
      <c r="AK32" s="6" t="s">
        <v>386</v>
      </c>
      <c r="AL32" s="6" t="s">
        <v>3480</v>
      </c>
      <c r="AM32" s="6" t="s">
        <v>387</v>
      </c>
      <c r="AN32" s="6" t="s">
        <v>381</v>
      </c>
      <c r="AO32" s="6" t="s">
        <v>381</v>
      </c>
      <c r="AP32" s="6" t="s">
        <v>381</v>
      </c>
      <c r="AQ32" s="21" t="s">
        <v>4411</v>
      </c>
      <c r="AR32" s="6" t="s">
        <v>4614</v>
      </c>
      <c r="AS32" s="6" t="s">
        <v>388</v>
      </c>
      <c r="AT32" s="14">
        <v>2</v>
      </c>
      <c r="AU32" s="14">
        <v>2</v>
      </c>
      <c r="AV32" s="14">
        <v>2</v>
      </c>
      <c r="AW32" s="14">
        <v>2</v>
      </c>
      <c r="AX32" s="14">
        <v>2</v>
      </c>
      <c r="AY32" s="14">
        <v>2</v>
      </c>
      <c r="AZ32" s="14">
        <v>2</v>
      </c>
      <c r="BA32" s="2"/>
    </row>
    <row r="33" spans="1:53" ht="44" customHeight="1" x14ac:dyDescent="0.2">
      <c r="A33" s="6">
        <v>45020580</v>
      </c>
      <c r="B33" s="6"/>
      <c r="C33" s="7" t="s">
        <v>35</v>
      </c>
      <c r="D33" s="6" t="s">
        <v>389</v>
      </c>
      <c r="E33" s="6">
        <f t="shared" si="0"/>
        <v>86</v>
      </c>
      <c r="F33" s="6" t="s">
        <v>390</v>
      </c>
      <c r="G33" s="6">
        <f t="shared" si="1"/>
        <v>30</v>
      </c>
      <c r="H33" s="9">
        <f t="shared" si="2"/>
        <v>0.65116279069767447</v>
      </c>
      <c r="I33" s="6" t="s">
        <v>5135</v>
      </c>
      <c r="J33" s="6">
        <v>1</v>
      </c>
      <c r="K33" s="9">
        <f t="shared" si="3"/>
        <v>1.1627906976744186E-2</v>
      </c>
      <c r="L33" s="6">
        <v>1</v>
      </c>
      <c r="M33" s="6">
        <v>2</v>
      </c>
      <c r="N33" s="6">
        <v>2</v>
      </c>
      <c r="O33" s="6" t="str">
        <f t="shared" si="4"/>
        <v>Correct</v>
      </c>
      <c r="P33" s="6"/>
      <c r="Q33" s="6">
        <v>2</v>
      </c>
      <c r="R33" s="6" t="str">
        <f t="shared" si="5"/>
        <v>Correct</v>
      </c>
      <c r="S33" s="6" t="s">
        <v>3560</v>
      </c>
      <c r="T33" s="14">
        <v>2</v>
      </c>
      <c r="U33" s="6" t="str">
        <f t="shared" si="6"/>
        <v>Correct</v>
      </c>
      <c r="V33" s="15">
        <v>2</v>
      </c>
      <c r="W33" s="15" t="str">
        <f t="shared" si="7"/>
        <v>Correct</v>
      </c>
      <c r="X33" s="14">
        <v>2</v>
      </c>
      <c r="Y33" s="14" t="str">
        <f t="shared" si="8"/>
        <v>Correct</v>
      </c>
      <c r="Z33" s="6">
        <v>32</v>
      </c>
      <c r="AA33" s="6" t="s">
        <v>200</v>
      </c>
      <c r="AB33" s="6" t="s">
        <v>391</v>
      </c>
      <c r="AC33" s="6">
        <v>1</v>
      </c>
      <c r="AD33" s="6" t="s">
        <v>40</v>
      </c>
      <c r="AE33" s="6" t="s">
        <v>83</v>
      </c>
      <c r="AF33" s="6" t="s">
        <v>44</v>
      </c>
      <c r="AG33" s="6" t="s">
        <v>44</v>
      </c>
      <c r="AH33" s="6" t="s">
        <v>44</v>
      </c>
      <c r="AI33" s="6" t="s">
        <v>44</v>
      </c>
      <c r="AJ33" s="6" t="s">
        <v>44</v>
      </c>
      <c r="AK33" s="6" t="s">
        <v>3880</v>
      </c>
      <c r="AL33" s="6" t="s">
        <v>5100</v>
      </c>
      <c r="AM33" s="6" t="s">
        <v>392</v>
      </c>
      <c r="AN33" s="6" t="s">
        <v>389</v>
      </c>
      <c r="AO33" s="6" t="s">
        <v>389</v>
      </c>
      <c r="AP33" s="6" t="s">
        <v>389</v>
      </c>
      <c r="AQ33" s="21" t="s">
        <v>389</v>
      </c>
      <c r="AR33" s="6" t="s">
        <v>389</v>
      </c>
      <c r="AS33" s="6" t="s">
        <v>4615</v>
      </c>
      <c r="AT33" s="14">
        <v>2</v>
      </c>
      <c r="AU33" s="14">
        <v>2</v>
      </c>
      <c r="AV33" s="14">
        <v>2</v>
      </c>
      <c r="AW33" s="14">
        <v>2</v>
      </c>
      <c r="AX33" s="14">
        <v>2</v>
      </c>
      <c r="AY33" s="14">
        <v>2</v>
      </c>
      <c r="AZ33" s="14">
        <v>2</v>
      </c>
      <c r="BA33" s="2"/>
    </row>
    <row r="34" spans="1:53" ht="44" customHeight="1" x14ac:dyDescent="0.2">
      <c r="A34" s="6">
        <v>45113934</v>
      </c>
      <c r="B34" s="6"/>
      <c r="C34" s="7" t="s">
        <v>35</v>
      </c>
      <c r="D34" s="6" t="s">
        <v>393</v>
      </c>
      <c r="E34" s="6">
        <f t="shared" si="0"/>
        <v>92</v>
      </c>
      <c r="F34" s="6" t="s">
        <v>394</v>
      </c>
      <c r="G34" s="6">
        <f t="shared" si="1"/>
        <v>22</v>
      </c>
      <c r="H34" s="9">
        <f t="shared" si="2"/>
        <v>0.76086956521739135</v>
      </c>
      <c r="I34" s="6" t="s">
        <v>5136</v>
      </c>
      <c r="J34" s="6">
        <v>3</v>
      </c>
      <c r="K34" s="9">
        <f t="shared" si="3"/>
        <v>3.2608695652173912E-2</v>
      </c>
      <c r="L34" s="6">
        <v>1</v>
      </c>
      <c r="M34" s="6">
        <v>2</v>
      </c>
      <c r="N34" s="6">
        <v>1</v>
      </c>
      <c r="O34" s="6" t="str">
        <f t="shared" si="4"/>
        <v>Overtriaged</v>
      </c>
      <c r="P34" s="6"/>
      <c r="Q34" s="6">
        <v>2</v>
      </c>
      <c r="R34" s="6" t="str">
        <f t="shared" si="5"/>
        <v>Correct</v>
      </c>
      <c r="S34" s="6" t="s">
        <v>3767</v>
      </c>
      <c r="T34" s="14">
        <v>2</v>
      </c>
      <c r="U34" s="6" t="str">
        <f t="shared" si="6"/>
        <v>Correct</v>
      </c>
      <c r="V34" s="15">
        <v>2</v>
      </c>
      <c r="W34" s="15" t="str">
        <f t="shared" si="7"/>
        <v>Correct</v>
      </c>
      <c r="X34" s="14">
        <v>2</v>
      </c>
      <c r="Y34" s="14" t="str">
        <f t="shared" si="8"/>
        <v>Correct</v>
      </c>
      <c r="Z34" s="6">
        <v>33</v>
      </c>
      <c r="AA34" s="6" t="s">
        <v>395</v>
      </c>
      <c r="AB34" s="6" t="s">
        <v>396</v>
      </c>
      <c r="AC34" s="6">
        <v>1</v>
      </c>
      <c r="AD34" s="6" t="s">
        <v>40</v>
      </c>
      <c r="AE34" s="6" t="s">
        <v>397</v>
      </c>
      <c r="AF34" s="6" t="s">
        <v>398</v>
      </c>
      <c r="AG34" s="6" t="s">
        <v>399</v>
      </c>
      <c r="AH34" s="6" t="s">
        <v>400</v>
      </c>
      <c r="AI34" s="6" t="s">
        <v>3377</v>
      </c>
      <c r="AJ34" s="6" t="s">
        <v>44</v>
      </c>
      <c r="AK34" s="6" t="s">
        <v>401</v>
      </c>
      <c r="AL34" s="6" t="s">
        <v>5098</v>
      </c>
      <c r="AM34" s="6" t="s">
        <v>4616</v>
      </c>
      <c r="AN34" s="6" t="s">
        <v>402</v>
      </c>
      <c r="AO34" s="6" t="s">
        <v>403</v>
      </c>
      <c r="AP34" s="6" t="s">
        <v>404</v>
      </c>
      <c r="AQ34" s="21" t="s">
        <v>4412</v>
      </c>
      <c r="AR34" s="6" t="s">
        <v>393</v>
      </c>
      <c r="AS34" s="6" t="s">
        <v>4617</v>
      </c>
      <c r="AT34" s="14">
        <v>2</v>
      </c>
      <c r="AU34" s="14">
        <v>2</v>
      </c>
      <c r="AV34" s="14">
        <v>2</v>
      </c>
      <c r="AW34" s="14">
        <v>2</v>
      </c>
      <c r="AX34" s="14">
        <v>2</v>
      </c>
      <c r="AY34" s="14">
        <v>2</v>
      </c>
      <c r="AZ34" s="14">
        <v>2</v>
      </c>
      <c r="BA34" s="2"/>
    </row>
    <row r="35" spans="1:53" ht="44" customHeight="1" x14ac:dyDescent="0.2">
      <c r="A35" s="6">
        <v>45124660</v>
      </c>
      <c r="B35" s="6"/>
      <c r="C35" s="7" t="s">
        <v>35</v>
      </c>
      <c r="D35" s="6" t="s">
        <v>405</v>
      </c>
      <c r="E35" s="6">
        <f t="shared" si="0"/>
        <v>90</v>
      </c>
      <c r="F35" s="6" t="s">
        <v>406</v>
      </c>
      <c r="G35" s="6">
        <f t="shared" si="1"/>
        <v>30</v>
      </c>
      <c r="H35" s="9">
        <f t="shared" si="2"/>
        <v>0.66666666666666663</v>
      </c>
      <c r="I35" s="6" t="s">
        <v>5137</v>
      </c>
      <c r="J35" s="6">
        <v>3</v>
      </c>
      <c r="K35" s="9">
        <f t="shared" si="3"/>
        <v>3.3333333333333333E-2</v>
      </c>
      <c r="L35" s="6">
        <v>4</v>
      </c>
      <c r="M35" s="6">
        <v>2</v>
      </c>
      <c r="N35" s="6">
        <v>1</v>
      </c>
      <c r="O35" s="6" t="str">
        <f t="shared" si="4"/>
        <v>Overtriaged</v>
      </c>
      <c r="P35" s="6"/>
      <c r="Q35" s="6">
        <v>2</v>
      </c>
      <c r="R35" s="6" t="str">
        <f t="shared" si="5"/>
        <v>Correct</v>
      </c>
      <c r="S35" s="6" t="s">
        <v>3768</v>
      </c>
      <c r="T35" s="14">
        <v>1</v>
      </c>
      <c r="U35" s="6" t="str">
        <f t="shared" si="6"/>
        <v>Overtriaged</v>
      </c>
      <c r="V35" s="15">
        <v>1</v>
      </c>
      <c r="W35" s="15" t="str">
        <f t="shared" si="7"/>
        <v>Overtriaged</v>
      </c>
      <c r="X35" s="14">
        <v>2</v>
      </c>
      <c r="Y35" s="14" t="str">
        <f t="shared" si="8"/>
        <v>Correct</v>
      </c>
      <c r="Z35" s="6">
        <v>34</v>
      </c>
      <c r="AA35" s="6" t="s">
        <v>239</v>
      </c>
      <c r="AB35" s="6" t="s">
        <v>407</v>
      </c>
      <c r="AC35" s="6">
        <v>1</v>
      </c>
      <c r="AD35" s="6" t="s">
        <v>40</v>
      </c>
      <c r="AE35" s="6" t="s">
        <v>408</v>
      </c>
      <c r="AF35" s="6" t="s">
        <v>409</v>
      </c>
      <c r="AG35" s="6" t="s">
        <v>410</v>
      </c>
      <c r="AH35" s="6" t="s">
        <v>44</v>
      </c>
      <c r="AI35" s="6" t="s">
        <v>3377</v>
      </c>
      <c r="AJ35" s="6" t="s">
        <v>411</v>
      </c>
      <c r="AK35" s="6" t="s">
        <v>412</v>
      </c>
      <c r="AL35" s="6" t="s">
        <v>3476</v>
      </c>
      <c r="AM35" s="6" t="s">
        <v>413</v>
      </c>
      <c r="AN35" s="6" t="s">
        <v>414</v>
      </c>
      <c r="AO35" s="6" t="s">
        <v>415</v>
      </c>
      <c r="AP35" s="6" t="s">
        <v>405</v>
      </c>
      <c r="AQ35" s="21" t="s">
        <v>4413</v>
      </c>
      <c r="AR35" s="6" t="s">
        <v>416</v>
      </c>
      <c r="AS35" s="6" t="s">
        <v>417</v>
      </c>
      <c r="AT35" s="14">
        <v>2</v>
      </c>
      <c r="AU35" s="14">
        <v>2</v>
      </c>
      <c r="AV35" s="14">
        <v>2</v>
      </c>
      <c r="AW35" s="14">
        <v>2</v>
      </c>
      <c r="AX35" s="14">
        <v>2</v>
      </c>
      <c r="AY35" s="14">
        <v>2</v>
      </c>
      <c r="AZ35" s="14">
        <v>2</v>
      </c>
      <c r="BA35" s="2"/>
    </row>
    <row r="36" spans="1:53" ht="44" customHeight="1" x14ac:dyDescent="0.2">
      <c r="A36" s="6">
        <v>45124487</v>
      </c>
      <c r="B36" s="6"/>
      <c r="C36" s="7" t="s">
        <v>35</v>
      </c>
      <c r="D36" s="6" t="s">
        <v>418</v>
      </c>
      <c r="E36" s="6">
        <f t="shared" si="0"/>
        <v>457</v>
      </c>
      <c r="F36" s="6"/>
      <c r="G36" s="6">
        <f t="shared" si="1"/>
        <v>0</v>
      </c>
      <c r="H36" s="9">
        <f t="shared" si="2"/>
        <v>1</v>
      </c>
      <c r="I36" s="6" t="s">
        <v>5138</v>
      </c>
      <c r="J36" s="6">
        <v>2</v>
      </c>
      <c r="K36" s="9">
        <f t="shared" si="3"/>
        <v>4.3763676148796497E-3</v>
      </c>
      <c r="L36" s="6">
        <v>1</v>
      </c>
      <c r="M36" s="6">
        <v>2</v>
      </c>
      <c r="N36" s="6">
        <v>2</v>
      </c>
      <c r="O36" s="6" t="str">
        <f t="shared" si="4"/>
        <v>Correct</v>
      </c>
      <c r="P36" s="6"/>
      <c r="Q36" s="6">
        <v>2</v>
      </c>
      <c r="R36" s="6" t="str">
        <f t="shared" si="5"/>
        <v>Correct</v>
      </c>
      <c r="S36" s="6" t="s">
        <v>3561</v>
      </c>
      <c r="T36" s="14"/>
      <c r="U36" s="6" t="str">
        <f t="shared" si="6"/>
        <v>Undertriaged</v>
      </c>
      <c r="V36" s="15">
        <v>1</v>
      </c>
      <c r="W36" s="15" t="str">
        <f t="shared" si="7"/>
        <v>Overtriaged</v>
      </c>
      <c r="X36" s="14">
        <v>2</v>
      </c>
      <c r="Y36" s="14" t="str">
        <f t="shared" si="8"/>
        <v>Correct</v>
      </c>
      <c r="Z36" s="6">
        <v>35</v>
      </c>
      <c r="AA36" s="6" t="s">
        <v>419</v>
      </c>
      <c r="AB36" s="6" t="s">
        <v>420</v>
      </c>
      <c r="AC36" s="6">
        <v>5</v>
      </c>
      <c r="AD36" s="6" t="s">
        <v>120</v>
      </c>
      <c r="AE36" s="6" t="s">
        <v>421</v>
      </c>
      <c r="AF36" s="6" t="s">
        <v>44</v>
      </c>
      <c r="AG36" s="6" t="s">
        <v>44</v>
      </c>
      <c r="AH36" s="6" t="s">
        <v>44</v>
      </c>
      <c r="AI36" s="6" t="s">
        <v>44</v>
      </c>
      <c r="AJ36" s="6" t="s">
        <v>422</v>
      </c>
      <c r="AK36" s="6" t="s">
        <v>3881</v>
      </c>
      <c r="AL36" s="6" t="s">
        <v>3480</v>
      </c>
      <c r="AM36" s="6" t="s">
        <v>4618</v>
      </c>
      <c r="AN36" s="6" t="s">
        <v>418</v>
      </c>
      <c r="AO36" s="6" t="s">
        <v>418</v>
      </c>
      <c r="AP36" s="6" t="s">
        <v>418</v>
      </c>
      <c r="AQ36" s="21" t="s">
        <v>418</v>
      </c>
      <c r="AR36" s="6" t="s">
        <v>423</v>
      </c>
      <c r="AS36" s="6" t="s">
        <v>4619</v>
      </c>
      <c r="AT36" s="14">
        <v>2</v>
      </c>
      <c r="AU36" s="14">
        <v>2</v>
      </c>
      <c r="AV36" s="14">
        <v>2</v>
      </c>
      <c r="AW36" s="14">
        <v>2</v>
      </c>
      <c r="AX36" s="14">
        <v>2</v>
      </c>
      <c r="AY36" s="14">
        <v>2</v>
      </c>
      <c r="AZ36" s="14">
        <v>2</v>
      </c>
      <c r="BA36" s="2"/>
    </row>
    <row r="37" spans="1:53" ht="44" customHeight="1" x14ac:dyDescent="0.2">
      <c r="A37" s="6">
        <v>45131681</v>
      </c>
      <c r="B37" s="6"/>
      <c r="C37" s="7" t="s">
        <v>35</v>
      </c>
      <c r="D37" s="6" t="s">
        <v>424</v>
      </c>
      <c r="E37" s="6">
        <f t="shared" si="0"/>
        <v>317</v>
      </c>
      <c r="F37" s="6"/>
      <c r="G37" s="6">
        <f t="shared" si="1"/>
        <v>0</v>
      </c>
      <c r="H37" s="9">
        <f t="shared" si="2"/>
        <v>1</v>
      </c>
      <c r="I37" s="6" t="s">
        <v>5139</v>
      </c>
      <c r="J37" s="6">
        <v>4</v>
      </c>
      <c r="K37" s="9">
        <f t="shared" si="3"/>
        <v>1.2618296529968454E-2</v>
      </c>
      <c r="L37" s="6">
        <v>2</v>
      </c>
      <c r="M37" s="6">
        <v>2</v>
      </c>
      <c r="N37" s="6">
        <v>2</v>
      </c>
      <c r="O37" s="6" t="str">
        <f t="shared" si="4"/>
        <v>Correct</v>
      </c>
      <c r="P37" s="6"/>
      <c r="Q37" s="6">
        <v>2</v>
      </c>
      <c r="R37" s="6" t="str">
        <f t="shared" si="5"/>
        <v>Correct</v>
      </c>
      <c r="S37" s="6" t="s">
        <v>3562</v>
      </c>
      <c r="T37" s="14"/>
      <c r="U37" s="6" t="str">
        <f t="shared" si="6"/>
        <v>Undertriaged</v>
      </c>
      <c r="V37" s="15">
        <v>2</v>
      </c>
      <c r="W37" s="15" t="str">
        <f t="shared" si="7"/>
        <v>Correct</v>
      </c>
      <c r="X37" s="14">
        <v>2</v>
      </c>
      <c r="Y37" s="14" t="str">
        <f t="shared" si="8"/>
        <v>Correct</v>
      </c>
      <c r="Z37" s="6">
        <v>36</v>
      </c>
      <c r="AA37" s="6" t="s">
        <v>425</v>
      </c>
      <c r="AB37" s="6" t="s">
        <v>426</v>
      </c>
      <c r="AC37" s="6">
        <v>3</v>
      </c>
      <c r="AD37" s="6" t="s">
        <v>120</v>
      </c>
      <c r="AE37" s="6" t="s">
        <v>427</v>
      </c>
      <c r="AF37" s="6" t="s">
        <v>44</v>
      </c>
      <c r="AG37" s="6" t="s">
        <v>44</v>
      </c>
      <c r="AH37" s="6" t="s">
        <v>44</v>
      </c>
      <c r="AI37" s="6" t="s">
        <v>44</v>
      </c>
      <c r="AJ37" s="6" t="s">
        <v>428</v>
      </c>
      <c r="AK37" s="6" t="s">
        <v>3882</v>
      </c>
      <c r="AL37" s="6" t="s">
        <v>3480</v>
      </c>
      <c r="AM37" s="6" t="s">
        <v>429</v>
      </c>
      <c r="AN37" s="6" t="s">
        <v>424</v>
      </c>
      <c r="AO37" s="6" t="s">
        <v>424</v>
      </c>
      <c r="AP37" s="6" t="s">
        <v>424</v>
      </c>
      <c r="AQ37" s="21" t="s">
        <v>424</v>
      </c>
      <c r="AR37" s="6" t="s">
        <v>430</v>
      </c>
      <c r="AS37" s="6" t="s">
        <v>4620</v>
      </c>
      <c r="AT37" s="14">
        <v>2</v>
      </c>
      <c r="AU37" s="14">
        <v>2</v>
      </c>
      <c r="AV37" s="14">
        <v>2</v>
      </c>
      <c r="AW37" s="14">
        <v>2</v>
      </c>
      <c r="AX37" s="14">
        <v>2</v>
      </c>
      <c r="AY37" s="14">
        <v>2</v>
      </c>
      <c r="AZ37" s="14">
        <v>2</v>
      </c>
      <c r="BA37" s="2"/>
    </row>
    <row r="38" spans="1:53" ht="44" customHeight="1" x14ac:dyDescent="0.2">
      <c r="A38" s="6">
        <v>45157120</v>
      </c>
      <c r="B38" s="6"/>
      <c r="C38" s="7" t="s">
        <v>35</v>
      </c>
      <c r="D38" s="6" t="s">
        <v>431</v>
      </c>
      <c r="E38" s="6">
        <f t="shared" si="0"/>
        <v>361</v>
      </c>
      <c r="F38" s="6" t="s">
        <v>432</v>
      </c>
      <c r="G38" s="6">
        <f t="shared" si="1"/>
        <v>45</v>
      </c>
      <c r="H38" s="9">
        <f t="shared" si="2"/>
        <v>0.8753462603878116</v>
      </c>
      <c r="I38" s="6" t="s">
        <v>5140</v>
      </c>
      <c r="J38" s="6">
        <v>4</v>
      </c>
      <c r="K38" s="9">
        <f t="shared" si="3"/>
        <v>1.1080332409972299E-2</v>
      </c>
      <c r="L38" s="6">
        <v>5</v>
      </c>
      <c r="M38" s="6">
        <v>2</v>
      </c>
      <c r="N38" s="6">
        <v>2</v>
      </c>
      <c r="O38" s="6" t="str">
        <f t="shared" si="4"/>
        <v>Correct</v>
      </c>
      <c r="P38" s="6"/>
      <c r="Q38" s="6">
        <v>2</v>
      </c>
      <c r="R38" s="6" t="str">
        <f t="shared" si="5"/>
        <v>Correct</v>
      </c>
      <c r="S38" s="6" t="s">
        <v>3563</v>
      </c>
      <c r="T38" s="14">
        <v>2</v>
      </c>
      <c r="U38" s="6" t="str">
        <f t="shared" si="6"/>
        <v>Correct</v>
      </c>
      <c r="V38" s="15">
        <v>2</v>
      </c>
      <c r="W38" s="15" t="str">
        <f t="shared" si="7"/>
        <v>Correct</v>
      </c>
      <c r="X38" s="14">
        <v>2</v>
      </c>
      <c r="Y38" s="14" t="str">
        <f t="shared" si="8"/>
        <v>Correct</v>
      </c>
      <c r="Z38" s="6">
        <v>37</v>
      </c>
      <c r="AA38" s="6" t="s">
        <v>433</v>
      </c>
      <c r="AB38" s="6" t="s">
        <v>434</v>
      </c>
      <c r="AC38" s="6">
        <v>1</v>
      </c>
      <c r="AD38" s="6" t="s">
        <v>40</v>
      </c>
      <c r="AE38" s="6" t="s">
        <v>435</v>
      </c>
      <c r="AF38" s="6" t="s">
        <v>436</v>
      </c>
      <c r="AG38" s="6" t="s">
        <v>437</v>
      </c>
      <c r="AH38" s="6" t="s">
        <v>44</v>
      </c>
      <c r="AI38" s="6" t="s">
        <v>438</v>
      </c>
      <c r="AJ38" s="6" t="s">
        <v>3883</v>
      </c>
      <c r="AK38" s="6" t="s">
        <v>3884</v>
      </c>
      <c r="AL38" s="6" t="s">
        <v>3476</v>
      </c>
      <c r="AM38" s="6" t="s">
        <v>4621</v>
      </c>
      <c r="AN38" s="6" t="s">
        <v>439</v>
      </c>
      <c r="AO38" s="6" t="s">
        <v>440</v>
      </c>
      <c r="AP38" s="6" t="s">
        <v>431</v>
      </c>
      <c r="AQ38" s="21" t="s">
        <v>441</v>
      </c>
      <c r="AR38" s="6" t="s">
        <v>4622</v>
      </c>
      <c r="AS38" s="6" t="s">
        <v>4623</v>
      </c>
      <c r="AT38" s="14">
        <v>2</v>
      </c>
      <c r="AU38" s="14">
        <v>2</v>
      </c>
      <c r="AV38" s="14">
        <v>2</v>
      </c>
      <c r="AW38" s="14">
        <v>2</v>
      </c>
      <c r="AX38" s="14">
        <v>2</v>
      </c>
      <c r="AY38" s="14">
        <v>2</v>
      </c>
      <c r="AZ38" s="14">
        <v>2</v>
      </c>
      <c r="BA38" s="2"/>
    </row>
    <row r="39" spans="1:53" ht="44" customHeight="1" x14ac:dyDescent="0.2">
      <c r="A39" s="6">
        <v>45181856</v>
      </c>
      <c r="B39" s="6"/>
      <c r="C39" s="7" t="s">
        <v>35</v>
      </c>
      <c r="D39" s="6" t="s">
        <v>442</v>
      </c>
      <c r="E39" s="6">
        <f t="shared" si="0"/>
        <v>210</v>
      </c>
      <c r="F39" s="6" t="s">
        <v>443</v>
      </c>
      <c r="G39" s="6">
        <f t="shared" si="1"/>
        <v>24</v>
      </c>
      <c r="H39" s="9">
        <f t="shared" si="2"/>
        <v>0.88571428571428568</v>
      </c>
      <c r="I39" s="6" t="s">
        <v>5141</v>
      </c>
      <c r="J39" s="6">
        <v>1</v>
      </c>
      <c r="K39" s="9">
        <f t="shared" si="3"/>
        <v>4.7619047619047623E-3</v>
      </c>
      <c r="L39" s="6">
        <v>9</v>
      </c>
      <c r="M39" s="6">
        <v>2</v>
      </c>
      <c r="N39" s="6">
        <v>2</v>
      </c>
      <c r="O39" s="6" t="str">
        <f t="shared" si="4"/>
        <v>Correct</v>
      </c>
      <c r="P39" s="6"/>
      <c r="Q39" s="6">
        <v>2</v>
      </c>
      <c r="R39" s="6" t="str">
        <f t="shared" si="5"/>
        <v>Correct</v>
      </c>
      <c r="S39" s="6" t="s">
        <v>3564</v>
      </c>
      <c r="T39" s="14">
        <v>2</v>
      </c>
      <c r="U39" s="6" t="str">
        <f t="shared" si="6"/>
        <v>Correct</v>
      </c>
      <c r="V39" s="15">
        <v>2</v>
      </c>
      <c r="W39" s="15" t="str">
        <f t="shared" si="7"/>
        <v>Correct</v>
      </c>
      <c r="X39" s="14">
        <v>2</v>
      </c>
      <c r="Y39" s="14" t="str">
        <f t="shared" si="8"/>
        <v>Correct</v>
      </c>
      <c r="Z39" s="6">
        <v>38</v>
      </c>
      <c r="AA39" s="6" t="s">
        <v>444</v>
      </c>
      <c r="AB39" s="6" t="s">
        <v>445</v>
      </c>
      <c r="AC39" s="6">
        <v>3</v>
      </c>
      <c r="AD39" s="6" t="s">
        <v>40</v>
      </c>
      <c r="AE39" s="6" t="s">
        <v>1506</v>
      </c>
      <c r="AF39" s="6" t="s">
        <v>446</v>
      </c>
      <c r="AG39" s="6" t="s">
        <v>44</v>
      </c>
      <c r="AH39" s="6" t="s">
        <v>44</v>
      </c>
      <c r="AI39" s="6" t="s">
        <v>44</v>
      </c>
      <c r="AJ39" s="6" t="s">
        <v>3885</v>
      </c>
      <c r="AK39" s="6" t="s">
        <v>3886</v>
      </c>
      <c r="AL39" s="6" t="s">
        <v>3478</v>
      </c>
      <c r="AM39" s="6" t="s">
        <v>447</v>
      </c>
      <c r="AN39" s="6" t="s">
        <v>448</v>
      </c>
      <c r="AO39" s="6" t="s">
        <v>442</v>
      </c>
      <c r="AP39" s="6" t="s">
        <v>442</v>
      </c>
      <c r="AQ39" s="21" t="s">
        <v>442</v>
      </c>
      <c r="AR39" s="6" t="s">
        <v>449</v>
      </c>
      <c r="AS39" s="6" t="s">
        <v>4624</v>
      </c>
      <c r="AT39" s="14">
        <v>2</v>
      </c>
      <c r="AU39" s="14">
        <v>2</v>
      </c>
      <c r="AV39" s="14">
        <v>2</v>
      </c>
      <c r="AW39" s="14">
        <v>2</v>
      </c>
      <c r="AX39" s="14">
        <v>2</v>
      </c>
      <c r="AY39" s="14">
        <v>2</v>
      </c>
      <c r="AZ39" s="14">
        <v>2</v>
      </c>
      <c r="BA39" s="2"/>
    </row>
    <row r="40" spans="1:53" ht="44" customHeight="1" x14ac:dyDescent="0.2">
      <c r="A40" s="6">
        <v>45181987</v>
      </c>
      <c r="B40" s="6"/>
      <c r="C40" s="7" t="s">
        <v>35</v>
      </c>
      <c r="D40" s="6" t="s">
        <v>450</v>
      </c>
      <c r="E40" s="6">
        <f t="shared" si="0"/>
        <v>131</v>
      </c>
      <c r="F40" s="6" t="s">
        <v>451</v>
      </c>
      <c r="G40" s="6">
        <f t="shared" si="1"/>
        <v>22</v>
      </c>
      <c r="H40" s="9">
        <f t="shared" si="2"/>
        <v>0.83206106870229013</v>
      </c>
      <c r="I40" s="6" t="s">
        <v>5142</v>
      </c>
      <c r="J40" s="6">
        <v>4</v>
      </c>
      <c r="K40" s="9">
        <f t="shared" si="3"/>
        <v>3.0534351145038167E-2</v>
      </c>
      <c r="L40" s="6">
        <v>2</v>
      </c>
      <c r="M40" s="6">
        <v>2</v>
      </c>
      <c r="N40" s="6">
        <v>1</v>
      </c>
      <c r="O40" s="6" t="str">
        <f t="shared" si="4"/>
        <v>Overtriaged</v>
      </c>
      <c r="P40" s="6"/>
      <c r="Q40" s="6">
        <v>2</v>
      </c>
      <c r="R40" s="6" t="str">
        <f t="shared" si="5"/>
        <v>Correct</v>
      </c>
      <c r="S40" s="6" t="s">
        <v>3565</v>
      </c>
      <c r="T40" s="14">
        <v>2</v>
      </c>
      <c r="U40" s="6" t="str">
        <f t="shared" si="6"/>
        <v>Correct</v>
      </c>
      <c r="V40" s="15">
        <v>2</v>
      </c>
      <c r="W40" s="15" t="str">
        <f t="shared" si="7"/>
        <v>Correct</v>
      </c>
      <c r="X40" s="14">
        <v>2</v>
      </c>
      <c r="Y40" s="14" t="str">
        <f t="shared" si="8"/>
        <v>Correct</v>
      </c>
      <c r="Z40" s="6">
        <v>39</v>
      </c>
      <c r="AA40" s="6" t="s">
        <v>452</v>
      </c>
      <c r="AB40" s="6" t="s">
        <v>453</v>
      </c>
      <c r="AC40" s="6">
        <v>1</v>
      </c>
      <c r="AD40" s="6" t="s">
        <v>40</v>
      </c>
      <c r="AE40" s="6" t="s">
        <v>454</v>
      </c>
      <c r="AF40" s="6" t="s">
        <v>455</v>
      </c>
      <c r="AG40" s="6" t="s">
        <v>456</v>
      </c>
      <c r="AH40" s="6" t="s">
        <v>44</v>
      </c>
      <c r="AI40" s="6" t="s">
        <v>4342</v>
      </c>
      <c r="AJ40" s="6" t="s">
        <v>457</v>
      </c>
      <c r="AK40" s="6" t="s">
        <v>458</v>
      </c>
      <c r="AL40" s="6" t="s">
        <v>3476</v>
      </c>
      <c r="AM40" s="6" t="s">
        <v>459</v>
      </c>
      <c r="AN40" s="6" t="s">
        <v>460</v>
      </c>
      <c r="AO40" s="6" t="s">
        <v>461</v>
      </c>
      <c r="AP40" s="6" t="s">
        <v>450</v>
      </c>
      <c r="AQ40" s="21" t="s">
        <v>4414</v>
      </c>
      <c r="AR40" s="6" t="s">
        <v>462</v>
      </c>
      <c r="AS40" s="6" t="s">
        <v>463</v>
      </c>
      <c r="AT40" s="14">
        <v>2</v>
      </c>
      <c r="AU40" s="14">
        <v>2</v>
      </c>
      <c r="AV40" s="14">
        <v>2</v>
      </c>
      <c r="AW40" s="14">
        <v>2</v>
      </c>
      <c r="AX40" s="14">
        <v>2</v>
      </c>
      <c r="AY40" s="14">
        <v>2</v>
      </c>
      <c r="AZ40" s="14">
        <v>2</v>
      </c>
      <c r="BA40" s="2"/>
    </row>
    <row r="41" spans="1:53" ht="44" customHeight="1" x14ac:dyDescent="0.2">
      <c r="A41" s="6">
        <v>45187306</v>
      </c>
      <c r="B41" s="6"/>
      <c r="C41" s="7" t="s">
        <v>35</v>
      </c>
      <c r="D41" s="6" t="s">
        <v>464</v>
      </c>
      <c r="E41" s="6">
        <f t="shared" si="0"/>
        <v>54</v>
      </c>
      <c r="F41" s="6" t="s">
        <v>465</v>
      </c>
      <c r="G41" s="6">
        <f t="shared" si="1"/>
        <v>18</v>
      </c>
      <c r="H41" s="9">
        <f t="shared" si="2"/>
        <v>0.66666666666666663</v>
      </c>
      <c r="I41" s="6" t="s">
        <v>5143</v>
      </c>
      <c r="J41" s="6">
        <v>1</v>
      </c>
      <c r="K41" s="9">
        <f t="shared" si="3"/>
        <v>1.8518518518518517E-2</v>
      </c>
      <c r="L41" s="6">
        <v>16</v>
      </c>
      <c r="M41" s="6">
        <v>1</v>
      </c>
      <c r="N41" s="6">
        <v>1</v>
      </c>
      <c r="O41" s="6" t="str">
        <f t="shared" si="4"/>
        <v>Correct</v>
      </c>
      <c r="P41" s="6"/>
      <c r="Q41" s="6">
        <v>1</v>
      </c>
      <c r="R41" s="6" t="str">
        <f t="shared" si="5"/>
        <v>Correct</v>
      </c>
      <c r="S41" s="6" t="s">
        <v>3566</v>
      </c>
      <c r="T41" s="14">
        <v>1</v>
      </c>
      <c r="U41" s="6" t="str">
        <f t="shared" si="6"/>
        <v>Correct</v>
      </c>
      <c r="V41" s="15">
        <v>1</v>
      </c>
      <c r="W41" s="15" t="str">
        <f t="shared" si="7"/>
        <v>Correct</v>
      </c>
      <c r="X41" s="14">
        <v>1</v>
      </c>
      <c r="Y41" s="14" t="str">
        <f t="shared" si="8"/>
        <v>Correct</v>
      </c>
      <c r="Z41" s="6">
        <v>40</v>
      </c>
      <c r="AA41" s="6" t="s">
        <v>466</v>
      </c>
      <c r="AB41" s="6" t="s">
        <v>467</v>
      </c>
      <c r="AC41" s="6">
        <v>1</v>
      </c>
      <c r="AD41" s="6" t="s">
        <v>40</v>
      </c>
      <c r="AE41" s="6" t="s">
        <v>468</v>
      </c>
      <c r="AF41" s="6" t="s">
        <v>469</v>
      </c>
      <c r="AG41" s="6" t="s">
        <v>470</v>
      </c>
      <c r="AH41" s="6" t="s">
        <v>44</v>
      </c>
      <c r="AI41" s="6" t="s">
        <v>44</v>
      </c>
      <c r="AJ41" s="6" t="s">
        <v>44</v>
      </c>
      <c r="AK41" s="6" t="s">
        <v>471</v>
      </c>
      <c r="AL41" s="6" t="s">
        <v>5099</v>
      </c>
      <c r="AM41" s="6" t="s">
        <v>472</v>
      </c>
      <c r="AN41" s="6" t="s">
        <v>473</v>
      </c>
      <c r="AO41" s="6" t="s">
        <v>474</v>
      </c>
      <c r="AP41" s="6" t="s">
        <v>464</v>
      </c>
      <c r="AQ41" s="21" t="s">
        <v>464</v>
      </c>
      <c r="AR41" s="6" t="s">
        <v>464</v>
      </c>
      <c r="AS41" s="6" t="s">
        <v>475</v>
      </c>
      <c r="AT41" s="14">
        <v>1</v>
      </c>
      <c r="AU41" s="14">
        <v>1</v>
      </c>
      <c r="AV41" s="14">
        <v>1</v>
      </c>
      <c r="AW41" s="14">
        <v>1</v>
      </c>
      <c r="AX41" s="14">
        <v>1</v>
      </c>
      <c r="AY41" s="14">
        <v>1</v>
      </c>
      <c r="AZ41" s="14">
        <v>2</v>
      </c>
      <c r="BA41" s="2"/>
    </row>
    <row r="42" spans="1:53" ht="44" customHeight="1" x14ac:dyDescent="0.2">
      <c r="A42" s="6">
        <v>45260542</v>
      </c>
      <c r="B42" s="6"/>
      <c r="C42" s="7" t="s">
        <v>35</v>
      </c>
      <c r="D42" s="6" t="s">
        <v>476</v>
      </c>
      <c r="E42" s="6">
        <f t="shared" si="0"/>
        <v>200</v>
      </c>
      <c r="F42" s="6" t="s">
        <v>477</v>
      </c>
      <c r="G42" s="6">
        <f t="shared" si="1"/>
        <v>59</v>
      </c>
      <c r="H42" s="9">
        <f t="shared" si="2"/>
        <v>0.70499999999999996</v>
      </c>
      <c r="I42" s="6" t="s">
        <v>5144</v>
      </c>
      <c r="J42" s="6">
        <v>8</v>
      </c>
      <c r="K42" s="9">
        <f t="shared" si="3"/>
        <v>0.04</v>
      </c>
      <c r="L42" s="6">
        <v>8</v>
      </c>
      <c r="M42" s="6">
        <v>2</v>
      </c>
      <c r="N42" s="6">
        <v>2</v>
      </c>
      <c r="O42" s="6" t="str">
        <f t="shared" si="4"/>
        <v>Correct</v>
      </c>
      <c r="P42" s="6"/>
      <c r="Q42" s="6">
        <v>2</v>
      </c>
      <c r="R42" s="6" t="str">
        <f t="shared" si="5"/>
        <v>Correct</v>
      </c>
      <c r="S42" s="6" t="s">
        <v>3769</v>
      </c>
      <c r="T42" s="14">
        <v>1</v>
      </c>
      <c r="U42" s="6" t="str">
        <f t="shared" si="6"/>
        <v>Overtriaged</v>
      </c>
      <c r="V42" s="15">
        <v>2</v>
      </c>
      <c r="W42" s="15" t="str">
        <f t="shared" si="7"/>
        <v>Correct</v>
      </c>
      <c r="X42" s="14">
        <v>2</v>
      </c>
      <c r="Y42" s="14" t="str">
        <f t="shared" si="8"/>
        <v>Correct</v>
      </c>
      <c r="Z42" s="6">
        <v>41</v>
      </c>
      <c r="AA42" s="6" t="s">
        <v>478</v>
      </c>
      <c r="AB42" s="6" t="s">
        <v>479</v>
      </c>
      <c r="AC42" s="6">
        <v>1</v>
      </c>
      <c r="AD42" s="6" t="s">
        <v>40</v>
      </c>
      <c r="AE42" s="6" t="s">
        <v>480</v>
      </c>
      <c r="AF42" s="6" t="s">
        <v>481</v>
      </c>
      <c r="AG42" s="6" t="s">
        <v>482</v>
      </c>
      <c r="AH42" s="6" t="s">
        <v>483</v>
      </c>
      <c r="AI42" s="6" t="s">
        <v>2888</v>
      </c>
      <c r="AJ42" s="6" t="s">
        <v>484</v>
      </c>
      <c r="AK42" s="6" t="s">
        <v>3887</v>
      </c>
      <c r="AL42" s="6" t="s">
        <v>3477</v>
      </c>
      <c r="AM42" s="6" t="s">
        <v>485</v>
      </c>
      <c r="AN42" s="6" t="s">
        <v>486</v>
      </c>
      <c r="AO42" s="6" t="s">
        <v>487</v>
      </c>
      <c r="AP42" s="6" t="s">
        <v>488</v>
      </c>
      <c r="AQ42" s="21" t="s">
        <v>4415</v>
      </c>
      <c r="AR42" s="6" t="s">
        <v>489</v>
      </c>
      <c r="AS42" s="6" t="s">
        <v>4625</v>
      </c>
      <c r="AT42" s="14">
        <v>2</v>
      </c>
      <c r="AU42" s="14">
        <v>2</v>
      </c>
      <c r="AV42" s="14">
        <v>2</v>
      </c>
      <c r="AW42" s="14">
        <v>2</v>
      </c>
      <c r="AX42" s="14">
        <v>2</v>
      </c>
      <c r="AY42" s="14">
        <v>2</v>
      </c>
      <c r="AZ42" s="14">
        <v>2</v>
      </c>
      <c r="BA42" s="2"/>
    </row>
    <row r="43" spans="1:53" ht="44" customHeight="1" x14ac:dyDescent="0.2">
      <c r="A43" s="6">
        <v>45265182</v>
      </c>
      <c r="B43" s="6"/>
      <c r="C43" s="7" t="s">
        <v>35</v>
      </c>
      <c r="D43" s="6" t="s">
        <v>490</v>
      </c>
      <c r="E43" s="6">
        <f t="shared" si="0"/>
        <v>206</v>
      </c>
      <c r="F43" s="6"/>
      <c r="G43" s="6">
        <f t="shared" si="1"/>
        <v>0</v>
      </c>
      <c r="H43" s="9">
        <f t="shared" si="2"/>
        <v>1</v>
      </c>
      <c r="I43" s="6"/>
      <c r="J43" s="6">
        <v>0</v>
      </c>
      <c r="K43" s="9">
        <f t="shared" si="3"/>
        <v>0</v>
      </c>
      <c r="L43" s="6">
        <v>1</v>
      </c>
      <c r="M43" s="6">
        <v>2</v>
      </c>
      <c r="N43" s="6">
        <v>2</v>
      </c>
      <c r="O43" s="6" t="str">
        <f t="shared" si="4"/>
        <v>Correct</v>
      </c>
      <c r="P43" s="6"/>
      <c r="Q43" s="6">
        <v>2</v>
      </c>
      <c r="R43" s="6" t="str">
        <f t="shared" si="5"/>
        <v>Correct</v>
      </c>
      <c r="S43" s="6" t="s">
        <v>3770</v>
      </c>
      <c r="T43" s="14"/>
      <c r="U43" s="6" t="str">
        <f t="shared" si="6"/>
        <v>Undertriaged</v>
      </c>
      <c r="V43" s="15">
        <v>2</v>
      </c>
      <c r="W43" s="15" t="str">
        <f t="shared" si="7"/>
        <v>Correct</v>
      </c>
      <c r="X43" s="14">
        <v>2</v>
      </c>
      <c r="Y43" s="14" t="str">
        <f t="shared" si="8"/>
        <v>Correct</v>
      </c>
      <c r="Z43" s="6">
        <v>42</v>
      </c>
      <c r="AA43" s="6" t="s">
        <v>491</v>
      </c>
      <c r="AB43" s="6" t="s">
        <v>492</v>
      </c>
      <c r="AC43" s="6">
        <v>3</v>
      </c>
      <c r="AD43" s="6" t="s">
        <v>120</v>
      </c>
      <c r="AE43" s="6" t="s">
        <v>493</v>
      </c>
      <c r="AF43" s="6" t="s">
        <v>44</v>
      </c>
      <c r="AG43" s="6" t="s">
        <v>44</v>
      </c>
      <c r="AH43" s="6" t="s">
        <v>44</v>
      </c>
      <c r="AI43" s="6" t="s">
        <v>3378</v>
      </c>
      <c r="AJ43" s="6" t="s">
        <v>494</v>
      </c>
      <c r="AK43" s="6" t="s">
        <v>3888</v>
      </c>
      <c r="AL43" s="6" t="s">
        <v>3480</v>
      </c>
      <c r="AM43" s="6" t="s">
        <v>495</v>
      </c>
      <c r="AN43" s="6" t="s">
        <v>490</v>
      </c>
      <c r="AO43" s="6" t="s">
        <v>490</v>
      </c>
      <c r="AP43" s="6" t="s">
        <v>490</v>
      </c>
      <c r="AQ43" s="21" t="s">
        <v>4416</v>
      </c>
      <c r="AR43" s="6" t="s">
        <v>496</v>
      </c>
      <c r="AS43" s="6" t="s">
        <v>4626</v>
      </c>
      <c r="AT43" s="14">
        <v>2</v>
      </c>
      <c r="AU43" s="14">
        <v>2</v>
      </c>
      <c r="AV43" s="14">
        <v>2</v>
      </c>
      <c r="AW43" s="14">
        <v>2</v>
      </c>
      <c r="AX43" s="14">
        <v>2</v>
      </c>
      <c r="AY43" s="14">
        <v>2</v>
      </c>
      <c r="AZ43" s="14">
        <v>2</v>
      </c>
      <c r="BA43" s="2"/>
    </row>
    <row r="44" spans="1:53" ht="44" customHeight="1" x14ac:dyDescent="0.2">
      <c r="A44" s="6">
        <v>45300621</v>
      </c>
      <c r="B44" s="6"/>
      <c r="C44" s="7" t="s">
        <v>35</v>
      </c>
      <c r="D44" s="6" t="s">
        <v>497</v>
      </c>
      <c r="E44" s="6">
        <f t="shared" si="0"/>
        <v>271</v>
      </c>
      <c r="F44" s="6" t="s">
        <v>498</v>
      </c>
      <c r="G44" s="6">
        <f t="shared" si="1"/>
        <v>7</v>
      </c>
      <c r="H44" s="9">
        <f t="shared" si="2"/>
        <v>0.97416974169741699</v>
      </c>
      <c r="I44" s="6" t="s">
        <v>5145</v>
      </c>
      <c r="J44" s="6">
        <v>5</v>
      </c>
      <c r="K44" s="9">
        <f t="shared" si="3"/>
        <v>1.8450184501845018E-2</v>
      </c>
      <c r="L44" s="6">
        <v>2</v>
      </c>
      <c r="M44" s="6">
        <v>2</v>
      </c>
      <c r="N44" s="6">
        <v>2</v>
      </c>
      <c r="O44" s="6" t="str">
        <f t="shared" si="4"/>
        <v>Correct</v>
      </c>
      <c r="P44" s="6"/>
      <c r="Q44" s="6">
        <v>2</v>
      </c>
      <c r="R44" s="6" t="str">
        <f t="shared" si="5"/>
        <v>Correct</v>
      </c>
      <c r="S44" s="6" t="s">
        <v>3567</v>
      </c>
      <c r="T44" s="14">
        <v>2</v>
      </c>
      <c r="U44" s="6" t="str">
        <f t="shared" si="6"/>
        <v>Correct</v>
      </c>
      <c r="V44" s="15">
        <v>2</v>
      </c>
      <c r="W44" s="15" t="str">
        <f t="shared" si="7"/>
        <v>Correct</v>
      </c>
      <c r="X44" s="14">
        <v>2</v>
      </c>
      <c r="Y44" s="14" t="str">
        <f t="shared" si="8"/>
        <v>Correct</v>
      </c>
      <c r="Z44" s="6">
        <v>43</v>
      </c>
      <c r="AA44" s="6" t="s">
        <v>499</v>
      </c>
      <c r="AB44" s="6" t="s">
        <v>500</v>
      </c>
      <c r="AC44" s="6">
        <v>1</v>
      </c>
      <c r="AD44" s="6" t="s">
        <v>40</v>
      </c>
      <c r="AE44" s="6" t="s">
        <v>501</v>
      </c>
      <c r="AF44" s="6" t="s">
        <v>44</v>
      </c>
      <c r="AG44" s="6" t="s">
        <v>44</v>
      </c>
      <c r="AH44" s="6" t="s">
        <v>44</v>
      </c>
      <c r="AI44" s="6" t="s">
        <v>4321</v>
      </c>
      <c r="AJ44" s="6" t="s">
        <v>3889</v>
      </c>
      <c r="AK44" s="6" t="s">
        <v>502</v>
      </c>
      <c r="AL44" s="6" t="s">
        <v>3480</v>
      </c>
      <c r="AM44" s="6" t="s">
        <v>503</v>
      </c>
      <c r="AN44" s="6" t="s">
        <v>497</v>
      </c>
      <c r="AO44" s="6" t="s">
        <v>497</v>
      </c>
      <c r="AP44" s="6" t="s">
        <v>497</v>
      </c>
      <c r="AQ44" s="21" t="s">
        <v>4417</v>
      </c>
      <c r="AR44" s="6" t="s">
        <v>4627</v>
      </c>
      <c r="AS44" s="6" t="s">
        <v>504</v>
      </c>
      <c r="AT44" s="14">
        <v>2</v>
      </c>
      <c r="AU44" s="14">
        <v>2</v>
      </c>
      <c r="AV44" s="14">
        <v>2</v>
      </c>
      <c r="AW44" s="14">
        <v>2</v>
      </c>
      <c r="AX44" s="14">
        <v>2</v>
      </c>
      <c r="AY44" s="14">
        <v>2</v>
      </c>
      <c r="AZ44" s="14">
        <v>2</v>
      </c>
      <c r="BA44" s="2"/>
    </row>
    <row r="45" spans="1:53" ht="44" customHeight="1" x14ac:dyDescent="0.2">
      <c r="A45" s="6">
        <v>45339581</v>
      </c>
      <c r="B45" s="6"/>
      <c r="C45" s="7" t="s">
        <v>35</v>
      </c>
      <c r="D45" s="6" t="s">
        <v>505</v>
      </c>
      <c r="E45" s="6">
        <f t="shared" si="0"/>
        <v>217</v>
      </c>
      <c r="F45" s="6"/>
      <c r="G45" s="6">
        <f t="shared" si="1"/>
        <v>0</v>
      </c>
      <c r="H45" s="9">
        <f t="shared" si="2"/>
        <v>1</v>
      </c>
      <c r="I45" s="6"/>
      <c r="J45" s="6">
        <v>0</v>
      </c>
      <c r="K45" s="9">
        <f t="shared" si="3"/>
        <v>0</v>
      </c>
      <c r="L45" s="6">
        <v>10</v>
      </c>
      <c r="M45" s="6">
        <v>2</v>
      </c>
      <c r="N45" s="6">
        <v>2</v>
      </c>
      <c r="O45" s="6" t="str">
        <f t="shared" si="4"/>
        <v>Correct</v>
      </c>
      <c r="P45" s="6"/>
      <c r="Q45" s="6">
        <v>2</v>
      </c>
      <c r="R45" s="6" t="str">
        <f t="shared" si="5"/>
        <v>Correct</v>
      </c>
      <c r="S45" s="6" t="s">
        <v>3568</v>
      </c>
      <c r="T45" s="14"/>
      <c r="U45" s="6" t="str">
        <f t="shared" si="6"/>
        <v>Undertriaged</v>
      </c>
      <c r="V45" s="15">
        <v>2</v>
      </c>
      <c r="W45" s="15" t="str">
        <f t="shared" si="7"/>
        <v>Correct</v>
      </c>
      <c r="X45" s="14">
        <v>2</v>
      </c>
      <c r="Y45" s="14" t="str">
        <f t="shared" si="8"/>
        <v>Correct</v>
      </c>
      <c r="Z45" s="6">
        <v>44</v>
      </c>
      <c r="AA45" s="6" t="s">
        <v>506</v>
      </c>
      <c r="AB45" s="6" t="s">
        <v>507</v>
      </c>
      <c r="AC45" s="6">
        <v>1</v>
      </c>
      <c r="AD45" s="6" t="s">
        <v>40</v>
      </c>
      <c r="AE45" s="6" t="s">
        <v>508</v>
      </c>
      <c r="AF45" s="6" t="s">
        <v>44</v>
      </c>
      <c r="AG45" s="6" t="s">
        <v>44</v>
      </c>
      <c r="AH45" s="6" t="s">
        <v>44</v>
      </c>
      <c r="AI45" s="6" t="s">
        <v>3379</v>
      </c>
      <c r="AJ45" s="6" t="s">
        <v>509</v>
      </c>
      <c r="AK45" s="6" t="s">
        <v>510</v>
      </c>
      <c r="AL45" s="6" t="s">
        <v>3480</v>
      </c>
      <c r="AM45" s="6" t="s">
        <v>511</v>
      </c>
      <c r="AN45" s="6" t="s">
        <v>505</v>
      </c>
      <c r="AO45" s="6" t="s">
        <v>505</v>
      </c>
      <c r="AP45" s="6" t="s">
        <v>505</v>
      </c>
      <c r="AQ45" s="21" t="s">
        <v>4418</v>
      </c>
      <c r="AR45" s="6" t="s">
        <v>512</v>
      </c>
      <c r="AS45" s="6" t="s">
        <v>513</v>
      </c>
      <c r="AT45" s="14">
        <v>2</v>
      </c>
      <c r="AU45" s="14">
        <v>2</v>
      </c>
      <c r="AV45" s="14">
        <v>2</v>
      </c>
      <c r="AW45" s="14">
        <v>2</v>
      </c>
      <c r="AX45" s="14">
        <v>2</v>
      </c>
      <c r="AY45" s="14">
        <v>2</v>
      </c>
      <c r="AZ45" s="14">
        <v>2</v>
      </c>
      <c r="BA45" s="2"/>
    </row>
    <row r="46" spans="1:53" ht="44" customHeight="1" x14ac:dyDescent="0.2">
      <c r="A46" s="6">
        <v>45339855</v>
      </c>
      <c r="B46" s="6"/>
      <c r="C46" s="7" t="s">
        <v>35</v>
      </c>
      <c r="D46" s="6" t="s">
        <v>514</v>
      </c>
      <c r="E46" s="6">
        <f t="shared" si="0"/>
        <v>223</v>
      </c>
      <c r="F46" s="6" t="s">
        <v>515</v>
      </c>
      <c r="G46" s="6">
        <f t="shared" si="1"/>
        <v>21</v>
      </c>
      <c r="H46" s="9">
        <f t="shared" si="2"/>
        <v>0.905829596412556</v>
      </c>
      <c r="I46" s="6" t="s">
        <v>5146</v>
      </c>
      <c r="J46" s="6">
        <v>5</v>
      </c>
      <c r="K46" s="9">
        <f t="shared" si="3"/>
        <v>2.2421524663677129E-2</v>
      </c>
      <c r="L46" s="6">
        <v>1</v>
      </c>
      <c r="M46" s="6">
        <v>2</v>
      </c>
      <c r="N46" s="6">
        <v>2</v>
      </c>
      <c r="O46" s="6" t="str">
        <f t="shared" si="4"/>
        <v>Correct</v>
      </c>
      <c r="P46" s="6"/>
      <c r="Q46" s="6">
        <v>2</v>
      </c>
      <c r="R46" s="6" t="str">
        <f t="shared" si="5"/>
        <v>Correct</v>
      </c>
      <c r="S46" s="6" t="s">
        <v>3569</v>
      </c>
      <c r="T46" s="14">
        <v>2</v>
      </c>
      <c r="U46" s="6" t="str">
        <f t="shared" si="6"/>
        <v>Correct</v>
      </c>
      <c r="V46" s="15">
        <v>2</v>
      </c>
      <c r="W46" s="15" t="str">
        <f t="shared" si="7"/>
        <v>Correct</v>
      </c>
      <c r="X46" s="14">
        <v>2</v>
      </c>
      <c r="Y46" s="14" t="str">
        <f t="shared" si="8"/>
        <v>Correct</v>
      </c>
      <c r="Z46" s="6">
        <v>45</v>
      </c>
      <c r="AA46" s="6" t="s">
        <v>516</v>
      </c>
      <c r="AB46" s="6" t="s">
        <v>517</v>
      </c>
      <c r="AC46" s="6">
        <v>1</v>
      </c>
      <c r="AD46" s="6" t="s">
        <v>40</v>
      </c>
      <c r="AE46" s="6" t="s">
        <v>518</v>
      </c>
      <c r="AF46" s="6" t="s">
        <v>519</v>
      </c>
      <c r="AG46" s="6" t="s">
        <v>520</v>
      </c>
      <c r="AH46" s="6" t="s">
        <v>44</v>
      </c>
      <c r="AI46" s="6" t="s">
        <v>44</v>
      </c>
      <c r="AJ46" s="6" t="s">
        <v>3890</v>
      </c>
      <c r="AK46" s="6" t="s">
        <v>3891</v>
      </c>
      <c r="AL46" s="6" t="s">
        <v>3476</v>
      </c>
      <c r="AM46" s="6" t="s">
        <v>521</v>
      </c>
      <c r="AN46" s="6" t="s">
        <v>522</v>
      </c>
      <c r="AO46" s="6" t="s">
        <v>523</v>
      </c>
      <c r="AP46" s="6" t="s">
        <v>514</v>
      </c>
      <c r="AQ46" s="21" t="s">
        <v>514</v>
      </c>
      <c r="AR46" s="6" t="s">
        <v>4628</v>
      </c>
      <c r="AS46" s="6" t="s">
        <v>4629</v>
      </c>
      <c r="AT46" s="14">
        <v>2</v>
      </c>
      <c r="AU46" s="14">
        <v>2</v>
      </c>
      <c r="AV46" s="14">
        <v>2</v>
      </c>
      <c r="AW46" s="14">
        <v>2</v>
      </c>
      <c r="AX46" s="14">
        <v>2</v>
      </c>
      <c r="AY46" s="14">
        <v>2</v>
      </c>
      <c r="AZ46" s="14">
        <v>2</v>
      </c>
      <c r="BA46" s="2"/>
    </row>
    <row r="47" spans="1:53" ht="44" customHeight="1" x14ac:dyDescent="0.2">
      <c r="A47" s="6">
        <v>45381518</v>
      </c>
      <c r="B47" s="6"/>
      <c r="C47" s="7" t="s">
        <v>35</v>
      </c>
      <c r="D47" s="6" t="s">
        <v>524</v>
      </c>
      <c r="E47" s="6">
        <f t="shared" si="0"/>
        <v>143</v>
      </c>
      <c r="F47" s="6" t="s">
        <v>525</v>
      </c>
      <c r="G47" s="6">
        <f t="shared" si="1"/>
        <v>58</v>
      </c>
      <c r="H47" s="9">
        <f t="shared" si="2"/>
        <v>0.59440559440559437</v>
      </c>
      <c r="I47" s="6" t="s">
        <v>5147</v>
      </c>
      <c r="J47" s="6">
        <v>7</v>
      </c>
      <c r="K47" s="9">
        <f t="shared" si="3"/>
        <v>4.8951048951048952E-2</v>
      </c>
      <c r="L47" s="6">
        <v>25</v>
      </c>
      <c r="M47" s="6">
        <v>1</v>
      </c>
      <c r="N47" s="6">
        <v>1</v>
      </c>
      <c r="O47" s="6" t="str">
        <f t="shared" si="4"/>
        <v>Correct</v>
      </c>
      <c r="P47" s="6"/>
      <c r="Q47" s="6">
        <v>1</v>
      </c>
      <c r="R47" s="6" t="str">
        <f t="shared" si="5"/>
        <v>Correct</v>
      </c>
      <c r="S47" s="6" t="s">
        <v>3570</v>
      </c>
      <c r="T47" s="14">
        <v>1</v>
      </c>
      <c r="U47" s="6" t="str">
        <f t="shared" si="6"/>
        <v>Correct</v>
      </c>
      <c r="V47" s="15">
        <v>1</v>
      </c>
      <c r="W47" s="15" t="str">
        <f t="shared" si="7"/>
        <v>Correct</v>
      </c>
      <c r="X47" s="14">
        <v>1</v>
      </c>
      <c r="Y47" s="14" t="str">
        <f t="shared" si="8"/>
        <v>Correct</v>
      </c>
      <c r="Z47" s="6">
        <v>46</v>
      </c>
      <c r="AA47" s="6" t="s">
        <v>526</v>
      </c>
      <c r="AB47" s="6" t="s">
        <v>527</v>
      </c>
      <c r="AC47" s="6">
        <v>1</v>
      </c>
      <c r="AD47" s="6" t="s">
        <v>40</v>
      </c>
      <c r="AE47" s="6" t="s">
        <v>528</v>
      </c>
      <c r="AF47" s="6" t="s">
        <v>529</v>
      </c>
      <c r="AG47" s="6" t="s">
        <v>44</v>
      </c>
      <c r="AH47" s="6" t="s">
        <v>44</v>
      </c>
      <c r="AI47" s="6" t="s">
        <v>44</v>
      </c>
      <c r="AJ47" s="6" t="s">
        <v>44</v>
      </c>
      <c r="AK47" s="6" t="s">
        <v>3892</v>
      </c>
      <c r="AL47" s="6" t="s">
        <v>5103</v>
      </c>
      <c r="AM47" s="6" t="s">
        <v>530</v>
      </c>
      <c r="AN47" s="6" t="s">
        <v>531</v>
      </c>
      <c r="AO47" s="6" t="s">
        <v>524</v>
      </c>
      <c r="AP47" s="6" t="s">
        <v>524</v>
      </c>
      <c r="AQ47" s="21" t="s">
        <v>524</v>
      </c>
      <c r="AR47" s="6" t="s">
        <v>524</v>
      </c>
      <c r="AS47" s="6" t="s">
        <v>4630</v>
      </c>
      <c r="AT47" s="14">
        <v>1</v>
      </c>
      <c r="AU47" s="14">
        <v>1</v>
      </c>
      <c r="AV47" s="14">
        <v>1</v>
      </c>
      <c r="AW47" s="14">
        <v>1</v>
      </c>
      <c r="AX47" s="14">
        <v>1</v>
      </c>
      <c r="AY47" s="14">
        <v>1</v>
      </c>
      <c r="AZ47" s="14">
        <v>1</v>
      </c>
      <c r="BA47" s="2"/>
    </row>
    <row r="48" spans="1:53" ht="44" customHeight="1" x14ac:dyDescent="0.2">
      <c r="A48" s="6">
        <v>45587664</v>
      </c>
      <c r="B48" s="6"/>
      <c r="C48" s="7" t="s">
        <v>35</v>
      </c>
      <c r="D48" s="6" t="s">
        <v>532</v>
      </c>
      <c r="E48" s="6">
        <f t="shared" si="0"/>
        <v>106</v>
      </c>
      <c r="F48" s="6" t="s">
        <v>533</v>
      </c>
      <c r="G48" s="6">
        <f t="shared" si="1"/>
        <v>26</v>
      </c>
      <c r="H48" s="9">
        <f t="shared" si="2"/>
        <v>0.75471698113207553</v>
      </c>
      <c r="I48" s="6" t="s">
        <v>5148</v>
      </c>
      <c r="J48" s="6">
        <v>4</v>
      </c>
      <c r="K48" s="9">
        <f t="shared" si="3"/>
        <v>3.7735849056603772E-2</v>
      </c>
      <c r="L48" s="6">
        <v>4</v>
      </c>
      <c r="M48" s="6">
        <v>2</v>
      </c>
      <c r="N48" s="6">
        <v>2</v>
      </c>
      <c r="O48" s="6" t="str">
        <f t="shared" si="4"/>
        <v>Correct</v>
      </c>
      <c r="P48" s="6"/>
      <c r="Q48" s="6">
        <v>2</v>
      </c>
      <c r="R48" s="6" t="str">
        <f t="shared" si="5"/>
        <v>Correct</v>
      </c>
      <c r="S48" s="6" t="s">
        <v>3571</v>
      </c>
      <c r="T48" s="14">
        <v>2</v>
      </c>
      <c r="U48" s="6" t="str">
        <f t="shared" si="6"/>
        <v>Correct</v>
      </c>
      <c r="V48" s="15">
        <v>2</v>
      </c>
      <c r="W48" s="15" t="str">
        <f t="shared" si="7"/>
        <v>Correct</v>
      </c>
      <c r="X48" s="14">
        <v>2</v>
      </c>
      <c r="Y48" s="14" t="str">
        <f t="shared" si="8"/>
        <v>Correct</v>
      </c>
      <c r="Z48" s="6">
        <v>47</v>
      </c>
      <c r="AA48" s="6" t="s">
        <v>534</v>
      </c>
      <c r="AB48" s="6" t="s">
        <v>535</v>
      </c>
      <c r="AC48" s="6">
        <v>1</v>
      </c>
      <c r="AD48" s="6" t="s">
        <v>40</v>
      </c>
      <c r="AE48" s="6" t="s">
        <v>536</v>
      </c>
      <c r="AF48" s="6" t="s">
        <v>537</v>
      </c>
      <c r="AG48" s="6" t="s">
        <v>538</v>
      </c>
      <c r="AH48" s="6" t="s">
        <v>44</v>
      </c>
      <c r="AI48" s="6" t="s">
        <v>44</v>
      </c>
      <c r="AJ48" s="6" t="s">
        <v>44</v>
      </c>
      <c r="AK48" s="6" t="s">
        <v>3893</v>
      </c>
      <c r="AL48" s="6" t="s">
        <v>5099</v>
      </c>
      <c r="AM48" s="6" t="s">
        <v>539</v>
      </c>
      <c r="AN48" s="6" t="s">
        <v>540</v>
      </c>
      <c r="AO48" s="6" t="s">
        <v>541</v>
      </c>
      <c r="AP48" s="6" t="s">
        <v>532</v>
      </c>
      <c r="AQ48" s="21" t="s">
        <v>532</v>
      </c>
      <c r="AR48" s="6" t="s">
        <v>532</v>
      </c>
      <c r="AS48" s="6" t="s">
        <v>4631</v>
      </c>
      <c r="AT48" s="14">
        <v>2</v>
      </c>
      <c r="AU48" s="14">
        <v>2</v>
      </c>
      <c r="AV48" s="14">
        <v>2</v>
      </c>
      <c r="AW48" s="14">
        <v>2</v>
      </c>
      <c r="AX48" s="14">
        <v>2</v>
      </c>
      <c r="AY48" s="14">
        <v>2</v>
      </c>
      <c r="AZ48" s="14">
        <v>2</v>
      </c>
      <c r="BA48" s="2"/>
    </row>
    <row r="49" spans="1:53" ht="44" customHeight="1" x14ac:dyDescent="0.2">
      <c r="A49" s="6">
        <v>45563449</v>
      </c>
      <c r="B49" s="6"/>
      <c r="C49" s="7" t="s">
        <v>35</v>
      </c>
      <c r="D49" s="6" t="s">
        <v>542</v>
      </c>
      <c r="E49" s="6">
        <f t="shared" si="0"/>
        <v>145</v>
      </c>
      <c r="F49" s="6" t="s">
        <v>543</v>
      </c>
      <c r="G49" s="6">
        <f t="shared" si="1"/>
        <v>11</v>
      </c>
      <c r="H49" s="9">
        <f t="shared" si="2"/>
        <v>0.92413793103448272</v>
      </c>
      <c r="I49" s="6" t="s">
        <v>5149</v>
      </c>
      <c r="J49" s="6">
        <v>3</v>
      </c>
      <c r="K49" s="9">
        <f t="shared" si="3"/>
        <v>2.0689655172413793E-2</v>
      </c>
      <c r="L49" s="6">
        <v>22</v>
      </c>
      <c r="M49" s="6">
        <v>1</v>
      </c>
      <c r="N49" s="6">
        <v>2</v>
      </c>
      <c r="O49" s="6" t="str">
        <f t="shared" si="4"/>
        <v>Undertriaged</v>
      </c>
      <c r="P49" s="6"/>
      <c r="Q49" s="6">
        <v>2</v>
      </c>
      <c r="R49" s="6" t="str">
        <f t="shared" si="5"/>
        <v>Undertriaged</v>
      </c>
      <c r="S49" s="6" t="s">
        <v>3572</v>
      </c>
      <c r="T49" s="14">
        <v>2</v>
      </c>
      <c r="U49" s="6" t="str">
        <f t="shared" si="6"/>
        <v>Undertriaged</v>
      </c>
      <c r="V49" s="15">
        <v>2</v>
      </c>
      <c r="W49" s="15" t="str">
        <f t="shared" si="7"/>
        <v>Undertriaged</v>
      </c>
      <c r="X49" s="14">
        <v>2</v>
      </c>
      <c r="Y49" s="14" t="str">
        <f t="shared" si="8"/>
        <v>Undertriaged</v>
      </c>
      <c r="Z49" s="6">
        <v>48</v>
      </c>
      <c r="AA49" s="6" t="s">
        <v>544</v>
      </c>
      <c r="AB49" s="6" t="s">
        <v>545</v>
      </c>
      <c r="AC49" s="6">
        <v>1</v>
      </c>
      <c r="AD49" s="6" t="s">
        <v>40</v>
      </c>
      <c r="AE49" s="6" t="s">
        <v>546</v>
      </c>
      <c r="AF49" s="6" t="s">
        <v>44</v>
      </c>
      <c r="AG49" s="6" t="s">
        <v>44</v>
      </c>
      <c r="AH49" s="6" t="s">
        <v>44</v>
      </c>
      <c r="AI49" s="6" t="s">
        <v>3380</v>
      </c>
      <c r="AJ49" s="6" t="s">
        <v>3894</v>
      </c>
      <c r="AK49" s="6" t="s">
        <v>547</v>
      </c>
      <c r="AL49" s="6" t="s">
        <v>3480</v>
      </c>
      <c r="AM49" s="6" t="s">
        <v>4632</v>
      </c>
      <c r="AN49" s="6" t="s">
        <v>542</v>
      </c>
      <c r="AO49" s="6" t="s">
        <v>542</v>
      </c>
      <c r="AP49" s="6" t="s">
        <v>542</v>
      </c>
      <c r="AQ49" s="21" t="s">
        <v>4419</v>
      </c>
      <c r="AR49" s="6" t="s">
        <v>4633</v>
      </c>
      <c r="AS49" s="6" t="s">
        <v>548</v>
      </c>
      <c r="AT49" s="14">
        <v>2</v>
      </c>
      <c r="AU49" s="14">
        <v>2</v>
      </c>
      <c r="AV49" s="14">
        <v>2</v>
      </c>
      <c r="AW49" s="14">
        <v>2</v>
      </c>
      <c r="AX49" s="14">
        <v>2</v>
      </c>
      <c r="AY49" s="14">
        <v>2</v>
      </c>
      <c r="AZ49" s="14">
        <v>2</v>
      </c>
      <c r="BA49" s="2"/>
    </row>
    <row r="50" spans="1:53" ht="44" customHeight="1" x14ac:dyDescent="0.2">
      <c r="A50" s="6">
        <v>45587667</v>
      </c>
      <c r="B50" s="6"/>
      <c r="C50" s="7" t="s">
        <v>35</v>
      </c>
      <c r="D50" s="6" t="s">
        <v>549</v>
      </c>
      <c r="E50" s="6">
        <f t="shared" si="0"/>
        <v>133</v>
      </c>
      <c r="F50" s="6" t="s">
        <v>550</v>
      </c>
      <c r="G50" s="6">
        <f t="shared" si="1"/>
        <v>6</v>
      </c>
      <c r="H50" s="9">
        <f t="shared" si="2"/>
        <v>0.95488721804511278</v>
      </c>
      <c r="I50" s="6" t="s">
        <v>5150</v>
      </c>
      <c r="J50" s="6">
        <v>3</v>
      </c>
      <c r="K50" s="9">
        <f t="shared" si="3"/>
        <v>2.2556390977443608E-2</v>
      </c>
      <c r="L50" s="6">
        <v>2</v>
      </c>
      <c r="M50" s="6">
        <v>2</v>
      </c>
      <c r="N50" s="6">
        <v>2</v>
      </c>
      <c r="O50" s="6" t="str">
        <f t="shared" si="4"/>
        <v>Correct</v>
      </c>
      <c r="P50" s="6"/>
      <c r="Q50" s="6">
        <v>2</v>
      </c>
      <c r="R50" s="6" t="str">
        <f t="shared" si="5"/>
        <v>Correct</v>
      </c>
      <c r="S50" s="6" t="s">
        <v>3573</v>
      </c>
      <c r="T50" s="14">
        <v>2</v>
      </c>
      <c r="U50" s="6" t="str">
        <f t="shared" si="6"/>
        <v>Correct</v>
      </c>
      <c r="V50" s="15">
        <v>1</v>
      </c>
      <c r="W50" s="15" t="str">
        <f t="shared" si="7"/>
        <v>Overtriaged</v>
      </c>
      <c r="X50" s="14">
        <v>2</v>
      </c>
      <c r="Y50" s="14" t="str">
        <f t="shared" si="8"/>
        <v>Correct</v>
      </c>
      <c r="Z50" s="6">
        <v>49</v>
      </c>
      <c r="AA50" s="6" t="s">
        <v>551</v>
      </c>
      <c r="AB50" s="6" t="s">
        <v>552</v>
      </c>
      <c r="AC50" s="6">
        <v>1</v>
      </c>
      <c r="AD50" s="6" t="s">
        <v>40</v>
      </c>
      <c r="AE50" s="6" t="s">
        <v>553</v>
      </c>
      <c r="AF50" s="6" t="s">
        <v>44</v>
      </c>
      <c r="AG50" s="6" t="s">
        <v>44</v>
      </c>
      <c r="AH50" s="6" t="s">
        <v>44</v>
      </c>
      <c r="AI50" s="6" t="s">
        <v>44</v>
      </c>
      <c r="AJ50" s="6" t="s">
        <v>3895</v>
      </c>
      <c r="AK50" s="6" t="s">
        <v>554</v>
      </c>
      <c r="AL50" s="6" t="s">
        <v>3480</v>
      </c>
      <c r="AM50" s="6" t="s">
        <v>555</v>
      </c>
      <c r="AN50" s="6" t="s">
        <v>549</v>
      </c>
      <c r="AO50" s="6" t="s">
        <v>549</v>
      </c>
      <c r="AP50" s="6" t="s">
        <v>549</v>
      </c>
      <c r="AQ50" s="21" t="s">
        <v>549</v>
      </c>
      <c r="AR50" s="6" t="s">
        <v>4634</v>
      </c>
      <c r="AS50" s="6" t="s">
        <v>556</v>
      </c>
      <c r="AT50" s="14">
        <v>2</v>
      </c>
      <c r="AU50" s="14">
        <v>2</v>
      </c>
      <c r="AV50" s="14">
        <v>2</v>
      </c>
      <c r="AW50" s="14">
        <v>2</v>
      </c>
      <c r="AX50" s="14">
        <v>2</v>
      </c>
      <c r="AY50" s="14">
        <v>2</v>
      </c>
      <c r="AZ50" s="14">
        <v>2</v>
      </c>
      <c r="BA50" s="2"/>
    </row>
    <row r="51" spans="1:53" ht="44" customHeight="1" x14ac:dyDescent="0.2">
      <c r="A51" s="6">
        <v>45665825</v>
      </c>
      <c r="B51" s="6"/>
      <c r="C51" s="7" t="s">
        <v>35</v>
      </c>
      <c r="D51" s="6" t="s">
        <v>557</v>
      </c>
      <c r="E51" s="6">
        <f t="shared" si="0"/>
        <v>125</v>
      </c>
      <c r="F51" s="6" t="s">
        <v>558</v>
      </c>
      <c r="G51" s="6">
        <f t="shared" si="1"/>
        <v>30</v>
      </c>
      <c r="H51" s="9">
        <f t="shared" si="2"/>
        <v>0.76</v>
      </c>
      <c r="I51" s="6" t="s">
        <v>5151</v>
      </c>
      <c r="J51" s="6">
        <v>4</v>
      </c>
      <c r="K51" s="9">
        <f t="shared" si="3"/>
        <v>3.2000000000000001E-2</v>
      </c>
      <c r="L51" s="6">
        <v>2</v>
      </c>
      <c r="M51" s="6">
        <v>2</v>
      </c>
      <c r="N51" s="6">
        <v>1</v>
      </c>
      <c r="O51" s="6" t="str">
        <f t="shared" si="4"/>
        <v>Overtriaged</v>
      </c>
      <c r="P51" s="6"/>
      <c r="Q51" s="6">
        <v>1</v>
      </c>
      <c r="R51" s="6" t="str">
        <f t="shared" si="5"/>
        <v>Overtriaged</v>
      </c>
      <c r="S51" s="6" t="s">
        <v>3574</v>
      </c>
      <c r="T51" s="14">
        <v>1</v>
      </c>
      <c r="U51" s="6" t="str">
        <f t="shared" si="6"/>
        <v>Overtriaged</v>
      </c>
      <c r="V51" s="15">
        <v>1</v>
      </c>
      <c r="W51" s="15" t="str">
        <f t="shared" si="7"/>
        <v>Overtriaged</v>
      </c>
      <c r="X51" s="14">
        <v>1</v>
      </c>
      <c r="Y51" s="14" t="str">
        <f t="shared" si="8"/>
        <v>Overtriaged</v>
      </c>
      <c r="Z51" s="6">
        <v>50</v>
      </c>
      <c r="AA51" s="6" t="s">
        <v>559</v>
      </c>
      <c r="AB51" s="6" t="s">
        <v>560</v>
      </c>
      <c r="AC51" s="6">
        <v>1</v>
      </c>
      <c r="AD51" s="6" t="s">
        <v>40</v>
      </c>
      <c r="AE51" s="6" t="s">
        <v>561</v>
      </c>
      <c r="AF51" s="6" t="s">
        <v>562</v>
      </c>
      <c r="AG51" s="6" t="s">
        <v>563</v>
      </c>
      <c r="AH51" s="6" t="s">
        <v>44</v>
      </c>
      <c r="AI51" s="6" t="s">
        <v>3381</v>
      </c>
      <c r="AJ51" s="6" t="s">
        <v>564</v>
      </c>
      <c r="AK51" s="6" t="s">
        <v>3896</v>
      </c>
      <c r="AL51" s="6" t="s">
        <v>3476</v>
      </c>
      <c r="AM51" s="6" t="s">
        <v>565</v>
      </c>
      <c r="AN51" s="6" t="s">
        <v>566</v>
      </c>
      <c r="AO51" s="6" t="s">
        <v>567</v>
      </c>
      <c r="AP51" s="6" t="s">
        <v>557</v>
      </c>
      <c r="AQ51" s="21" t="s">
        <v>4420</v>
      </c>
      <c r="AR51" s="6" t="s">
        <v>568</v>
      </c>
      <c r="AS51" s="6" t="s">
        <v>4635</v>
      </c>
      <c r="AT51" s="14">
        <v>1</v>
      </c>
      <c r="AU51" s="14">
        <v>1</v>
      </c>
      <c r="AV51" s="14">
        <v>1</v>
      </c>
      <c r="AW51" s="14">
        <v>1</v>
      </c>
      <c r="AX51" s="14">
        <v>1</v>
      </c>
      <c r="AY51" s="14">
        <v>1</v>
      </c>
      <c r="AZ51" s="14">
        <v>1</v>
      </c>
      <c r="BA51" s="2"/>
    </row>
    <row r="52" spans="1:53" ht="44" customHeight="1" x14ac:dyDescent="0.2">
      <c r="A52" s="6">
        <v>45672524</v>
      </c>
      <c r="B52" s="6"/>
      <c r="C52" s="7" t="s">
        <v>35</v>
      </c>
      <c r="D52" s="6" t="s">
        <v>569</v>
      </c>
      <c r="E52" s="6">
        <f t="shared" si="0"/>
        <v>158</v>
      </c>
      <c r="F52" s="6" t="s">
        <v>570</v>
      </c>
      <c r="G52" s="6">
        <f t="shared" si="1"/>
        <v>53</v>
      </c>
      <c r="H52" s="9">
        <f t="shared" si="2"/>
        <v>0.66455696202531644</v>
      </c>
      <c r="I52" s="6" t="s">
        <v>5152</v>
      </c>
      <c r="J52" s="6">
        <v>5</v>
      </c>
      <c r="K52" s="9">
        <f t="shared" si="3"/>
        <v>3.1645569620253167E-2</v>
      </c>
      <c r="L52" s="6">
        <v>4</v>
      </c>
      <c r="M52" s="6">
        <v>2</v>
      </c>
      <c r="N52" s="6">
        <v>2</v>
      </c>
      <c r="O52" s="6" t="str">
        <f t="shared" si="4"/>
        <v>Correct</v>
      </c>
      <c r="P52" s="6"/>
      <c r="Q52" s="6">
        <v>1</v>
      </c>
      <c r="R52" s="6" t="str">
        <f t="shared" si="5"/>
        <v>Overtriaged</v>
      </c>
      <c r="S52" s="6" t="s">
        <v>3771</v>
      </c>
      <c r="T52" s="14">
        <v>1</v>
      </c>
      <c r="U52" s="6" t="str">
        <f t="shared" si="6"/>
        <v>Overtriaged</v>
      </c>
      <c r="V52" s="15">
        <v>1</v>
      </c>
      <c r="W52" s="15" t="str">
        <f t="shared" si="7"/>
        <v>Overtriaged</v>
      </c>
      <c r="X52" s="14">
        <v>2</v>
      </c>
      <c r="Y52" s="14" t="str">
        <f t="shared" si="8"/>
        <v>Correct</v>
      </c>
      <c r="Z52" s="6">
        <v>51</v>
      </c>
      <c r="AA52" s="6" t="s">
        <v>571</v>
      </c>
      <c r="AB52" s="6" t="s">
        <v>572</v>
      </c>
      <c r="AC52" s="6">
        <v>1</v>
      </c>
      <c r="AD52" s="6" t="s">
        <v>40</v>
      </c>
      <c r="AE52" s="6" t="s">
        <v>573</v>
      </c>
      <c r="AF52" s="6" t="s">
        <v>574</v>
      </c>
      <c r="AG52" s="6" t="s">
        <v>575</v>
      </c>
      <c r="AH52" s="6" t="s">
        <v>44</v>
      </c>
      <c r="AI52" s="6" t="s">
        <v>576</v>
      </c>
      <c r="AJ52" s="6" t="s">
        <v>3897</v>
      </c>
      <c r="AK52" s="6" t="s">
        <v>3898</v>
      </c>
      <c r="AL52" s="6" t="s">
        <v>3476</v>
      </c>
      <c r="AM52" s="6" t="s">
        <v>577</v>
      </c>
      <c r="AN52" s="6" t="s">
        <v>578</v>
      </c>
      <c r="AO52" s="6" t="s">
        <v>579</v>
      </c>
      <c r="AP52" s="6" t="s">
        <v>569</v>
      </c>
      <c r="AQ52" s="21" t="s">
        <v>580</v>
      </c>
      <c r="AR52" s="6" t="s">
        <v>4636</v>
      </c>
      <c r="AS52" s="6" t="s">
        <v>4637</v>
      </c>
      <c r="AT52" s="14">
        <v>1</v>
      </c>
      <c r="AU52" s="14">
        <v>1</v>
      </c>
      <c r="AV52" s="14">
        <v>1</v>
      </c>
      <c r="AW52" s="14">
        <v>2</v>
      </c>
      <c r="AX52" s="14">
        <v>2</v>
      </c>
      <c r="AY52" s="14">
        <v>2</v>
      </c>
      <c r="AZ52" s="14">
        <v>1</v>
      </c>
      <c r="BA52" s="2"/>
    </row>
    <row r="53" spans="1:53" ht="44" customHeight="1" x14ac:dyDescent="0.2">
      <c r="A53" s="6">
        <v>45744709</v>
      </c>
      <c r="B53" s="6"/>
      <c r="C53" s="7" t="s">
        <v>35</v>
      </c>
      <c r="D53" s="6" t="s">
        <v>581</v>
      </c>
      <c r="E53" s="6">
        <f t="shared" si="0"/>
        <v>87</v>
      </c>
      <c r="F53" s="6" t="s">
        <v>582</v>
      </c>
      <c r="G53" s="6">
        <f t="shared" si="1"/>
        <v>24</v>
      </c>
      <c r="H53" s="9">
        <f t="shared" si="2"/>
        <v>0.72413793103448276</v>
      </c>
      <c r="I53" s="6"/>
      <c r="J53" s="6">
        <v>0</v>
      </c>
      <c r="K53" s="9">
        <f t="shared" si="3"/>
        <v>0</v>
      </c>
      <c r="L53" s="6">
        <v>1</v>
      </c>
      <c r="M53" s="6">
        <v>2</v>
      </c>
      <c r="N53" s="6">
        <v>1</v>
      </c>
      <c r="O53" s="6" t="str">
        <f t="shared" si="4"/>
        <v>Overtriaged</v>
      </c>
      <c r="P53" s="6"/>
      <c r="Q53" s="6">
        <v>1</v>
      </c>
      <c r="R53" s="6" t="str">
        <f t="shared" si="5"/>
        <v>Overtriaged</v>
      </c>
      <c r="S53" s="6" t="s">
        <v>3772</v>
      </c>
      <c r="T53" s="14">
        <v>1</v>
      </c>
      <c r="U53" s="6" t="str">
        <f t="shared" si="6"/>
        <v>Overtriaged</v>
      </c>
      <c r="V53" s="15">
        <v>2</v>
      </c>
      <c r="W53" s="15" t="str">
        <f t="shared" si="7"/>
        <v>Correct</v>
      </c>
      <c r="X53" s="14">
        <v>1</v>
      </c>
      <c r="Y53" s="14" t="str">
        <f t="shared" si="8"/>
        <v>Overtriaged</v>
      </c>
      <c r="Z53" s="6">
        <v>52</v>
      </c>
      <c r="AA53" s="6" t="s">
        <v>583</v>
      </c>
      <c r="AB53" s="6" t="s">
        <v>584</v>
      </c>
      <c r="AC53" s="6">
        <v>1</v>
      </c>
      <c r="AD53" s="6" t="s">
        <v>40</v>
      </c>
      <c r="AE53" s="6" t="s">
        <v>408</v>
      </c>
      <c r="AF53" s="6" t="s">
        <v>585</v>
      </c>
      <c r="AG53" s="6" t="s">
        <v>586</v>
      </c>
      <c r="AH53" s="6" t="s">
        <v>44</v>
      </c>
      <c r="AI53" s="6" t="s">
        <v>44</v>
      </c>
      <c r="AJ53" s="6" t="s">
        <v>44</v>
      </c>
      <c r="AK53" s="6" t="s">
        <v>587</v>
      </c>
      <c r="AL53" s="6" t="s">
        <v>5099</v>
      </c>
      <c r="AM53" s="6" t="s">
        <v>588</v>
      </c>
      <c r="AN53" s="6" t="s">
        <v>589</v>
      </c>
      <c r="AO53" s="6" t="s">
        <v>590</v>
      </c>
      <c r="AP53" s="6" t="s">
        <v>581</v>
      </c>
      <c r="AQ53" s="21" t="s">
        <v>581</v>
      </c>
      <c r="AR53" s="6" t="s">
        <v>581</v>
      </c>
      <c r="AS53" s="6" t="s">
        <v>591</v>
      </c>
      <c r="AT53" s="14">
        <v>2</v>
      </c>
      <c r="AU53" s="14">
        <v>1</v>
      </c>
      <c r="AV53" s="14">
        <v>2</v>
      </c>
      <c r="AW53" s="14">
        <v>1</v>
      </c>
      <c r="AX53" s="14">
        <v>1</v>
      </c>
      <c r="AY53" s="14">
        <v>1</v>
      </c>
      <c r="AZ53" s="14">
        <v>2</v>
      </c>
      <c r="BA53" s="2"/>
    </row>
    <row r="54" spans="1:53" ht="44" customHeight="1" x14ac:dyDescent="0.2">
      <c r="A54" s="6">
        <v>45745600</v>
      </c>
      <c r="B54" s="6"/>
      <c r="C54" s="7" t="s">
        <v>35</v>
      </c>
      <c r="D54" s="6" t="s">
        <v>592</v>
      </c>
      <c r="E54" s="6">
        <f t="shared" si="0"/>
        <v>92</v>
      </c>
      <c r="F54" s="6" t="s">
        <v>593</v>
      </c>
      <c r="G54" s="6">
        <f t="shared" si="1"/>
        <v>18</v>
      </c>
      <c r="H54" s="9">
        <f t="shared" si="2"/>
        <v>0.80434782608695654</v>
      </c>
      <c r="I54" s="6" t="s">
        <v>5153</v>
      </c>
      <c r="J54" s="6">
        <v>3</v>
      </c>
      <c r="K54" s="9">
        <f t="shared" si="3"/>
        <v>3.2608695652173912E-2</v>
      </c>
      <c r="L54" s="6">
        <v>4</v>
      </c>
      <c r="M54" s="6">
        <v>2</v>
      </c>
      <c r="N54" s="6">
        <v>2</v>
      </c>
      <c r="O54" s="6" t="str">
        <f t="shared" si="4"/>
        <v>Correct</v>
      </c>
      <c r="P54" s="6"/>
      <c r="Q54" s="6">
        <v>2</v>
      </c>
      <c r="R54" s="6" t="str">
        <f t="shared" si="5"/>
        <v>Correct</v>
      </c>
      <c r="S54" s="6" t="s">
        <v>3575</v>
      </c>
      <c r="T54" s="14">
        <v>2</v>
      </c>
      <c r="U54" s="6" t="str">
        <f t="shared" si="6"/>
        <v>Correct</v>
      </c>
      <c r="V54" s="15">
        <v>2</v>
      </c>
      <c r="W54" s="15" t="str">
        <f t="shared" si="7"/>
        <v>Correct</v>
      </c>
      <c r="X54" s="14">
        <v>2</v>
      </c>
      <c r="Y54" s="14" t="str">
        <f t="shared" si="8"/>
        <v>Correct</v>
      </c>
      <c r="Z54" s="6">
        <v>53</v>
      </c>
      <c r="AA54" s="6" t="s">
        <v>594</v>
      </c>
      <c r="AB54" s="6" t="s">
        <v>595</v>
      </c>
      <c r="AC54" s="6">
        <v>1</v>
      </c>
      <c r="AD54" s="6" t="s">
        <v>40</v>
      </c>
      <c r="AE54" s="6" t="s">
        <v>596</v>
      </c>
      <c r="AF54" s="6" t="s">
        <v>597</v>
      </c>
      <c r="AG54" s="6" t="s">
        <v>598</v>
      </c>
      <c r="AH54" s="6" t="s">
        <v>599</v>
      </c>
      <c r="AI54" s="6" t="s">
        <v>600</v>
      </c>
      <c r="AJ54" s="6" t="s">
        <v>600</v>
      </c>
      <c r="AK54" s="6" t="s">
        <v>3899</v>
      </c>
      <c r="AL54" s="6" t="s">
        <v>3477</v>
      </c>
      <c r="AM54" s="6" t="s">
        <v>601</v>
      </c>
      <c r="AN54" s="6" t="s">
        <v>602</v>
      </c>
      <c r="AO54" s="6" t="s">
        <v>603</v>
      </c>
      <c r="AP54" s="6" t="s">
        <v>604</v>
      </c>
      <c r="AQ54" s="21" t="s">
        <v>605</v>
      </c>
      <c r="AR54" s="6" t="s">
        <v>605</v>
      </c>
      <c r="AS54" s="6" t="s">
        <v>4638</v>
      </c>
      <c r="AT54" s="14">
        <v>2</v>
      </c>
      <c r="AU54" s="14">
        <v>2</v>
      </c>
      <c r="AV54" s="14">
        <v>2</v>
      </c>
      <c r="AW54" s="14">
        <v>2</v>
      </c>
      <c r="AX54" s="14">
        <v>2</v>
      </c>
      <c r="AY54" s="14">
        <v>2</v>
      </c>
      <c r="AZ54" s="14">
        <v>2</v>
      </c>
      <c r="BA54" s="2"/>
    </row>
    <row r="55" spans="1:53" ht="44" customHeight="1" x14ac:dyDescent="0.2">
      <c r="A55" s="6">
        <v>45770106</v>
      </c>
      <c r="B55" s="6"/>
      <c r="C55" s="7" t="s">
        <v>35</v>
      </c>
      <c r="D55" s="6" t="s">
        <v>606</v>
      </c>
      <c r="E55" s="6">
        <f t="shared" si="0"/>
        <v>107</v>
      </c>
      <c r="F55" s="6" t="s">
        <v>607</v>
      </c>
      <c r="G55" s="6">
        <f t="shared" si="1"/>
        <v>21</v>
      </c>
      <c r="H55" s="9">
        <f t="shared" si="2"/>
        <v>0.80373831775700932</v>
      </c>
      <c r="I55" s="6" t="s">
        <v>5154</v>
      </c>
      <c r="J55" s="6">
        <v>1</v>
      </c>
      <c r="K55" s="9">
        <f t="shared" si="3"/>
        <v>9.3457943925233638E-3</v>
      </c>
      <c r="L55" s="6">
        <v>5</v>
      </c>
      <c r="M55" s="6">
        <v>2</v>
      </c>
      <c r="N55" s="6">
        <v>2</v>
      </c>
      <c r="O55" s="6" t="str">
        <f t="shared" si="4"/>
        <v>Correct</v>
      </c>
      <c r="P55" s="6"/>
      <c r="Q55" s="6">
        <v>2</v>
      </c>
      <c r="R55" s="6" t="str">
        <f t="shared" si="5"/>
        <v>Correct</v>
      </c>
      <c r="S55" s="6" t="s">
        <v>3576</v>
      </c>
      <c r="T55" s="14">
        <v>2</v>
      </c>
      <c r="U55" s="6" t="str">
        <f t="shared" si="6"/>
        <v>Correct</v>
      </c>
      <c r="V55" s="15">
        <v>2</v>
      </c>
      <c r="W55" s="15" t="str">
        <f t="shared" si="7"/>
        <v>Correct</v>
      </c>
      <c r="X55" s="14">
        <v>2</v>
      </c>
      <c r="Y55" s="14" t="str">
        <f t="shared" si="8"/>
        <v>Correct</v>
      </c>
      <c r="Z55" s="6">
        <v>54</v>
      </c>
      <c r="AA55" s="6" t="s">
        <v>608</v>
      </c>
      <c r="AB55" s="6" t="s">
        <v>609</v>
      </c>
      <c r="AC55" s="6">
        <v>1</v>
      </c>
      <c r="AD55" s="6" t="s">
        <v>40</v>
      </c>
      <c r="AE55" s="6" t="s">
        <v>610</v>
      </c>
      <c r="AF55" s="6" t="s">
        <v>611</v>
      </c>
      <c r="AG55" s="6" t="s">
        <v>44</v>
      </c>
      <c r="AH55" s="6" t="s">
        <v>44</v>
      </c>
      <c r="AI55" s="6" t="s">
        <v>3382</v>
      </c>
      <c r="AJ55" s="6" t="s">
        <v>612</v>
      </c>
      <c r="AK55" s="6" t="s">
        <v>613</v>
      </c>
      <c r="AL55" s="6" t="s">
        <v>3478</v>
      </c>
      <c r="AM55" s="6" t="s">
        <v>614</v>
      </c>
      <c r="AN55" s="6" t="s">
        <v>615</v>
      </c>
      <c r="AO55" s="6" t="s">
        <v>606</v>
      </c>
      <c r="AP55" s="6" t="s">
        <v>606</v>
      </c>
      <c r="AQ55" s="21" t="s">
        <v>4421</v>
      </c>
      <c r="AR55" s="6" t="s">
        <v>616</v>
      </c>
      <c r="AS55" s="6" t="s">
        <v>617</v>
      </c>
      <c r="AT55" s="14">
        <v>2</v>
      </c>
      <c r="AU55" s="14">
        <v>2</v>
      </c>
      <c r="AV55" s="14">
        <v>2</v>
      </c>
      <c r="AW55" s="14">
        <v>2</v>
      </c>
      <c r="AX55" s="14">
        <v>2</v>
      </c>
      <c r="AY55" s="14">
        <v>2</v>
      </c>
      <c r="AZ55" s="14">
        <v>2</v>
      </c>
      <c r="BA55" s="2"/>
    </row>
    <row r="56" spans="1:53" ht="44" customHeight="1" x14ac:dyDescent="0.2">
      <c r="A56" s="6">
        <v>45837515</v>
      </c>
      <c r="B56" s="6"/>
      <c r="C56" s="7" t="s">
        <v>35</v>
      </c>
      <c r="D56" s="6" t="s">
        <v>618</v>
      </c>
      <c r="E56" s="6">
        <f t="shared" si="0"/>
        <v>160</v>
      </c>
      <c r="F56" s="6" t="s">
        <v>620</v>
      </c>
      <c r="G56" s="6">
        <f t="shared" si="1"/>
        <v>35</v>
      </c>
      <c r="H56" s="9">
        <f t="shared" si="2"/>
        <v>0.78125</v>
      </c>
      <c r="I56" s="6" t="s">
        <v>5155</v>
      </c>
      <c r="J56" s="6">
        <v>6</v>
      </c>
      <c r="K56" s="9">
        <f t="shared" si="3"/>
        <v>3.7499999999999999E-2</v>
      </c>
      <c r="L56" s="6">
        <v>1</v>
      </c>
      <c r="M56" s="6">
        <v>2</v>
      </c>
      <c r="N56" s="6">
        <v>2</v>
      </c>
      <c r="O56" s="6" t="str">
        <f t="shared" si="4"/>
        <v>Correct</v>
      </c>
      <c r="P56" s="6"/>
      <c r="Q56" s="6">
        <v>2</v>
      </c>
      <c r="R56" s="6" t="str">
        <f t="shared" si="5"/>
        <v>Correct</v>
      </c>
      <c r="S56" s="6" t="s">
        <v>619</v>
      </c>
      <c r="T56" s="14">
        <v>2</v>
      </c>
      <c r="U56" s="6" t="str">
        <f t="shared" si="6"/>
        <v>Correct</v>
      </c>
      <c r="V56" s="15">
        <v>1</v>
      </c>
      <c r="W56" s="15" t="str">
        <f t="shared" si="7"/>
        <v>Overtriaged</v>
      </c>
      <c r="X56" s="14">
        <v>2</v>
      </c>
      <c r="Y56" s="14" t="str">
        <f t="shared" si="8"/>
        <v>Correct</v>
      </c>
      <c r="Z56" s="6">
        <v>55</v>
      </c>
      <c r="AA56" s="6" t="s">
        <v>621</v>
      </c>
      <c r="AB56" s="6" t="s">
        <v>622</v>
      </c>
      <c r="AC56" s="6">
        <v>1</v>
      </c>
      <c r="AD56" s="6" t="s">
        <v>40</v>
      </c>
      <c r="AE56" s="6" t="s">
        <v>623</v>
      </c>
      <c r="AF56" s="6" t="s">
        <v>624</v>
      </c>
      <c r="AG56" s="6" t="s">
        <v>625</v>
      </c>
      <c r="AH56" s="6" t="s">
        <v>626</v>
      </c>
      <c r="AI56" s="6" t="s">
        <v>4343</v>
      </c>
      <c r="AJ56" s="6" t="s">
        <v>627</v>
      </c>
      <c r="AK56" s="6" t="s">
        <v>3900</v>
      </c>
      <c r="AL56" s="6" t="s">
        <v>3477</v>
      </c>
      <c r="AM56" s="6" t="s">
        <v>628</v>
      </c>
      <c r="AN56" s="6" t="s">
        <v>629</v>
      </c>
      <c r="AO56" s="6" t="s">
        <v>630</v>
      </c>
      <c r="AP56" s="6" t="s">
        <v>4639</v>
      </c>
      <c r="AQ56" s="21" t="s">
        <v>4422</v>
      </c>
      <c r="AR56" s="6" t="s">
        <v>631</v>
      </c>
      <c r="AS56" s="6" t="s">
        <v>4640</v>
      </c>
      <c r="AT56" s="14">
        <v>2</v>
      </c>
      <c r="AU56" s="14">
        <v>2</v>
      </c>
      <c r="AV56" s="14">
        <v>2</v>
      </c>
      <c r="AW56" s="14">
        <v>2</v>
      </c>
      <c r="AX56" s="14">
        <v>2</v>
      </c>
      <c r="AY56" s="14">
        <v>2</v>
      </c>
      <c r="AZ56" s="14">
        <v>2</v>
      </c>
      <c r="BA56" s="2"/>
    </row>
    <row r="57" spans="1:53" ht="44" customHeight="1" x14ac:dyDescent="0.2">
      <c r="A57" s="6">
        <v>46064982</v>
      </c>
      <c r="B57" s="6"/>
      <c r="C57" s="7" t="s">
        <v>35</v>
      </c>
      <c r="D57" s="6" t="s">
        <v>632</v>
      </c>
      <c r="E57" s="6">
        <f t="shared" si="0"/>
        <v>307</v>
      </c>
      <c r="F57" s="6" t="s">
        <v>633</v>
      </c>
      <c r="G57" s="6">
        <f t="shared" si="1"/>
        <v>67</v>
      </c>
      <c r="H57" s="9">
        <f t="shared" si="2"/>
        <v>0.78175895765472314</v>
      </c>
      <c r="I57" s="6" t="s">
        <v>5156</v>
      </c>
      <c r="J57" s="6">
        <v>9</v>
      </c>
      <c r="K57" s="9">
        <f t="shared" si="3"/>
        <v>2.9315960912052116E-2</v>
      </c>
      <c r="L57" s="6">
        <v>1</v>
      </c>
      <c r="M57" s="6">
        <v>2</v>
      </c>
      <c r="N57" s="6">
        <v>2</v>
      </c>
      <c r="O57" s="6" t="str">
        <f t="shared" si="4"/>
        <v>Correct</v>
      </c>
      <c r="P57" s="6"/>
      <c r="Q57" s="6">
        <v>2</v>
      </c>
      <c r="R57" s="6" t="str">
        <f t="shared" si="5"/>
        <v>Correct</v>
      </c>
      <c r="S57" s="6" t="s">
        <v>3577</v>
      </c>
      <c r="T57" s="14">
        <v>2</v>
      </c>
      <c r="U57" s="6" t="str">
        <f t="shared" si="6"/>
        <v>Correct</v>
      </c>
      <c r="V57" s="15">
        <v>1</v>
      </c>
      <c r="W57" s="15" t="str">
        <f t="shared" si="7"/>
        <v>Overtriaged</v>
      </c>
      <c r="X57" s="14">
        <v>2</v>
      </c>
      <c r="Y57" s="14" t="str">
        <f t="shared" si="8"/>
        <v>Correct</v>
      </c>
      <c r="Z57" s="6">
        <v>56</v>
      </c>
      <c r="AA57" s="6" t="s">
        <v>38</v>
      </c>
      <c r="AB57" s="6" t="s">
        <v>634</v>
      </c>
      <c r="AC57" s="6">
        <v>1</v>
      </c>
      <c r="AD57" s="6" t="s">
        <v>40</v>
      </c>
      <c r="AE57" s="6" t="s">
        <v>635</v>
      </c>
      <c r="AF57" s="6" t="s">
        <v>636</v>
      </c>
      <c r="AG57" s="6" t="s">
        <v>637</v>
      </c>
      <c r="AH57" s="6" t="s">
        <v>638</v>
      </c>
      <c r="AI57" s="6" t="s">
        <v>4344</v>
      </c>
      <c r="AJ57" s="6" t="s">
        <v>3901</v>
      </c>
      <c r="AK57" s="6" t="s">
        <v>639</v>
      </c>
      <c r="AL57" s="6" t="s">
        <v>3477</v>
      </c>
      <c r="AM57" s="6" t="s">
        <v>4641</v>
      </c>
      <c r="AN57" s="6" t="s">
        <v>640</v>
      </c>
      <c r="AO57" s="6" t="s">
        <v>641</v>
      </c>
      <c r="AP57" s="6" t="s">
        <v>642</v>
      </c>
      <c r="AQ57" s="21" t="s">
        <v>4423</v>
      </c>
      <c r="AR57" s="6" t="s">
        <v>643</v>
      </c>
      <c r="AS57" s="6" t="s">
        <v>644</v>
      </c>
      <c r="AT57" s="14">
        <v>2</v>
      </c>
      <c r="AU57" s="14">
        <v>2</v>
      </c>
      <c r="AV57" s="14">
        <v>2</v>
      </c>
      <c r="AW57" s="14">
        <v>2</v>
      </c>
      <c r="AX57" s="14">
        <v>2</v>
      </c>
      <c r="AY57" s="14">
        <v>2</v>
      </c>
      <c r="AZ57" s="14">
        <v>2</v>
      </c>
      <c r="BA57" s="2"/>
    </row>
    <row r="58" spans="1:53" ht="44" customHeight="1" x14ac:dyDescent="0.2">
      <c r="A58" s="6">
        <v>46070895</v>
      </c>
      <c r="B58" s="6"/>
      <c r="C58" s="7" t="s">
        <v>35</v>
      </c>
      <c r="D58" s="6" t="s">
        <v>645</v>
      </c>
      <c r="E58" s="6">
        <f t="shared" si="0"/>
        <v>175</v>
      </c>
      <c r="F58" s="6" t="s">
        <v>646</v>
      </c>
      <c r="G58" s="6">
        <f t="shared" si="1"/>
        <v>68</v>
      </c>
      <c r="H58" s="9">
        <f t="shared" si="2"/>
        <v>0.61142857142857143</v>
      </c>
      <c r="I58" s="6"/>
      <c r="J58" s="6">
        <v>0</v>
      </c>
      <c r="K58" s="9">
        <f t="shared" si="3"/>
        <v>0</v>
      </c>
      <c r="L58" s="6">
        <v>4</v>
      </c>
      <c r="M58" s="6">
        <v>2</v>
      </c>
      <c r="N58" s="6">
        <v>2</v>
      </c>
      <c r="O58" s="6" t="str">
        <f t="shared" si="4"/>
        <v>Correct</v>
      </c>
      <c r="P58" s="6"/>
      <c r="Q58" s="6">
        <v>1</v>
      </c>
      <c r="R58" s="6" t="str">
        <f t="shared" si="5"/>
        <v>Overtriaged</v>
      </c>
      <c r="S58" s="6" t="s">
        <v>3773</v>
      </c>
      <c r="T58" s="14">
        <v>2</v>
      </c>
      <c r="U58" s="6" t="str">
        <f t="shared" si="6"/>
        <v>Correct</v>
      </c>
      <c r="V58" s="15">
        <v>1</v>
      </c>
      <c r="W58" s="15" t="str">
        <f t="shared" si="7"/>
        <v>Overtriaged</v>
      </c>
      <c r="X58" s="14">
        <v>2</v>
      </c>
      <c r="Y58" s="14" t="str">
        <f t="shared" si="8"/>
        <v>Correct</v>
      </c>
      <c r="Z58" s="6">
        <v>57</v>
      </c>
      <c r="AA58" s="6" t="s">
        <v>647</v>
      </c>
      <c r="AB58" s="6" t="s">
        <v>648</v>
      </c>
      <c r="AC58" s="6">
        <v>1</v>
      </c>
      <c r="AD58" s="6" t="s">
        <v>40</v>
      </c>
      <c r="AE58" s="6" t="s">
        <v>649</v>
      </c>
      <c r="AF58" s="6" t="s">
        <v>650</v>
      </c>
      <c r="AG58" s="6" t="s">
        <v>651</v>
      </c>
      <c r="AH58" s="6" t="s">
        <v>652</v>
      </c>
      <c r="AI58" s="6" t="s">
        <v>3383</v>
      </c>
      <c r="AJ58" s="6" t="s">
        <v>653</v>
      </c>
      <c r="AK58" s="6" t="s">
        <v>3902</v>
      </c>
      <c r="AL58" s="6" t="s">
        <v>3477</v>
      </c>
      <c r="AM58" s="6" t="s">
        <v>654</v>
      </c>
      <c r="AN58" s="6" t="s">
        <v>655</v>
      </c>
      <c r="AO58" s="6" t="s">
        <v>656</v>
      </c>
      <c r="AP58" s="6" t="s">
        <v>657</v>
      </c>
      <c r="AQ58" s="21" t="s">
        <v>4424</v>
      </c>
      <c r="AR58" s="6" t="s">
        <v>658</v>
      </c>
      <c r="AS58" s="6" t="s">
        <v>4642</v>
      </c>
      <c r="AT58" s="14">
        <v>1</v>
      </c>
      <c r="AU58" s="14">
        <v>1</v>
      </c>
      <c r="AV58" s="14">
        <v>2</v>
      </c>
      <c r="AW58" s="14">
        <v>2</v>
      </c>
      <c r="AX58" s="14">
        <v>1</v>
      </c>
      <c r="AY58" s="14">
        <v>2</v>
      </c>
      <c r="AZ58" s="14">
        <v>2</v>
      </c>
      <c r="BA58" s="2"/>
    </row>
    <row r="59" spans="1:53" ht="44" customHeight="1" x14ac:dyDescent="0.2">
      <c r="A59" s="6">
        <v>46074211</v>
      </c>
      <c r="B59" s="6"/>
      <c r="C59" s="7" t="s">
        <v>35</v>
      </c>
      <c r="D59" s="6" t="s">
        <v>659</v>
      </c>
      <c r="E59" s="6">
        <f t="shared" si="0"/>
        <v>95</v>
      </c>
      <c r="F59" s="6" t="s">
        <v>660</v>
      </c>
      <c r="G59" s="6">
        <f t="shared" si="1"/>
        <v>24</v>
      </c>
      <c r="H59" s="9">
        <f t="shared" si="2"/>
        <v>0.74736842105263157</v>
      </c>
      <c r="I59" s="6"/>
      <c r="J59" s="6">
        <v>0</v>
      </c>
      <c r="K59" s="9">
        <f t="shared" si="3"/>
        <v>0</v>
      </c>
      <c r="L59" s="6">
        <v>6</v>
      </c>
      <c r="M59" s="6">
        <v>2</v>
      </c>
      <c r="N59" s="6">
        <v>2</v>
      </c>
      <c r="O59" s="6" t="str">
        <f t="shared" si="4"/>
        <v>Correct</v>
      </c>
      <c r="P59" s="6"/>
      <c r="Q59" s="6">
        <v>2</v>
      </c>
      <c r="R59" s="6" t="str">
        <f t="shared" si="5"/>
        <v>Correct</v>
      </c>
      <c r="S59" s="6" t="s">
        <v>3774</v>
      </c>
      <c r="T59" s="14">
        <v>2</v>
      </c>
      <c r="U59" s="6" t="str">
        <f t="shared" si="6"/>
        <v>Correct</v>
      </c>
      <c r="V59" s="15">
        <v>2</v>
      </c>
      <c r="W59" s="15" t="str">
        <f t="shared" si="7"/>
        <v>Correct</v>
      </c>
      <c r="X59" s="14">
        <v>2</v>
      </c>
      <c r="Y59" s="14" t="str">
        <f t="shared" si="8"/>
        <v>Correct</v>
      </c>
      <c r="Z59" s="6">
        <v>58</v>
      </c>
      <c r="AA59" s="6" t="s">
        <v>661</v>
      </c>
      <c r="AB59" s="6" t="s">
        <v>662</v>
      </c>
      <c r="AC59" s="6">
        <v>2</v>
      </c>
      <c r="AD59" s="6" t="s">
        <v>40</v>
      </c>
      <c r="AE59" s="6" t="s">
        <v>663</v>
      </c>
      <c r="AF59" s="6" t="s">
        <v>664</v>
      </c>
      <c r="AG59" s="6" t="s">
        <v>665</v>
      </c>
      <c r="AH59" s="6" t="s">
        <v>44</v>
      </c>
      <c r="AI59" s="6" t="s">
        <v>3384</v>
      </c>
      <c r="AJ59" s="6" t="s">
        <v>666</v>
      </c>
      <c r="AK59" s="6" t="s">
        <v>667</v>
      </c>
      <c r="AL59" s="6" t="s">
        <v>3476</v>
      </c>
      <c r="AM59" s="6" t="s">
        <v>668</v>
      </c>
      <c r="AN59" s="6" t="s">
        <v>669</v>
      </c>
      <c r="AO59" s="6" t="s">
        <v>670</v>
      </c>
      <c r="AP59" s="6" t="s">
        <v>659</v>
      </c>
      <c r="AQ59" s="21" t="s">
        <v>4425</v>
      </c>
      <c r="AR59" s="6" t="s">
        <v>671</v>
      </c>
      <c r="AS59" s="6" t="s">
        <v>672</v>
      </c>
      <c r="AT59" s="14">
        <v>2</v>
      </c>
      <c r="AU59" s="14">
        <v>2</v>
      </c>
      <c r="AV59" s="14">
        <v>2</v>
      </c>
      <c r="AW59" s="14">
        <v>1</v>
      </c>
      <c r="AX59" s="14">
        <v>2</v>
      </c>
      <c r="AY59" s="14">
        <v>2</v>
      </c>
      <c r="AZ59" s="14">
        <v>2</v>
      </c>
      <c r="BA59" s="2"/>
    </row>
    <row r="60" spans="1:53" ht="44" customHeight="1" x14ac:dyDescent="0.2">
      <c r="A60" s="6">
        <v>46206689</v>
      </c>
      <c r="B60" s="6"/>
      <c r="C60" s="7" t="s">
        <v>35</v>
      </c>
      <c r="D60" s="6" t="s">
        <v>673</v>
      </c>
      <c r="E60" s="6">
        <f t="shared" si="0"/>
        <v>161</v>
      </c>
      <c r="F60" s="6" t="s">
        <v>674</v>
      </c>
      <c r="G60" s="6">
        <f t="shared" si="1"/>
        <v>79</v>
      </c>
      <c r="H60" s="9">
        <f t="shared" si="2"/>
        <v>0.50931677018633537</v>
      </c>
      <c r="I60" s="6" t="s">
        <v>5157</v>
      </c>
      <c r="J60" s="6">
        <v>4</v>
      </c>
      <c r="K60" s="9">
        <f t="shared" si="3"/>
        <v>2.4844720496894408E-2</v>
      </c>
      <c r="L60" s="6">
        <v>10</v>
      </c>
      <c r="M60" s="6">
        <v>2</v>
      </c>
      <c r="N60" s="6">
        <v>1</v>
      </c>
      <c r="O60" s="6" t="str">
        <f t="shared" si="4"/>
        <v>Overtriaged</v>
      </c>
      <c r="P60" s="6"/>
      <c r="Q60" s="6">
        <v>1</v>
      </c>
      <c r="R60" s="6" t="str">
        <f t="shared" si="5"/>
        <v>Overtriaged</v>
      </c>
      <c r="S60" s="6" t="s">
        <v>3775</v>
      </c>
      <c r="T60" s="14">
        <v>1</v>
      </c>
      <c r="U60" s="6" t="str">
        <f t="shared" si="6"/>
        <v>Overtriaged</v>
      </c>
      <c r="V60" s="15">
        <v>1</v>
      </c>
      <c r="W60" s="15" t="str">
        <f t="shared" si="7"/>
        <v>Overtriaged</v>
      </c>
      <c r="X60" s="14">
        <v>1</v>
      </c>
      <c r="Y60" s="14" t="str">
        <f t="shared" si="8"/>
        <v>Overtriaged</v>
      </c>
      <c r="Z60" s="6">
        <v>59</v>
      </c>
      <c r="AA60" s="6" t="s">
        <v>675</v>
      </c>
      <c r="AB60" s="6" t="s">
        <v>676</v>
      </c>
      <c r="AC60" s="6">
        <v>1</v>
      </c>
      <c r="AD60" s="6" t="s">
        <v>40</v>
      </c>
      <c r="AE60" s="6" t="s">
        <v>677</v>
      </c>
      <c r="AF60" s="6" t="s">
        <v>678</v>
      </c>
      <c r="AG60" s="6" t="s">
        <v>679</v>
      </c>
      <c r="AH60" s="6" t="s">
        <v>44</v>
      </c>
      <c r="AI60" s="6" t="s">
        <v>4345</v>
      </c>
      <c r="AJ60" s="6" t="s">
        <v>680</v>
      </c>
      <c r="AK60" s="6" t="s">
        <v>681</v>
      </c>
      <c r="AL60" s="6" t="s">
        <v>3476</v>
      </c>
      <c r="AM60" s="6" t="s">
        <v>682</v>
      </c>
      <c r="AN60" s="6" t="s">
        <v>683</v>
      </c>
      <c r="AO60" s="6" t="s">
        <v>684</v>
      </c>
      <c r="AP60" s="6" t="s">
        <v>673</v>
      </c>
      <c r="AQ60" s="21" t="s">
        <v>4426</v>
      </c>
      <c r="AR60" s="6" t="s">
        <v>685</v>
      </c>
      <c r="AS60" s="6" t="s">
        <v>686</v>
      </c>
      <c r="AT60" s="14">
        <v>1</v>
      </c>
      <c r="AU60" s="14">
        <v>1</v>
      </c>
      <c r="AV60" s="14">
        <v>2</v>
      </c>
      <c r="AW60" s="14">
        <v>1</v>
      </c>
      <c r="AX60" s="14">
        <v>1</v>
      </c>
      <c r="AY60" s="14">
        <v>1</v>
      </c>
      <c r="AZ60" s="14">
        <v>1</v>
      </c>
      <c r="BA60" s="2"/>
    </row>
    <row r="61" spans="1:53" ht="44" customHeight="1" x14ac:dyDescent="0.2">
      <c r="A61" s="6">
        <v>46346295</v>
      </c>
      <c r="B61" s="6"/>
      <c r="C61" s="7" t="s">
        <v>35</v>
      </c>
      <c r="D61" s="6" t="s">
        <v>687</v>
      </c>
      <c r="E61" s="6">
        <f t="shared" si="0"/>
        <v>112</v>
      </c>
      <c r="F61" s="6" t="s">
        <v>688</v>
      </c>
      <c r="G61" s="6">
        <f t="shared" si="1"/>
        <v>43</v>
      </c>
      <c r="H61" s="9">
        <f t="shared" si="2"/>
        <v>0.6160714285714286</v>
      </c>
      <c r="I61" s="6" t="s">
        <v>5158</v>
      </c>
      <c r="J61" s="6">
        <v>4</v>
      </c>
      <c r="K61" s="9">
        <f t="shared" si="3"/>
        <v>3.5714285714285712E-2</v>
      </c>
      <c r="L61" s="6">
        <v>4</v>
      </c>
      <c r="M61" s="6">
        <v>2</v>
      </c>
      <c r="N61" s="6">
        <v>2</v>
      </c>
      <c r="O61" s="6" t="str">
        <f t="shared" si="4"/>
        <v>Correct</v>
      </c>
      <c r="P61" s="6"/>
      <c r="Q61" s="6">
        <v>2</v>
      </c>
      <c r="R61" s="6" t="str">
        <f t="shared" si="5"/>
        <v>Correct</v>
      </c>
      <c r="S61" s="6" t="s">
        <v>3578</v>
      </c>
      <c r="T61" s="14">
        <v>2</v>
      </c>
      <c r="U61" s="6" t="str">
        <f t="shared" si="6"/>
        <v>Correct</v>
      </c>
      <c r="V61" s="15">
        <v>1</v>
      </c>
      <c r="W61" s="15" t="str">
        <f t="shared" si="7"/>
        <v>Overtriaged</v>
      </c>
      <c r="X61" s="14">
        <v>2</v>
      </c>
      <c r="Y61" s="14" t="str">
        <f t="shared" si="8"/>
        <v>Correct</v>
      </c>
      <c r="Z61" s="6">
        <v>60</v>
      </c>
      <c r="AA61" s="6" t="s">
        <v>689</v>
      </c>
      <c r="AB61" s="6" t="s">
        <v>690</v>
      </c>
      <c r="AC61" s="6">
        <v>1</v>
      </c>
      <c r="AD61" s="6" t="s">
        <v>40</v>
      </c>
      <c r="AE61" s="6" t="s">
        <v>176</v>
      </c>
      <c r="AF61" s="6" t="s">
        <v>691</v>
      </c>
      <c r="AG61" s="6" t="s">
        <v>692</v>
      </c>
      <c r="AH61" s="6" t="s">
        <v>693</v>
      </c>
      <c r="AI61" s="6" t="s">
        <v>3385</v>
      </c>
      <c r="AJ61" s="6" t="s">
        <v>694</v>
      </c>
      <c r="AK61" s="6" t="s">
        <v>3903</v>
      </c>
      <c r="AL61" s="6" t="s">
        <v>3477</v>
      </c>
      <c r="AM61" s="6" t="s">
        <v>695</v>
      </c>
      <c r="AN61" s="6" t="s">
        <v>696</v>
      </c>
      <c r="AO61" s="6" t="s">
        <v>697</v>
      </c>
      <c r="AP61" s="6" t="s">
        <v>698</v>
      </c>
      <c r="AQ61" s="21" t="s">
        <v>4427</v>
      </c>
      <c r="AR61" s="6" t="s">
        <v>699</v>
      </c>
      <c r="AS61" s="6" t="s">
        <v>4643</v>
      </c>
      <c r="AT61" s="14">
        <v>2</v>
      </c>
      <c r="AU61" s="14">
        <v>2</v>
      </c>
      <c r="AV61" s="14">
        <v>2</v>
      </c>
      <c r="AW61" s="14">
        <v>2</v>
      </c>
      <c r="AX61" s="14">
        <v>2</v>
      </c>
      <c r="AY61" s="14">
        <v>2</v>
      </c>
      <c r="AZ61" s="14">
        <v>2</v>
      </c>
      <c r="BA61" s="2"/>
    </row>
    <row r="62" spans="1:53" ht="44" customHeight="1" x14ac:dyDescent="0.2">
      <c r="A62" s="6">
        <v>46353418</v>
      </c>
      <c r="B62" s="6"/>
      <c r="C62" s="7" t="s">
        <v>35</v>
      </c>
      <c r="D62" s="6" t="s">
        <v>700</v>
      </c>
      <c r="E62" s="6">
        <f t="shared" si="0"/>
        <v>75</v>
      </c>
      <c r="F62" s="6" t="s">
        <v>701</v>
      </c>
      <c r="G62" s="6">
        <f t="shared" si="1"/>
        <v>7</v>
      </c>
      <c r="H62" s="9">
        <f t="shared" si="2"/>
        <v>0.90666666666666662</v>
      </c>
      <c r="I62" s="6" t="s">
        <v>5159</v>
      </c>
      <c r="J62" s="6">
        <v>4</v>
      </c>
      <c r="K62" s="9">
        <f t="shared" si="3"/>
        <v>5.3333333333333337E-2</v>
      </c>
      <c r="L62" s="6">
        <v>12</v>
      </c>
      <c r="M62" s="6">
        <v>2</v>
      </c>
      <c r="N62" s="6">
        <v>1</v>
      </c>
      <c r="O62" s="6" t="str">
        <f t="shared" si="4"/>
        <v>Overtriaged</v>
      </c>
      <c r="P62" s="6"/>
      <c r="Q62" s="6">
        <v>2</v>
      </c>
      <c r="R62" s="6" t="str">
        <f t="shared" si="5"/>
        <v>Correct</v>
      </c>
      <c r="S62" s="6" t="s">
        <v>3776</v>
      </c>
      <c r="T62" s="14">
        <v>2</v>
      </c>
      <c r="U62" s="6" t="str">
        <f t="shared" si="6"/>
        <v>Correct</v>
      </c>
      <c r="V62" s="15">
        <v>2</v>
      </c>
      <c r="W62" s="15" t="str">
        <f t="shared" si="7"/>
        <v>Correct</v>
      </c>
      <c r="X62" s="14">
        <v>2</v>
      </c>
      <c r="Y62" s="14" t="str">
        <f t="shared" si="8"/>
        <v>Correct</v>
      </c>
      <c r="Z62" s="6">
        <v>61</v>
      </c>
      <c r="AA62" s="6" t="s">
        <v>702</v>
      </c>
      <c r="AB62" s="6" t="s">
        <v>703</v>
      </c>
      <c r="AC62" s="6">
        <v>1</v>
      </c>
      <c r="AD62" s="6" t="s">
        <v>40</v>
      </c>
      <c r="AE62" s="6" t="s">
        <v>468</v>
      </c>
      <c r="AF62" s="6" t="s">
        <v>44</v>
      </c>
      <c r="AG62" s="6" t="s">
        <v>44</v>
      </c>
      <c r="AH62" s="6" t="s">
        <v>44</v>
      </c>
      <c r="AI62" s="6" t="s">
        <v>44</v>
      </c>
      <c r="AJ62" s="6" t="s">
        <v>44</v>
      </c>
      <c r="AK62" s="6" t="s">
        <v>704</v>
      </c>
      <c r="AL62" s="6" t="s">
        <v>5100</v>
      </c>
      <c r="AM62" s="6" t="s">
        <v>705</v>
      </c>
      <c r="AN62" s="6" t="s">
        <v>700</v>
      </c>
      <c r="AO62" s="6" t="s">
        <v>700</v>
      </c>
      <c r="AP62" s="6" t="s">
        <v>700</v>
      </c>
      <c r="AQ62" s="21" t="s">
        <v>700</v>
      </c>
      <c r="AR62" s="6" t="s">
        <v>700</v>
      </c>
      <c r="AS62" s="6" t="s">
        <v>706</v>
      </c>
      <c r="AT62" s="14">
        <v>2</v>
      </c>
      <c r="AU62" s="14">
        <v>2</v>
      </c>
      <c r="AV62" s="14">
        <v>2</v>
      </c>
      <c r="AW62" s="14">
        <v>1</v>
      </c>
      <c r="AX62" s="14">
        <v>2</v>
      </c>
      <c r="AY62" s="14">
        <v>2</v>
      </c>
      <c r="AZ62" s="14">
        <v>2</v>
      </c>
      <c r="BA62" s="2"/>
    </row>
    <row r="63" spans="1:53" ht="44" customHeight="1" x14ac:dyDescent="0.2">
      <c r="A63" s="6">
        <v>46360089</v>
      </c>
      <c r="B63" s="6"/>
      <c r="C63" s="7" t="s">
        <v>35</v>
      </c>
      <c r="D63" s="6" t="s">
        <v>707</v>
      </c>
      <c r="E63" s="6">
        <f t="shared" si="0"/>
        <v>59</v>
      </c>
      <c r="F63" s="6"/>
      <c r="G63" s="6">
        <f t="shared" si="1"/>
        <v>0</v>
      </c>
      <c r="H63" s="9">
        <f t="shared" si="2"/>
        <v>1</v>
      </c>
      <c r="I63" s="6"/>
      <c r="J63" s="6">
        <v>0</v>
      </c>
      <c r="K63" s="9">
        <f t="shared" si="3"/>
        <v>0</v>
      </c>
      <c r="L63" s="6">
        <v>5</v>
      </c>
      <c r="M63" s="6">
        <v>2</v>
      </c>
      <c r="N63" s="6">
        <v>1</v>
      </c>
      <c r="O63" s="6" t="str">
        <f t="shared" si="4"/>
        <v>Overtriaged</v>
      </c>
      <c r="P63" s="6"/>
      <c r="Q63" s="6">
        <v>1</v>
      </c>
      <c r="R63" s="6" t="str">
        <f t="shared" si="5"/>
        <v>Overtriaged</v>
      </c>
      <c r="S63" s="6" t="s">
        <v>3777</v>
      </c>
      <c r="T63" s="14"/>
      <c r="U63" s="6" t="str">
        <f t="shared" si="6"/>
        <v>Undertriaged</v>
      </c>
      <c r="V63" s="15">
        <v>1</v>
      </c>
      <c r="W63" s="15" t="str">
        <f t="shared" si="7"/>
        <v>Overtriaged</v>
      </c>
      <c r="X63" s="14">
        <v>1</v>
      </c>
      <c r="Y63" s="14" t="str">
        <f t="shared" si="8"/>
        <v>Overtriaged</v>
      </c>
      <c r="Z63" s="6">
        <v>62</v>
      </c>
      <c r="AA63" s="6" t="s">
        <v>526</v>
      </c>
      <c r="AB63" s="6" t="s">
        <v>708</v>
      </c>
      <c r="AC63" s="6">
        <v>1</v>
      </c>
      <c r="AD63" s="6" t="s">
        <v>40</v>
      </c>
      <c r="AE63" s="6" t="s">
        <v>709</v>
      </c>
      <c r="AF63" s="6" t="s">
        <v>44</v>
      </c>
      <c r="AG63" s="6" t="s">
        <v>44</v>
      </c>
      <c r="AH63" s="6" t="s">
        <v>44</v>
      </c>
      <c r="AI63" s="6" t="s">
        <v>44</v>
      </c>
      <c r="AJ63" s="6" t="s">
        <v>44</v>
      </c>
      <c r="AK63" s="6" t="s">
        <v>710</v>
      </c>
      <c r="AL63" s="6" t="s">
        <v>5100</v>
      </c>
      <c r="AM63" s="6" t="s">
        <v>711</v>
      </c>
      <c r="AN63" s="6" t="s">
        <v>707</v>
      </c>
      <c r="AO63" s="6" t="s">
        <v>707</v>
      </c>
      <c r="AP63" s="6" t="s">
        <v>707</v>
      </c>
      <c r="AQ63" s="21" t="s">
        <v>707</v>
      </c>
      <c r="AR63" s="6" t="s">
        <v>707</v>
      </c>
      <c r="AS63" s="6" t="s">
        <v>712</v>
      </c>
      <c r="AT63" s="14">
        <v>1</v>
      </c>
      <c r="AU63" s="14">
        <v>1</v>
      </c>
      <c r="AV63" s="14">
        <v>1</v>
      </c>
      <c r="AW63" s="14">
        <v>1</v>
      </c>
      <c r="AX63" s="14">
        <v>1</v>
      </c>
      <c r="AY63" s="14">
        <v>1</v>
      </c>
      <c r="AZ63" s="14">
        <v>1</v>
      </c>
      <c r="BA63" s="2"/>
    </row>
    <row r="64" spans="1:53" ht="44" customHeight="1" x14ac:dyDescent="0.2">
      <c r="A64" s="6">
        <v>46360406</v>
      </c>
      <c r="B64" s="6"/>
      <c r="C64" s="7" t="s">
        <v>35</v>
      </c>
      <c r="D64" s="6" t="s">
        <v>713</v>
      </c>
      <c r="E64" s="6">
        <f t="shared" si="0"/>
        <v>54</v>
      </c>
      <c r="F64" s="6" t="s">
        <v>714</v>
      </c>
      <c r="G64" s="6">
        <f t="shared" si="1"/>
        <v>30</v>
      </c>
      <c r="H64" s="9">
        <f t="shared" si="2"/>
        <v>0.44444444444444442</v>
      </c>
      <c r="I64" s="6" t="s">
        <v>5160</v>
      </c>
      <c r="J64" s="6">
        <v>2</v>
      </c>
      <c r="K64" s="9">
        <f t="shared" si="3"/>
        <v>3.7037037037037035E-2</v>
      </c>
      <c r="L64" s="6">
        <v>1</v>
      </c>
      <c r="M64" s="6">
        <v>2</v>
      </c>
      <c r="N64" s="6">
        <v>1</v>
      </c>
      <c r="O64" s="6" t="str">
        <f t="shared" si="4"/>
        <v>Overtriaged</v>
      </c>
      <c r="P64" s="6"/>
      <c r="Q64" s="6">
        <v>2</v>
      </c>
      <c r="R64" s="6" t="str">
        <f t="shared" si="5"/>
        <v>Correct</v>
      </c>
      <c r="S64" s="6" t="s">
        <v>3579</v>
      </c>
      <c r="T64" s="14">
        <v>2</v>
      </c>
      <c r="U64" s="6" t="str">
        <f t="shared" si="6"/>
        <v>Correct</v>
      </c>
      <c r="V64" s="15">
        <v>2</v>
      </c>
      <c r="W64" s="15" t="str">
        <f t="shared" si="7"/>
        <v>Correct</v>
      </c>
      <c r="X64" s="14">
        <v>2</v>
      </c>
      <c r="Y64" s="14" t="str">
        <f t="shared" si="8"/>
        <v>Correct</v>
      </c>
      <c r="Z64" s="6">
        <v>63</v>
      </c>
      <c r="AA64" s="6" t="s">
        <v>715</v>
      </c>
      <c r="AB64" s="6" t="s">
        <v>716</v>
      </c>
      <c r="AC64" s="6">
        <v>1</v>
      </c>
      <c r="AD64" s="6" t="s">
        <v>40</v>
      </c>
      <c r="AE64" s="6" t="s">
        <v>717</v>
      </c>
      <c r="AF64" s="6" t="s">
        <v>718</v>
      </c>
      <c r="AG64" s="6" t="s">
        <v>719</v>
      </c>
      <c r="AH64" s="6" t="s">
        <v>44</v>
      </c>
      <c r="AI64" s="6" t="s">
        <v>44</v>
      </c>
      <c r="AJ64" s="6" t="s">
        <v>44</v>
      </c>
      <c r="AK64" s="6" t="s">
        <v>720</v>
      </c>
      <c r="AL64" s="6" t="s">
        <v>5099</v>
      </c>
      <c r="AM64" s="6" t="s">
        <v>721</v>
      </c>
      <c r="AN64" s="6" t="s">
        <v>722</v>
      </c>
      <c r="AO64" s="6" t="s">
        <v>723</v>
      </c>
      <c r="AP64" s="6" t="s">
        <v>713</v>
      </c>
      <c r="AQ64" s="21" t="s">
        <v>713</v>
      </c>
      <c r="AR64" s="6" t="s">
        <v>713</v>
      </c>
      <c r="AS64" s="6" t="s">
        <v>724</v>
      </c>
      <c r="AT64" s="14">
        <v>2</v>
      </c>
      <c r="AU64" s="14">
        <v>2</v>
      </c>
      <c r="AV64" s="14">
        <v>2</v>
      </c>
      <c r="AW64" s="14">
        <v>2</v>
      </c>
      <c r="AX64" s="14">
        <v>2</v>
      </c>
      <c r="AY64" s="14">
        <v>2</v>
      </c>
      <c r="AZ64" s="14">
        <v>2</v>
      </c>
      <c r="BA64" s="2"/>
    </row>
    <row r="65" spans="1:53" ht="44" customHeight="1" x14ac:dyDescent="0.2">
      <c r="A65" s="6">
        <v>46508952</v>
      </c>
      <c r="B65" s="6"/>
      <c r="C65" s="7" t="s">
        <v>35</v>
      </c>
      <c r="D65" s="6" t="s">
        <v>725</v>
      </c>
      <c r="E65" s="6">
        <f t="shared" si="0"/>
        <v>95</v>
      </c>
      <c r="F65" s="6" t="s">
        <v>726</v>
      </c>
      <c r="G65" s="6">
        <f t="shared" si="1"/>
        <v>29</v>
      </c>
      <c r="H65" s="9">
        <f t="shared" si="2"/>
        <v>0.69473684210526321</v>
      </c>
      <c r="I65" s="6"/>
      <c r="J65" s="6">
        <v>0</v>
      </c>
      <c r="K65" s="9">
        <f t="shared" si="3"/>
        <v>0</v>
      </c>
      <c r="L65" s="6">
        <v>34</v>
      </c>
      <c r="M65" s="6">
        <v>1</v>
      </c>
      <c r="N65" s="6">
        <v>1</v>
      </c>
      <c r="O65" s="6" t="str">
        <f t="shared" si="4"/>
        <v>Correct</v>
      </c>
      <c r="P65" s="6"/>
      <c r="Q65" s="6">
        <v>1</v>
      </c>
      <c r="R65" s="6" t="str">
        <f t="shared" si="5"/>
        <v>Correct</v>
      </c>
      <c r="S65" s="6" t="s">
        <v>3580</v>
      </c>
      <c r="T65" s="14">
        <v>1</v>
      </c>
      <c r="U65" s="6" t="str">
        <f t="shared" si="6"/>
        <v>Correct</v>
      </c>
      <c r="V65" s="15">
        <v>1</v>
      </c>
      <c r="W65" s="15" t="str">
        <f t="shared" si="7"/>
        <v>Correct</v>
      </c>
      <c r="X65" s="14">
        <v>1</v>
      </c>
      <c r="Y65" s="14" t="str">
        <f t="shared" si="8"/>
        <v>Correct</v>
      </c>
      <c r="Z65" s="6">
        <v>64</v>
      </c>
      <c r="AA65" s="6" t="s">
        <v>239</v>
      </c>
      <c r="AB65" s="6" t="s">
        <v>727</v>
      </c>
      <c r="AC65" s="6">
        <v>1</v>
      </c>
      <c r="AD65" s="6" t="s">
        <v>40</v>
      </c>
      <c r="AE65" s="6" t="s">
        <v>728</v>
      </c>
      <c r="AF65" s="6" t="s">
        <v>44</v>
      </c>
      <c r="AG65" s="6" t="s">
        <v>44</v>
      </c>
      <c r="AH65" s="6" t="s">
        <v>44</v>
      </c>
      <c r="AI65" s="6" t="s">
        <v>44</v>
      </c>
      <c r="AJ65" s="6" t="s">
        <v>44</v>
      </c>
      <c r="AK65" s="6" t="s">
        <v>729</v>
      </c>
      <c r="AL65" s="6" t="s">
        <v>5100</v>
      </c>
      <c r="AM65" s="6" t="s">
        <v>730</v>
      </c>
      <c r="AN65" s="6" t="s">
        <v>725</v>
      </c>
      <c r="AO65" s="6" t="s">
        <v>725</v>
      </c>
      <c r="AP65" s="6" t="s">
        <v>725</v>
      </c>
      <c r="AQ65" s="21" t="s">
        <v>725</v>
      </c>
      <c r="AR65" s="6" t="s">
        <v>725</v>
      </c>
      <c r="AS65" s="6" t="s">
        <v>4644</v>
      </c>
      <c r="AT65" s="14">
        <v>1</v>
      </c>
      <c r="AU65" s="14">
        <v>1</v>
      </c>
      <c r="AV65" s="14">
        <v>1</v>
      </c>
      <c r="AW65" s="14">
        <v>1</v>
      </c>
      <c r="AX65" s="14">
        <v>1</v>
      </c>
      <c r="AY65" s="14">
        <v>1</v>
      </c>
      <c r="AZ65" s="14">
        <v>1</v>
      </c>
      <c r="BA65" s="2"/>
    </row>
    <row r="66" spans="1:53" ht="44" customHeight="1" x14ac:dyDescent="0.2">
      <c r="A66" s="6">
        <v>46610765</v>
      </c>
      <c r="B66" s="6"/>
      <c r="C66" s="7" t="s">
        <v>35</v>
      </c>
      <c r="D66" s="6" t="s">
        <v>731</v>
      </c>
      <c r="E66" s="6">
        <f t="shared" ref="E66:E129" si="9">IF(LEN(TRIM(D66))=0, 0, LEN(TRIM(D66)) - LEN(SUBSTITUTE(D66, " ", "")) + 1)</f>
        <v>256</v>
      </c>
      <c r="F66" s="6" t="s">
        <v>732</v>
      </c>
      <c r="G66" s="6">
        <f t="shared" ref="G66:G129" si="10">IF(LEN(TRIM(F66))=0, 0, LEN(TRIM(F66)) - LEN(SUBSTITUTE(F66, " ", "")) + 1)</f>
        <v>45</v>
      </c>
      <c r="H66" s="9">
        <f t="shared" ref="H66:H129" si="11">((E66-G66)/E66)</f>
        <v>0.82421875</v>
      </c>
      <c r="I66" s="6" t="s">
        <v>5161</v>
      </c>
      <c r="J66" s="6">
        <v>6</v>
      </c>
      <c r="K66" s="9">
        <f t="shared" ref="K66:K129" si="12">J66/E66</f>
        <v>2.34375E-2</v>
      </c>
      <c r="L66" s="6">
        <v>1</v>
      </c>
      <c r="M66" s="6">
        <v>2</v>
      </c>
      <c r="N66" s="6">
        <v>2</v>
      </c>
      <c r="O66" s="6" t="str">
        <f t="shared" ref="O66:O129" si="13">IF(N66=M66, "Correct", IF(N66=1, "Overtriaged", "Undertriaged"))</f>
        <v>Correct</v>
      </c>
      <c r="P66" s="6"/>
      <c r="Q66" s="6">
        <v>2</v>
      </c>
      <c r="R66" s="6" t="str">
        <f t="shared" ref="R66:R129" si="14">IF(Q66=M66, "Correct", IF(Q66=1, "Overtriaged", "Undertriaged"))</f>
        <v>Correct</v>
      </c>
      <c r="S66" s="6" t="s">
        <v>3581</v>
      </c>
      <c r="T66" s="14">
        <v>2</v>
      </c>
      <c r="U66" s="6" t="str">
        <f t="shared" ref="U66:U129" si="15">IF(T66=M66, "Correct", IF(T66=1, "Overtriaged", "Undertriaged"))</f>
        <v>Correct</v>
      </c>
      <c r="V66" s="15">
        <v>1</v>
      </c>
      <c r="W66" s="15" t="str">
        <f t="shared" ref="W66:W129" si="16">IF(V66=M66, "Correct", IF(V66=1, "Overtriaged", "Undertriaged"))</f>
        <v>Overtriaged</v>
      </c>
      <c r="X66" s="14">
        <v>2</v>
      </c>
      <c r="Y66" s="14" t="str">
        <f t="shared" si="8"/>
        <v>Correct</v>
      </c>
      <c r="Z66" s="6">
        <v>65</v>
      </c>
      <c r="AA66" s="6" t="s">
        <v>733</v>
      </c>
      <c r="AB66" s="6" t="s">
        <v>734</v>
      </c>
      <c r="AC66" s="6">
        <v>1</v>
      </c>
      <c r="AD66" s="6" t="s">
        <v>40</v>
      </c>
      <c r="AE66" s="6" t="s">
        <v>265</v>
      </c>
      <c r="AF66" s="6" t="s">
        <v>42</v>
      </c>
      <c r="AG66" s="6" t="s">
        <v>735</v>
      </c>
      <c r="AH66" s="6" t="s">
        <v>44</v>
      </c>
      <c r="AI66" s="6" t="s">
        <v>4346</v>
      </c>
      <c r="AJ66" s="6" t="s">
        <v>736</v>
      </c>
      <c r="AK66" s="6" t="s">
        <v>3904</v>
      </c>
      <c r="AL66" s="6" t="s">
        <v>3476</v>
      </c>
      <c r="AM66" s="6" t="s">
        <v>737</v>
      </c>
      <c r="AN66" s="6" t="s">
        <v>738</v>
      </c>
      <c r="AO66" s="6" t="s">
        <v>739</v>
      </c>
      <c r="AP66" s="6" t="s">
        <v>731</v>
      </c>
      <c r="AQ66" s="21" t="s">
        <v>4428</v>
      </c>
      <c r="AR66" s="6" t="s">
        <v>740</v>
      </c>
      <c r="AS66" s="6" t="s">
        <v>4645</v>
      </c>
      <c r="AT66" s="14">
        <v>2</v>
      </c>
      <c r="AU66" s="14">
        <v>2</v>
      </c>
      <c r="AV66" s="14">
        <v>2</v>
      </c>
      <c r="AW66" s="14">
        <v>2</v>
      </c>
      <c r="AX66" s="14">
        <v>2</v>
      </c>
      <c r="AY66" s="14">
        <v>2</v>
      </c>
      <c r="AZ66" s="14">
        <v>2</v>
      </c>
      <c r="BA66" s="2"/>
    </row>
    <row r="67" spans="1:53" ht="44" customHeight="1" x14ac:dyDescent="0.2">
      <c r="A67" s="6">
        <v>46648930</v>
      </c>
      <c r="B67" s="6"/>
      <c r="C67" s="7" t="s">
        <v>35</v>
      </c>
      <c r="D67" s="6" t="s">
        <v>741</v>
      </c>
      <c r="E67" s="6">
        <f t="shared" si="9"/>
        <v>190</v>
      </c>
      <c r="F67" s="6" t="s">
        <v>742</v>
      </c>
      <c r="G67" s="6">
        <f t="shared" si="10"/>
        <v>39</v>
      </c>
      <c r="H67" s="9">
        <f t="shared" si="11"/>
        <v>0.79473684210526319</v>
      </c>
      <c r="I67" s="6" t="s">
        <v>5162</v>
      </c>
      <c r="J67" s="6">
        <v>2</v>
      </c>
      <c r="K67" s="9">
        <f t="shared" si="12"/>
        <v>1.0526315789473684E-2</v>
      </c>
      <c r="L67" s="6">
        <v>1</v>
      </c>
      <c r="M67" s="6">
        <v>2</v>
      </c>
      <c r="N67" s="6">
        <v>1</v>
      </c>
      <c r="O67" s="6" t="str">
        <f t="shared" si="13"/>
        <v>Overtriaged</v>
      </c>
      <c r="P67" s="6"/>
      <c r="Q67" s="6">
        <v>2</v>
      </c>
      <c r="R67" s="6" t="str">
        <f t="shared" si="14"/>
        <v>Correct</v>
      </c>
      <c r="S67" s="6" t="s">
        <v>3582</v>
      </c>
      <c r="T67" s="14">
        <v>2</v>
      </c>
      <c r="U67" s="6" t="str">
        <f t="shared" si="15"/>
        <v>Correct</v>
      </c>
      <c r="V67" s="15">
        <v>2</v>
      </c>
      <c r="W67" s="15" t="str">
        <f t="shared" si="16"/>
        <v>Correct</v>
      </c>
      <c r="X67" s="14">
        <v>2</v>
      </c>
      <c r="Y67" s="14" t="str">
        <f t="shared" ref="Y67:Y130" si="17">IF(X67=M67, "Correct", IF(X67=1, "Overtriaged", "Undertriaged"))</f>
        <v>Correct</v>
      </c>
      <c r="Z67" s="6">
        <v>66</v>
      </c>
      <c r="AA67" s="6" t="s">
        <v>743</v>
      </c>
      <c r="AB67" s="6" t="s">
        <v>744</v>
      </c>
      <c r="AC67" s="6">
        <v>1</v>
      </c>
      <c r="AD67" s="6" t="s">
        <v>40</v>
      </c>
      <c r="AE67" s="6" t="s">
        <v>745</v>
      </c>
      <c r="AF67" s="6" t="s">
        <v>746</v>
      </c>
      <c r="AG67" s="6" t="s">
        <v>747</v>
      </c>
      <c r="AH67" s="6" t="s">
        <v>44</v>
      </c>
      <c r="AI67" s="6" t="s">
        <v>3386</v>
      </c>
      <c r="AJ67" s="6" t="s">
        <v>748</v>
      </c>
      <c r="AK67" s="6" t="s">
        <v>749</v>
      </c>
      <c r="AL67" s="6" t="s">
        <v>3476</v>
      </c>
      <c r="AM67" s="6" t="s">
        <v>750</v>
      </c>
      <c r="AN67" s="6" t="s">
        <v>751</v>
      </c>
      <c r="AO67" s="6" t="s">
        <v>752</v>
      </c>
      <c r="AP67" s="6" t="s">
        <v>741</v>
      </c>
      <c r="AQ67" s="21" t="s">
        <v>4429</v>
      </c>
      <c r="AR67" s="6" t="s">
        <v>753</v>
      </c>
      <c r="AS67" s="6" t="s">
        <v>754</v>
      </c>
      <c r="AT67" s="14">
        <v>2</v>
      </c>
      <c r="AU67" s="14">
        <v>2</v>
      </c>
      <c r="AV67" s="14">
        <v>2</v>
      </c>
      <c r="AW67" s="14">
        <v>2</v>
      </c>
      <c r="AX67" s="14">
        <v>2</v>
      </c>
      <c r="AY67" s="14">
        <v>2</v>
      </c>
      <c r="AZ67" s="14">
        <v>2</v>
      </c>
      <c r="BA67" s="2"/>
    </row>
    <row r="68" spans="1:53" ht="44" customHeight="1" x14ac:dyDescent="0.2">
      <c r="A68" s="6">
        <v>46648708</v>
      </c>
      <c r="B68" s="6"/>
      <c r="C68" s="7" t="s">
        <v>35</v>
      </c>
      <c r="D68" s="6" t="s">
        <v>755</v>
      </c>
      <c r="E68" s="6">
        <f t="shared" si="9"/>
        <v>116</v>
      </c>
      <c r="F68" s="6" t="s">
        <v>756</v>
      </c>
      <c r="G68" s="6">
        <f t="shared" si="10"/>
        <v>22</v>
      </c>
      <c r="H68" s="9">
        <f t="shared" si="11"/>
        <v>0.81034482758620685</v>
      </c>
      <c r="I68" s="6" t="s">
        <v>5163</v>
      </c>
      <c r="J68" s="6">
        <v>4</v>
      </c>
      <c r="K68" s="9">
        <f t="shared" si="12"/>
        <v>3.4482758620689655E-2</v>
      </c>
      <c r="L68" s="6">
        <v>6</v>
      </c>
      <c r="M68" s="6">
        <v>2</v>
      </c>
      <c r="N68" s="6">
        <v>1</v>
      </c>
      <c r="O68" s="6" t="str">
        <f t="shared" si="13"/>
        <v>Overtriaged</v>
      </c>
      <c r="P68" s="6"/>
      <c r="Q68" s="6">
        <v>1</v>
      </c>
      <c r="R68" s="6" t="str">
        <f t="shared" si="14"/>
        <v>Overtriaged</v>
      </c>
      <c r="S68" s="6" t="s">
        <v>3778</v>
      </c>
      <c r="T68" s="14">
        <v>2</v>
      </c>
      <c r="U68" s="6" t="str">
        <f t="shared" si="15"/>
        <v>Correct</v>
      </c>
      <c r="V68" s="15">
        <v>2</v>
      </c>
      <c r="W68" s="15" t="str">
        <f t="shared" si="16"/>
        <v>Correct</v>
      </c>
      <c r="X68" s="14">
        <v>2</v>
      </c>
      <c r="Y68" s="14" t="str">
        <f t="shared" si="17"/>
        <v>Correct</v>
      </c>
      <c r="Z68" s="6">
        <v>67</v>
      </c>
      <c r="AA68" s="6" t="s">
        <v>757</v>
      </c>
      <c r="AB68" s="6" t="s">
        <v>758</v>
      </c>
      <c r="AC68" s="6">
        <v>1</v>
      </c>
      <c r="AD68" s="6" t="s">
        <v>40</v>
      </c>
      <c r="AE68" s="6" t="s">
        <v>759</v>
      </c>
      <c r="AF68" s="6" t="s">
        <v>760</v>
      </c>
      <c r="AG68" s="6" t="s">
        <v>761</v>
      </c>
      <c r="AH68" s="6" t="s">
        <v>762</v>
      </c>
      <c r="AI68" s="6" t="s">
        <v>3358</v>
      </c>
      <c r="AJ68" s="6" t="s">
        <v>763</v>
      </c>
      <c r="AK68" s="6" t="s">
        <v>3905</v>
      </c>
      <c r="AL68" s="6" t="s">
        <v>3477</v>
      </c>
      <c r="AM68" s="6" t="s">
        <v>4646</v>
      </c>
      <c r="AN68" s="6" t="s">
        <v>764</v>
      </c>
      <c r="AO68" s="6" t="s">
        <v>765</v>
      </c>
      <c r="AP68" s="6" t="s">
        <v>766</v>
      </c>
      <c r="AQ68" s="21" t="s">
        <v>4430</v>
      </c>
      <c r="AR68" s="6" t="s">
        <v>767</v>
      </c>
      <c r="AS68" s="6" t="s">
        <v>4647</v>
      </c>
      <c r="AT68" s="14">
        <v>2</v>
      </c>
      <c r="AU68" s="14">
        <v>1</v>
      </c>
      <c r="AV68" s="14">
        <v>2</v>
      </c>
      <c r="AW68" s="14">
        <v>2</v>
      </c>
      <c r="AX68" s="14">
        <v>2</v>
      </c>
      <c r="AY68" s="14">
        <v>2</v>
      </c>
      <c r="AZ68" s="14">
        <v>2</v>
      </c>
      <c r="BA68" s="2"/>
    </row>
    <row r="69" spans="1:53" ht="44" customHeight="1" x14ac:dyDescent="0.2">
      <c r="A69" s="6">
        <v>46707828</v>
      </c>
      <c r="B69" s="6"/>
      <c r="C69" s="7" t="s">
        <v>35</v>
      </c>
      <c r="D69" s="6" t="s">
        <v>768</v>
      </c>
      <c r="E69" s="6">
        <f t="shared" si="9"/>
        <v>203</v>
      </c>
      <c r="F69" s="6" t="s">
        <v>769</v>
      </c>
      <c r="G69" s="6">
        <f t="shared" si="10"/>
        <v>71</v>
      </c>
      <c r="H69" s="9">
        <f t="shared" si="11"/>
        <v>0.65024630541871919</v>
      </c>
      <c r="I69" s="6" t="s">
        <v>5164</v>
      </c>
      <c r="J69" s="6">
        <v>3</v>
      </c>
      <c r="K69" s="9">
        <f t="shared" si="12"/>
        <v>1.4778325123152709E-2</v>
      </c>
      <c r="L69" s="6">
        <v>1</v>
      </c>
      <c r="M69" s="6">
        <v>2</v>
      </c>
      <c r="N69" s="6">
        <v>2</v>
      </c>
      <c r="O69" s="6" t="str">
        <f t="shared" si="13"/>
        <v>Correct</v>
      </c>
      <c r="P69" s="6"/>
      <c r="Q69" s="6">
        <v>2</v>
      </c>
      <c r="R69" s="6" t="str">
        <f t="shared" si="14"/>
        <v>Correct</v>
      </c>
      <c r="S69" s="6" t="s">
        <v>3583</v>
      </c>
      <c r="T69" s="14">
        <v>2</v>
      </c>
      <c r="U69" s="6" t="str">
        <f t="shared" si="15"/>
        <v>Correct</v>
      </c>
      <c r="V69" s="15">
        <v>2</v>
      </c>
      <c r="W69" s="15" t="str">
        <f t="shared" si="16"/>
        <v>Correct</v>
      </c>
      <c r="X69" s="14">
        <v>2</v>
      </c>
      <c r="Y69" s="14" t="str">
        <f t="shared" si="17"/>
        <v>Correct</v>
      </c>
      <c r="Z69" s="6">
        <v>68</v>
      </c>
      <c r="AA69" s="6" t="s">
        <v>770</v>
      </c>
      <c r="AB69" s="6" t="s">
        <v>771</v>
      </c>
      <c r="AC69" s="6">
        <v>1</v>
      </c>
      <c r="AD69" s="6" t="s">
        <v>40</v>
      </c>
      <c r="AE69" s="6" t="s">
        <v>265</v>
      </c>
      <c r="AF69" s="6" t="s">
        <v>772</v>
      </c>
      <c r="AG69" s="6" t="s">
        <v>773</v>
      </c>
      <c r="AH69" s="6" t="s">
        <v>774</v>
      </c>
      <c r="AI69" s="6" t="s">
        <v>4347</v>
      </c>
      <c r="AJ69" s="6" t="s">
        <v>3906</v>
      </c>
      <c r="AK69" s="6" t="s">
        <v>3907</v>
      </c>
      <c r="AL69" s="6" t="s">
        <v>3477</v>
      </c>
      <c r="AM69" s="6" t="s">
        <v>775</v>
      </c>
      <c r="AN69" s="6" t="s">
        <v>776</v>
      </c>
      <c r="AO69" s="6" t="s">
        <v>777</v>
      </c>
      <c r="AP69" s="6" t="s">
        <v>778</v>
      </c>
      <c r="AQ69" s="21" t="s">
        <v>4431</v>
      </c>
      <c r="AR69" s="6" t="s">
        <v>4648</v>
      </c>
      <c r="AS69" s="6" t="s">
        <v>4649</v>
      </c>
      <c r="AT69" s="14">
        <v>2</v>
      </c>
      <c r="AU69" s="14">
        <v>2</v>
      </c>
      <c r="AV69" s="14">
        <v>2</v>
      </c>
      <c r="AW69" s="14">
        <v>2</v>
      </c>
      <c r="AX69" s="14">
        <v>2</v>
      </c>
      <c r="AY69" s="14">
        <v>2</v>
      </c>
      <c r="AZ69" s="14">
        <v>2</v>
      </c>
      <c r="BA69" s="2"/>
    </row>
    <row r="70" spans="1:53" ht="44" customHeight="1" x14ac:dyDescent="0.2">
      <c r="A70" s="6">
        <v>46799030</v>
      </c>
      <c r="B70" s="6"/>
      <c r="C70" s="7" t="s">
        <v>35</v>
      </c>
      <c r="D70" s="6" t="s">
        <v>779</v>
      </c>
      <c r="E70" s="6">
        <f t="shared" si="9"/>
        <v>183</v>
      </c>
      <c r="F70" s="6" t="s">
        <v>780</v>
      </c>
      <c r="G70" s="6">
        <f t="shared" si="10"/>
        <v>38</v>
      </c>
      <c r="H70" s="9">
        <f t="shared" si="11"/>
        <v>0.79234972677595628</v>
      </c>
      <c r="I70" s="6" t="s">
        <v>5165</v>
      </c>
      <c r="J70" s="6">
        <v>5</v>
      </c>
      <c r="K70" s="9">
        <f t="shared" si="12"/>
        <v>2.7322404371584699E-2</v>
      </c>
      <c r="L70" s="6">
        <v>8</v>
      </c>
      <c r="M70" s="6">
        <v>2</v>
      </c>
      <c r="N70" s="6">
        <v>2</v>
      </c>
      <c r="O70" s="6" t="str">
        <f t="shared" si="13"/>
        <v>Correct</v>
      </c>
      <c r="P70" s="6"/>
      <c r="Q70" s="6">
        <v>2</v>
      </c>
      <c r="R70" s="6" t="str">
        <f t="shared" si="14"/>
        <v>Correct</v>
      </c>
      <c r="S70" s="6" t="s">
        <v>3584</v>
      </c>
      <c r="T70" s="14">
        <v>2</v>
      </c>
      <c r="U70" s="6" t="str">
        <f t="shared" si="15"/>
        <v>Correct</v>
      </c>
      <c r="V70" s="15">
        <v>2</v>
      </c>
      <c r="W70" s="15" t="str">
        <f t="shared" si="16"/>
        <v>Correct</v>
      </c>
      <c r="X70" s="14">
        <v>2</v>
      </c>
      <c r="Y70" s="14" t="str">
        <f t="shared" si="17"/>
        <v>Correct</v>
      </c>
      <c r="Z70" s="6">
        <v>69</v>
      </c>
      <c r="AA70" s="6" t="s">
        <v>781</v>
      </c>
      <c r="AB70" s="6" t="s">
        <v>782</v>
      </c>
      <c r="AC70" s="6">
        <v>1</v>
      </c>
      <c r="AD70" s="6" t="s">
        <v>40</v>
      </c>
      <c r="AE70" s="6" t="s">
        <v>783</v>
      </c>
      <c r="AF70" s="6" t="s">
        <v>784</v>
      </c>
      <c r="AG70" s="6" t="s">
        <v>785</v>
      </c>
      <c r="AH70" s="6" t="s">
        <v>44</v>
      </c>
      <c r="AI70" s="6" t="s">
        <v>3908</v>
      </c>
      <c r="AJ70" s="6" t="s">
        <v>3908</v>
      </c>
      <c r="AK70" s="6" t="s">
        <v>3909</v>
      </c>
      <c r="AL70" s="6" t="s">
        <v>3476</v>
      </c>
      <c r="AM70" s="6" t="s">
        <v>786</v>
      </c>
      <c r="AN70" s="6" t="s">
        <v>787</v>
      </c>
      <c r="AO70" s="6" t="s">
        <v>788</v>
      </c>
      <c r="AP70" s="6" t="s">
        <v>779</v>
      </c>
      <c r="AQ70" s="21" t="s">
        <v>4432</v>
      </c>
      <c r="AR70" s="6" t="s">
        <v>4432</v>
      </c>
      <c r="AS70" s="6" t="s">
        <v>4650</v>
      </c>
      <c r="AT70" s="14">
        <v>2</v>
      </c>
      <c r="AU70" s="14">
        <v>2</v>
      </c>
      <c r="AV70" s="14">
        <v>2</v>
      </c>
      <c r="AW70" s="14">
        <v>2</v>
      </c>
      <c r="AX70" s="14">
        <v>2</v>
      </c>
      <c r="AY70" s="14">
        <v>2</v>
      </c>
      <c r="AZ70" s="14">
        <v>2</v>
      </c>
      <c r="BA70" s="2"/>
    </row>
    <row r="71" spans="1:53" ht="44" customHeight="1" x14ac:dyDescent="0.2">
      <c r="A71" s="6">
        <v>46931046</v>
      </c>
      <c r="B71" s="6"/>
      <c r="C71" s="7" t="s">
        <v>35</v>
      </c>
      <c r="D71" s="6" t="s">
        <v>789</v>
      </c>
      <c r="E71" s="6">
        <f t="shared" si="9"/>
        <v>280</v>
      </c>
      <c r="F71" s="6" t="s">
        <v>790</v>
      </c>
      <c r="G71" s="6">
        <f t="shared" si="10"/>
        <v>68</v>
      </c>
      <c r="H71" s="9">
        <f t="shared" si="11"/>
        <v>0.75714285714285712</v>
      </c>
      <c r="I71" s="6" t="s">
        <v>5166</v>
      </c>
      <c r="J71" s="6">
        <v>7</v>
      </c>
      <c r="K71" s="9">
        <f t="shared" si="12"/>
        <v>2.5000000000000001E-2</v>
      </c>
      <c r="L71" s="6">
        <v>1</v>
      </c>
      <c r="M71" s="6">
        <v>2</v>
      </c>
      <c r="N71" s="6">
        <v>2</v>
      </c>
      <c r="O71" s="6" t="str">
        <f t="shared" si="13"/>
        <v>Correct</v>
      </c>
      <c r="P71" s="6"/>
      <c r="Q71" s="6">
        <v>2</v>
      </c>
      <c r="R71" s="6" t="str">
        <f t="shared" si="14"/>
        <v>Correct</v>
      </c>
      <c r="S71" s="6" t="s">
        <v>3585</v>
      </c>
      <c r="T71" s="14">
        <v>2</v>
      </c>
      <c r="U71" s="6" t="str">
        <f t="shared" si="15"/>
        <v>Correct</v>
      </c>
      <c r="V71" s="15">
        <v>2</v>
      </c>
      <c r="W71" s="15" t="str">
        <f t="shared" si="16"/>
        <v>Correct</v>
      </c>
      <c r="X71" s="14">
        <v>2</v>
      </c>
      <c r="Y71" s="14" t="str">
        <f t="shared" si="17"/>
        <v>Correct</v>
      </c>
      <c r="Z71" s="6">
        <v>70</v>
      </c>
      <c r="AA71" s="6" t="s">
        <v>791</v>
      </c>
      <c r="AB71" s="6" t="s">
        <v>792</v>
      </c>
      <c r="AC71" s="6">
        <v>2</v>
      </c>
      <c r="AD71" s="6" t="s">
        <v>40</v>
      </c>
      <c r="AE71" s="6" t="s">
        <v>793</v>
      </c>
      <c r="AF71" s="6" t="s">
        <v>794</v>
      </c>
      <c r="AG71" s="6" t="s">
        <v>795</v>
      </c>
      <c r="AH71" s="6" t="s">
        <v>796</v>
      </c>
      <c r="AI71" s="6" t="s">
        <v>3387</v>
      </c>
      <c r="AJ71" s="6" t="s">
        <v>3910</v>
      </c>
      <c r="AK71" s="6" t="s">
        <v>797</v>
      </c>
      <c r="AL71" s="6" t="s">
        <v>3477</v>
      </c>
      <c r="AM71" s="6" t="s">
        <v>798</v>
      </c>
      <c r="AN71" s="6" t="s">
        <v>799</v>
      </c>
      <c r="AO71" s="6" t="s">
        <v>800</v>
      </c>
      <c r="AP71" s="6" t="s">
        <v>801</v>
      </c>
      <c r="AQ71" s="21" t="s">
        <v>4433</v>
      </c>
      <c r="AR71" s="6" t="s">
        <v>4651</v>
      </c>
      <c r="AS71" s="6" t="s">
        <v>802</v>
      </c>
      <c r="AT71" s="14">
        <v>2</v>
      </c>
      <c r="AU71" s="14">
        <v>2</v>
      </c>
      <c r="AV71" s="14">
        <v>2</v>
      </c>
      <c r="AW71" s="14">
        <v>2</v>
      </c>
      <c r="AX71" s="14">
        <v>2</v>
      </c>
      <c r="AY71" s="14">
        <v>2</v>
      </c>
      <c r="AZ71" s="14">
        <v>2</v>
      </c>
      <c r="BA71" s="2"/>
    </row>
    <row r="72" spans="1:53" ht="44" customHeight="1" x14ac:dyDescent="0.2">
      <c r="A72" s="6">
        <v>46946860</v>
      </c>
      <c r="B72" s="6"/>
      <c r="C72" s="7" t="s">
        <v>35</v>
      </c>
      <c r="D72" s="6" t="s">
        <v>803</v>
      </c>
      <c r="E72" s="6">
        <f t="shared" si="9"/>
        <v>254</v>
      </c>
      <c r="F72" s="6" t="s">
        <v>804</v>
      </c>
      <c r="G72" s="6">
        <f t="shared" si="10"/>
        <v>42</v>
      </c>
      <c r="H72" s="9">
        <f t="shared" si="11"/>
        <v>0.83464566929133854</v>
      </c>
      <c r="I72" s="6" t="s">
        <v>5167</v>
      </c>
      <c r="J72" s="6">
        <v>1</v>
      </c>
      <c r="K72" s="9">
        <f t="shared" si="12"/>
        <v>3.937007874015748E-3</v>
      </c>
      <c r="L72" s="6">
        <v>1</v>
      </c>
      <c r="M72" s="6">
        <v>2</v>
      </c>
      <c r="N72" s="6">
        <v>2</v>
      </c>
      <c r="O72" s="6" t="str">
        <f t="shared" si="13"/>
        <v>Correct</v>
      </c>
      <c r="P72" s="6"/>
      <c r="Q72" s="6">
        <v>2</v>
      </c>
      <c r="R72" s="6" t="str">
        <f t="shared" si="14"/>
        <v>Correct</v>
      </c>
      <c r="S72" s="6" t="s">
        <v>3586</v>
      </c>
      <c r="T72" s="14">
        <v>2</v>
      </c>
      <c r="U72" s="6" t="str">
        <f t="shared" si="15"/>
        <v>Correct</v>
      </c>
      <c r="V72" s="15">
        <v>2</v>
      </c>
      <c r="W72" s="15" t="str">
        <f t="shared" si="16"/>
        <v>Correct</v>
      </c>
      <c r="X72" s="14">
        <v>2</v>
      </c>
      <c r="Y72" s="14" t="str">
        <f t="shared" si="17"/>
        <v>Correct</v>
      </c>
      <c r="Z72" s="6">
        <v>71</v>
      </c>
      <c r="AA72" s="6" t="s">
        <v>107</v>
      </c>
      <c r="AB72" s="6" t="s">
        <v>805</v>
      </c>
      <c r="AC72" s="6">
        <v>1</v>
      </c>
      <c r="AD72" s="6" t="s">
        <v>40</v>
      </c>
      <c r="AE72" s="6" t="s">
        <v>3911</v>
      </c>
      <c r="AF72" s="6" t="s">
        <v>806</v>
      </c>
      <c r="AG72" s="6" t="s">
        <v>44</v>
      </c>
      <c r="AH72" s="6" t="s">
        <v>807</v>
      </c>
      <c r="AI72" s="6" t="s">
        <v>3388</v>
      </c>
      <c r="AJ72" s="6" t="s">
        <v>3912</v>
      </c>
      <c r="AK72" s="6" t="s">
        <v>3913</v>
      </c>
      <c r="AL72" s="6" t="s">
        <v>5104</v>
      </c>
      <c r="AM72" s="6" t="s">
        <v>4652</v>
      </c>
      <c r="AN72" s="6" t="s">
        <v>808</v>
      </c>
      <c r="AO72" s="6" t="s">
        <v>803</v>
      </c>
      <c r="AP72" s="6" t="s">
        <v>809</v>
      </c>
      <c r="AQ72" s="21" t="s">
        <v>4434</v>
      </c>
      <c r="AR72" s="6" t="s">
        <v>4653</v>
      </c>
      <c r="AS72" s="6" t="s">
        <v>4654</v>
      </c>
      <c r="AT72" s="14">
        <v>2</v>
      </c>
      <c r="AU72" s="14">
        <v>2</v>
      </c>
      <c r="AV72" s="14">
        <v>2</v>
      </c>
      <c r="AW72" s="14">
        <v>2</v>
      </c>
      <c r="AX72" s="14">
        <v>2</v>
      </c>
      <c r="AY72" s="14">
        <v>2</v>
      </c>
      <c r="AZ72" s="14">
        <v>2</v>
      </c>
      <c r="BA72" s="2"/>
    </row>
    <row r="73" spans="1:53" ht="44" customHeight="1" x14ac:dyDescent="0.2">
      <c r="A73" s="6">
        <v>46986920</v>
      </c>
      <c r="B73" s="6"/>
      <c r="C73" s="7" t="s">
        <v>35</v>
      </c>
      <c r="D73" s="6" t="s">
        <v>810</v>
      </c>
      <c r="E73" s="6">
        <f t="shared" si="9"/>
        <v>325</v>
      </c>
      <c r="F73" s="6" t="s">
        <v>811</v>
      </c>
      <c r="G73" s="6">
        <f t="shared" si="10"/>
        <v>57</v>
      </c>
      <c r="H73" s="9">
        <f t="shared" si="11"/>
        <v>0.82461538461538464</v>
      </c>
      <c r="I73" s="6" t="s">
        <v>5168</v>
      </c>
      <c r="J73" s="6">
        <v>3</v>
      </c>
      <c r="K73" s="9">
        <f t="shared" si="12"/>
        <v>9.2307692307692316E-3</v>
      </c>
      <c r="L73" s="6">
        <v>1</v>
      </c>
      <c r="M73" s="6">
        <v>2</v>
      </c>
      <c r="N73" s="6">
        <v>2</v>
      </c>
      <c r="O73" s="6" t="str">
        <f t="shared" si="13"/>
        <v>Correct</v>
      </c>
      <c r="P73" s="6"/>
      <c r="Q73" s="6">
        <v>2</v>
      </c>
      <c r="R73" s="6" t="str">
        <f t="shared" si="14"/>
        <v>Correct</v>
      </c>
      <c r="S73" s="6" t="s">
        <v>3587</v>
      </c>
      <c r="T73" s="14">
        <v>2</v>
      </c>
      <c r="U73" s="6" t="str">
        <f t="shared" si="15"/>
        <v>Correct</v>
      </c>
      <c r="V73" s="15">
        <v>1</v>
      </c>
      <c r="W73" s="15" t="str">
        <f t="shared" si="16"/>
        <v>Overtriaged</v>
      </c>
      <c r="X73" s="14">
        <v>2</v>
      </c>
      <c r="Y73" s="14" t="str">
        <f t="shared" si="17"/>
        <v>Correct</v>
      </c>
      <c r="Z73" s="6">
        <v>72</v>
      </c>
      <c r="AA73" s="6" t="s">
        <v>812</v>
      </c>
      <c r="AB73" s="6" t="s">
        <v>813</v>
      </c>
      <c r="AC73" s="6">
        <v>1</v>
      </c>
      <c r="AD73" s="6" t="s">
        <v>40</v>
      </c>
      <c r="AE73" s="6" t="s">
        <v>3914</v>
      </c>
      <c r="AF73" s="6" t="s">
        <v>814</v>
      </c>
      <c r="AG73" s="6" t="s">
        <v>44</v>
      </c>
      <c r="AH73" s="6" t="s">
        <v>815</v>
      </c>
      <c r="AI73" s="6" t="s">
        <v>3389</v>
      </c>
      <c r="AJ73" s="6" t="s">
        <v>816</v>
      </c>
      <c r="AK73" s="6" t="s">
        <v>3915</v>
      </c>
      <c r="AL73" s="6" t="s">
        <v>5104</v>
      </c>
      <c r="AM73" s="6" t="s">
        <v>4655</v>
      </c>
      <c r="AN73" s="6" t="s">
        <v>817</v>
      </c>
      <c r="AO73" s="6" t="s">
        <v>810</v>
      </c>
      <c r="AP73" s="6" t="s">
        <v>818</v>
      </c>
      <c r="AQ73" s="21" t="s">
        <v>4435</v>
      </c>
      <c r="AR73" s="6" t="s">
        <v>819</v>
      </c>
      <c r="AS73" s="6" t="s">
        <v>4656</v>
      </c>
      <c r="AT73" s="14">
        <v>2</v>
      </c>
      <c r="AU73" s="14">
        <v>2</v>
      </c>
      <c r="AV73" s="14">
        <v>2</v>
      </c>
      <c r="AW73" s="14">
        <v>2</v>
      </c>
      <c r="AX73" s="14">
        <v>2</v>
      </c>
      <c r="AY73" s="14">
        <v>2</v>
      </c>
      <c r="AZ73" s="14">
        <v>2</v>
      </c>
      <c r="BA73" s="2"/>
    </row>
    <row r="74" spans="1:53" ht="44" customHeight="1" x14ac:dyDescent="0.2">
      <c r="A74" s="6">
        <v>47067152</v>
      </c>
      <c r="B74" s="6"/>
      <c r="C74" s="7" t="s">
        <v>35</v>
      </c>
      <c r="D74" s="6" t="s">
        <v>820</v>
      </c>
      <c r="E74" s="6">
        <f t="shared" si="9"/>
        <v>85</v>
      </c>
      <c r="F74" s="6" t="s">
        <v>821</v>
      </c>
      <c r="G74" s="6">
        <f t="shared" si="10"/>
        <v>29</v>
      </c>
      <c r="H74" s="9">
        <f t="shared" si="11"/>
        <v>0.6588235294117647</v>
      </c>
      <c r="I74" s="6" t="s">
        <v>5169</v>
      </c>
      <c r="J74" s="6">
        <v>4</v>
      </c>
      <c r="K74" s="9">
        <f t="shared" si="12"/>
        <v>4.7058823529411764E-2</v>
      </c>
      <c r="L74" s="6">
        <v>4</v>
      </c>
      <c r="M74" s="6">
        <v>2</v>
      </c>
      <c r="N74" s="6">
        <v>2</v>
      </c>
      <c r="O74" s="6" t="str">
        <f t="shared" si="13"/>
        <v>Correct</v>
      </c>
      <c r="P74" s="6"/>
      <c r="Q74" s="6">
        <v>2</v>
      </c>
      <c r="R74" s="6" t="str">
        <f t="shared" si="14"/>
        <v>Correct</v>
      </c>
      <c r="S74" s="6" t="s">
        <v>3779</v>
      </c>
      <c r="T74" s="14">
        <v>1</v>
      </c>
      <c r="U74" s="6" t="str">
        <f t="shared" si="15"/>
        <v>Overtriaged</v>
      </c>
      <c r="V74" s="15">
        <v>1</v>
      </c>
      <c r="W74" s="15" t="str">
        <f t="shared" si="16"/>
        <v>Overtriaged</v>
      </c>
      <c r="X74" s="14">
        <v>2</v>
      </c>
      <c r="Y74" s="14" t="str">
        <f t="shared" si="17"/>
        <v>Correct</v>
      </c>
      <c r="Z74" s="6">
        <v>73</v>
      </c>
      <c r="AA74" s="6" t="s">
        <v>822</v>
      </c>
      <c r="AB74" s="6" t="s">
        <v>823</v>
      </c>
      <c r="AC74" s="6">
        <v>2</v>
      </c>
      <c r="AD74" s="6" t="s">
        <v>120</v>
      </c>
      <c r="AE74" s="6" t="s">
        <v>44</v>
      </c>
      <c r="AF74" s="6" t="s">
        <v>44</v>
      </c>
      <c r="AG74" s="6" t="s">
        <v>44</v>
      </c>
      <c r="AH74" s="6" t="s">
        <v>44</v>
      </c>
      <c r="AI74" s="6" t="s">
        <v>3390</v>
      </c>
      <c r="AJ74" s="6" t="s">
        <v>824</v>
      </c>
      <c r="AK74" s="6" t="s">
        <v>825</v>
      </c>
      <c r="AL74" s="6" t="s">
        <v>5105</v>
      </c>
      <c r="AM74" s="6" t="s">
        <v>820</v>
      </c>
      <c r="AN74" s="6" t="s">
        <v>820</v>
      </c>
      <c r="AO74" s="6" t="s">
        <v>820</v>
      </c>
      <c r="AP74" s="6" t="s">
        <v>820</v>
      </c>
      <c r="AQ74" s="21" t="s">
        <v>4436</v>
      </c>
      <c r="AR74" s="6" t="s">
        <v>826</v>
      </c>
      <c r="AS74" s="6" t="s">
        <v>827</v>
      </c>
      <c r="AT74" s="14">
        <v>1</v>
      </c>
      <c r="AU74" s="14">
        <v>2</v>
      </c>
      <c r="AV74" s="14">
        <v>2</v>
      </c>
      <c r="AW74" s="14">
        <v>1</v>
      </c>
      <c r="AX74" s="14">
        <v>1</v>
      </c>
      <c r="AY74" s="14">
        <v>1</v>
      </c>
      <c r="AZ74" s="14">
        <v>2</v>
      </c>
      <c r="BA74" s="2"/>
    </row>
    <row r="75" spans="1:53" ht="44" customHeight="1" x14ac:dyDescent="0.2">
      <c r="A75" s="6">
        <v>47075486</v>
      </c>
      <c r="B75" s="6"/>
      <c r="C75" s="7" t="s">
        <v>35</v>
      </c>
      <c r="D75" s="6" t="s">
        <v>828</v>
      </c>
      <c r="E75" s="6">
        <f t="shared" si="9"/>
        <v>180</v>
      </c>
      <c r="F75" s="6" t="s">
        <v>829</v>
      </c>
      <c r="G75" s="6">
        <f t="shared" si="10"/>
        <v>59</v>
      </c>
      <c r="H75" s="9">
        <f t="shared" si="11"/>
        <v>0.67222222222222228</v>
      </c>
      <c r="I75" s="6"/>
      <c r="J75" s="6">
        <v>0</v>
      </c>
      <c r="K75" s="9">
        <f t="shared" si="12"/>
        <v>0</v>
      </c>
      <c r="L75" s="6">
        <v>1</v>
      </c>
      <c r="M75" s="6">
        <v>2</v>
      </c>
      <c r="N75" s="6">
        <v>2</v>
      </c>
      <c r="O75" s="6" t="str">
        <f t="shared" si="13"/>
        <v>Correct</v>
      </c>
      <c r="P75" s="6"/>
      <c r="Q75" s="6">
        <v>2</v>
      </c>
      <c r="R75" s="6" t="str">
        <f t="shared" si="14"/>
        <v>Correct</v>
      </c>
      <c r="S75" s="6" t="s">
        <v>3588</v>
      </c>
      <c r="T75" s="14">
        <v>2</v>
      </c>
      <c r="U75" s="6" t="str">
        <f t="shared" si="15"/>
        <v>Correct</v>
      </c>
      <c r="V75" s="15">
        <v>2</v>
      </c>
      <c r="W75" s="15" t="str">
        <f t="shared" si="16"/>
        <v>Correct</v>
      </c>
      <c r="X75" s="14">
        <v>2</v>
      </c>
      <c r="Y75" s="14" t="str">
        <f t="shared" si="17"/>
        <v>Correct</v>
      </c>
      <c r="Z75" s="6">
        <v>74</v>
      </c>
      <c r="AA75" s="6" t="s">
        <v>830</v>
      </c>
      <c r="AB75" s="6" t="s">
        <v>831</v>
      </c>
      <c r="AC75" s="6">
        <v>1</v>
      </c>
      <c r="AD75" s="6" t="s">
        <v>40</v>
      </c>
      <c r="AE75" s="6" t="s">
        <v>832</v>
      </c>
      <c r="AF75" s="6" t="s">
        <v>833</v>
      </c>
      <c r="AG75" s="6" t="s">
        <v>834</v>
      </c>
      <c r="AH75" s="6" t="s">
        <v>835</v>
      </c>
      <c r="AI75" s="6" t="s">
        <v>44</v>
      </c>
      <c r="AJ75" s="6" t="s">
        <v>44</v>
      </c>
      <c r="AK75" s="6" t="s">
        <v>3916</v>
      </c>
      <c r="AL75" s="6" t="s">
        <v>5098</v>
      </c>
      <c r="AM75" s="6" t="s">
        <v>4657</v>
      </c>
      <c r="AN75" s="6" t="s">
        <v>836</v>
      </c>
      <c r="AO75" s="6" t="s">
        <v>837</v>
      </c>
      <c r="AP75" s="6" t="s">
        <v>838</v>
      </c>
      <c r="AQ75" s="21" t="s">
        <v>828</v>
      </c>
      <c r="AR75" s="6" t="s">
        <v>828</v>
      </c>
      <c r="AS75" s="6" t="s">
        <v>4658</v>
      </c>
      <c r="AT75" s="14">
        <v>2</v>
      </c>
      <c r="AU75" s="14">
        <v>2</v>
      </c>
      <c r="AV75" s="14">
        <v>2</v>
      </c>
      <c r="AW75" s="14">
        <v>2</v>
      </c>
      <c r="AX75" s="14">
        <v>2</v>
      </c>
      <c r="AY75" s="14">
        <v>2</v>
      </c>
      <c r="AZ75" s="14">
        <v>2</v>
      </c>
      <c r="BA75" s="2"/>
    </row>
    <row r="76" spans="1:53" ht="44" customHeight="1" x14ac:dyDescent="0.2">
      <c r="A76" s="6">
        <v>47203707</v>
      </c>
      <c r="B76" s="6"/>
      <c r="C76" s="7" t="s">
        <v>35</v>
      </c>
      <c r="D76" s="6" t="s">
        <v>839</v>
      </c>
      <c r="E76" s="6">
        <f t="shared" si="9"/>
        <v>116</v>
      </c>
      <c r="F76" s="6" t="s">
        <v>840</v>
      </c>
      <c r="G76" s="6">
        <f t="shared" si="10"/>
        <v>48</v>
      </c>
      <c r="H76" s="9">
        <f t="shared" si="11"/>
        <v>0.58620689655172409</v>
      </c>
      <c r="I76" s="6" t="s">
        <v>5170</v>
      </c>
      <c r="J76" s="6">
        <v>4</v>
      </c>
      <c r="K76" s="9">
        <f t="shared" si="12"/>
        <v>3.4482758620689655E-2</v>
      </c>
      <c r="L76" s="6">
        <v>10</v>
      </c>
      <c r="M76" s="6">
        <v>2</v>
      </c>
      <c r="N76" s="6">
        <v>2</v>
      </c>
      <c r="O76" s="6" t="str">
        <f t="shared" si="13"/>
        <v>Correct</v>
      </c>
      <c r="P76" s="6"/>
      <c r="Q76" s="6">
        <v>2</v>
      </c>
      <c r="R76" s="6" t="str">
        <f t="shared" si="14"/>
        <v>Correct</v>
      </c>
      <c r="S76" s="6" t="s">
        <v>3589</v>
      </c>
      <c r="T76" s="14">
        <v>2</v>
      </c>
      <c r="U76" s="6" t="str">
        <f t="shared" si="15"/>
        <v>Correct</v>
      </c>
      <c r="V76" s="15">
        <v>1</v>
      </c>
      <c r="W76" s="15" t="str">
        <f t="shared" si="16"/>
        <v>Overtriaged</v>
      </c>
      <c r="X76" s="14">
        <v>2</v>
      </c>
      <c r="Y76" s="14" t="str">
        <f t="shared" si="17"/>
        <v>Correct</v>
      </c>
      <c r="Z76" s="6">
        <v>75</v>
      </c>
      <c r="AA76" s="6" t="s">
        <v>841</v>
      </c>
      <c r="AB76" s="6" t="s">
        <v>842</v>
      </c>
      <c r="AC76" s="6">
        <v>1</v>
      </c>
      <c r="AD76" s="6" t="s">
        <v>40</v>
      </c>
      <c r="AE76" s="6" t="s">
        <v>843</v>
      </c>
      <c r="AF76" s="6" t="s">
        <v>844</v>
      </c>
      <c r="AG76" s="6" t="s">
        <v>845</v>
      </c>
      <c r="AH76" s="6" t="s">
        <v>44</v>
      </c>
      <c r="AI76" s="6" t="s">
        <v>3391</v>
      </c>
      <c r="AJ76" s="6" t="s">
        <v>3917</v>
      </c>
      <c r="AK76" s="6" t="s">
        <v>3918</v>
      </c>
      <c r="AL76" s="6" t="s">
        <v>3476</v>
      </c>
      <c r="AM76" s="6" t="s">
        <v>846</v>
      </c>
      <c r="AN76" s="6" t="s">
        <v>847</v>
      </c>
      <c r="AO76" s="6" t="s">
        <v>848</v>
      </c>
      <c r="AP76" s="6" t="s">
        <v>839</v>
      </c>
      <c r="AQ76" s="21" t="s">
        <v>4437</v>
      </c>
      <c r="AR76" s="6" t="s">
        <v>4659</v>
      </c>
      <c r="AS76" s="6" t="s">
        <v>4660</v>
      </c>
      <c r="AT76" s="14">
        <v>2</v>
      </c>
      <c r="AU76" s="14">
        <v>2</v>
      </c>
      <c r="AV76" s="14">
        <v>2</v>
      </c>
      <c r="AW76" s="14">
        <v>2</v>
      </c>
      <c r="AX76" s="14">
        <v>2</v>
      </c>
      <c r="AY76" s="14">
        <v>2</v>
      </c>
      <c r="AZ76" s="14">
        <v>2</v>
      </c>
      <c r="BA76" s="2"/>
    </row>
    <row r="77" spans="1:53" ht="44" customHeight="1" x14ac:dyDescent="0.2">
      <c r="A77" s="6">
        <v>47270411</v>
      </c>
      <c r="B77" s="6"/>
      <c r="C77" s="7" t="s">
        <v>35</v>
      </c>
      <c r="D77" s="6" t="s">
        <v>849</v>
      </c>
      <c r="E77" s="6">
        <f t="shared" si="9"/>
        <v>89</v>
      </c>
      <c r="F77" s="6" t="s">
        <v>850</v>
      </c>
      <c r="G77" s="6">
        <f t="shared" si="10"/>
        <v>38</v>
      </c>
      <c r="H77" s="9">
        <f t="shared" si="11"/>
        <v>0.5730337078651685</v>
      </c>
      <c r="I77" s="6"/>
      <c r="J77" s="6">
        <v>0</v>
      </c>
      <c r="K77" s="9">
        <f t="shared" si="12"/>
        <v>0</v>
      </c>
      <c r="L77" s="6">
        <v>1</v>
      </c>
      <c r="M77" s="6">
        <v>2</v>
      </c>
      <c r="N77" s="6">
        <v>2</v>
      </c>
      <c r="O77" s="6" t="str">
        <f t="shared" si="13"/>
        <v>Correct</v>
      </c>
      <c r="P77" s="6"/>
      <c r="Q77" s="6">
        <v>2</v>
      </c>
      <c r="R77" s="6" t="str">
        <f t="shared" si="14"/>
        <v>Correct</v>
      </c>
      <c r="S77" s="6" t="s">
        <v>3590</v>
      </c>
      <c r="T77" s="14">
        <v>2</v>
      </c>
      <c r="U77" s="6" t="str">
        <f t="shared" si="15"/>
        <v>Correct</v>
      </c>
      <c r="V77" s="15">
        <v>2</v>
      </c>
      <c r="W77" s="15" t="str">
        <f t="shared" si="16"/>
        <v>Correct</v>
      </c>
      <c r="X77" s="14">
        <v>2</v>
      </c>
      <c r="Y77" s="14" t="str">
        <f t="shared" si="17"/>
        <v>Correct</v>
      </c>
      <c r="Z77" s="6">
        <v>76</v>
      </c>
      <c r="AA77" s="6" t="s">
        <v>851</v>
      </c>
      <c r="AB77" s="6" t="s">
        <v>852</v>
      </c>
      <c r="AC77" s="6">
        <v>1</v>
      </c>
      <c r="AD77" s="6" t="s">
        <v>40</v>
      </c>
      <c r="AE77" s="6" t="s">
        <v>853</v>
      </c>
      <c r="AF77" s="6" t="s">
        <v>854</v>
      </c>
      <c r="AG77" s="6" t="s">
        <v>855</v>
      </c>
      <c r="AH77" s="6" t="s">
        <v>44</v>
      </c>
      <c r="AI77" s="6" t="s">
        <v>3392</v>
      </c>
      <c r="AJ77" s="6" t="s">
        <v>856</v>
      </c>
      <c r="AK77" s="6" t="s">
        <v>3919</v>
      </c>
      <c r="AL77" s="6" t="s">
        <v>3476</v>
      </c>
      <c r="AM77" s="6" t="s">
        <v>857</v>
      </c>
      <c r="AN77" s="6" t="s">
        <v>858</v>
      </c>
      <c r="AO77" s="6" t="s">
        <v>859</v>
      </c>
      <c r="AP77" s="6" t="s">
        <v>849</v>
      </c>
      <c r="AQ77" s="21" t="s">
        <v>4438</v>
      </c>
      <c r="AR77" s="6" t="s">
        <v>860</v>
      </c>
      <c r="AS77" s="6" t="s">
        <v>4661</v>
      </c>
      <c r="AT77" s="14">
        <v>2</v>
      </c>
      <c r="AU77" s="14">
        <v>2</v>
      </c>
      <c r="AV77" s="14">
        <v>2</v>
      </c>
      <c r="AW77" s="14">
        <v>2</v>
      </c>
      <c r="AX77" s="14">
        <v>2</v>
      </c>
      <c r="AY77" s="14">
        <v>2</v>
      </c>
      <c r="AZ77" s="14">
        <v>2</v>
      </c>
      <c r="BA77" s="2"/>
    </row>
    <row r="78" spans="1:53" ht="44" customHeight="1" x14ac:dyDescent="0.2">
      <c r="A78" s="6">
        <v>47307833</v>
      </c>
      <c r="B78" s="6"/>
      <c r="C78" s="7" t="s">
        <v>35</v>
      </c>
      <c r="D78" s="6" t="s">
        <v>861</v>
      </c>
      <c r="E78" s="6">
        <f t="shared" si="9"/>
        <v>67</v>
      </c>
      <c r="F78" s="6" t="s">
        <v>862</v>
      </c>
      <c r="G78" s="6">
        <f t="shared" si="10"/>
        <v>44</v>
      </c>
      <c r="H78" s="9">
        <f t="shared" si="11"/>
        <v>0.34328358208955223</v>
      </c>
      <c r="I78" s="6" t="s">
        <v>5171</v>
      </c>
      <c r="J78" s="6">
        <v>2</v>
      </c>
      <c r="K78" s="9">
        <f t="shared" si="12"/>
        <v>2.9850746268656716E-2</v>
      </c>
      <c r="L78" s="6">
        <v>18</v>
      </c>
      <c r="M78" s="6">
        <v>1</v>
      </c>
      <c r="N78" s="6">
        <v>1</v>
      </c>
      <c r="O78" s="6" t="str">
        <f t="shared" si="13"/>
        <v>Correct</v>
      </c>
      <c r="P78" s="6"/>
      <c r="Q78" s="6">
        <v>2</v>
      </c>
      <c r="R78" s="6" t="str">
        <f t="shared" si="14"/>
        <v>Undertriaged</v>
      </c>
      <c r="S78" s="6" t="s">
        <v>3780</v>
      </c>
      <c r="T78" s="14">
        <v>2</v>
      </c>
      <c r="U78" s="6" t="str">
        <f t="shared" si="15"/>
        <v>Undertriaged</v>
      </c>
      <c r="V78" s="15">
        <v>1</v>
      </c>
      <c r="W78" s="15" t="str">
        <f t="shared" si="16"/>
        <v>Correct</v>
      </c>
      <c r="X78" s="14">
        <v>2</v>
      </c>
      <c r="Y78" s="14" t="str">
        <f t="shared" si="17"/>
        <v>Undertriaged</v>
      </c>
      <c r="Z78" s="6">
        <v>77</v>
      </c>
      <c r="AA78" s="6" t="s">
        <v>863</v>
      </c>
      <c r="AB78" s="6" t="s">
        <v>864</v>
      </c>
      <c r="AC78" s="6">
        <v>1</v>
      </c>
      <c r="AD78" s="6" t="s">
        <v>40</v>
      </c>
      <c r="AE78" s="6" t="s">
        <v>265</v>
      </c>
      <c r="AF78" s="6" t="s">
        <v>865</v>
      </c>
      <c r="AG78" s="6" t="s">
        <v>44</v>
      </c>
      <c r="AH78" s="6" t="s">
        <v>44</v>
      </c>
      <c r="AI78" s="6" t="s">
        <v>866</v>
      </c>
      <c r="AJ78" s="6" t="s">
        <v>866</v>
      </c>
      <c r="AK78" s="6" t="s">
        <v>867</v>
      </c>
      <c r="AL78" s="6" t="s">
        <v>3478</v>
      </c>
      <c r="AM78" s="6" t="s">
        <v>868</v>
      </c>
      <c r="AN78" s="6" t="s">
        <v>869</v>
      </c>
      <c r="AO78" s="6" t="s">
        <v>861</v>
      </c>
      <c r="AP78" s="6" t="s">
        <v>861</v>
      </c>
      <c r="AQ78" s="21" t="s">
        <v>870</v>
      </c>
      <c r="AR78" s="6" t="s">
        <v>870</v>
      </c>
      <c r="AS78" s="6" t="s">
        <v>871</v>
      </c>
      <c r="AT78" s="14">
        <v>2</v>
      </c>
      <c r="AU78" s="14">
        <v>2</v>
      </c>
      <c r="AV78" s="14">
        <v>2</v>
      </c>
      <c r="AW78" s="14">
        <v>2</v>
      </c>
      <c r="AX78" s="14">
        <v>2</v>
      </c>
      <c r="AY78" s="14">
        <v>2</v>
      </c>
      <c r="AZ78" s="14">
        <v>2</v>
      </c>
      <c r="BA78" s="2"/>
    </row>
    <row r="79" spans="1:53" ht="44" customHeight="1" x14ac:dyDescent="0.2">
      <c r="A79" s="6">
        <v>47352954</v>
      </c>
      <c r="B79" s="6"/>
      <c r="C79" s="7" t="s">
        <v>35</v>
      </c>
      <c r="D79" s="6" t="s">
        <v>872</v>
      </c>
      <c r="E79" s="6">
        <f t="shared" si="9"/>
        <v>194</v>
      </c>
      <c r="F79" s="6" t="s">
        <v>873</v>
      </c>
      <c r="G79" s="6">
        <f t="shared" si="10"/>
        <v>53</v>
      </c>
      <c r="H79" s="9">
        <f t="shared" si="11"/>
        <v>0.72680412371134018</v>
      </c>
      <c r="I79" s="6" t="s">
        <v>5172</v>
      </c>
      <c r="J79" s="6">
        <v>1</v>
      </c>
      <c r="K79" s="9">
        <f t="shared" si="12"/>
        <v>5.1546391752577319E-3</v>
      </c>
      <c r="L79" s="6">
        <v>4</v>
      </c>
      <c r="M79" s="6">
        <v>2</v>
      </c>
      <c r="N79" s="6">
        <v>2</v>
      </c>
      <c r="O79" s="6" t="str">
        <f t="shared" si="13"/>
        <v>Correct</v>
      </c>
      <c r="P79" s="6"/>
      <c r="Q79" s="6">
        <v>2</v>
      </c>
      <c r="R79" s="6" t="str">
        <f t="shared" si="14"/>
        <v>Correct</v>
      </c>
      <c r="S79" s="6" t="s">
        <v>3591</v>
      </c>
      <c r="T79" s="14">
        <v>2</v>
      </c>
      <c r="U79" s="6" t="str">
        <f t="shared" si="15"/>
        <v>Correct</v>
      </c>
      <c r="V79" s="15">
        <v>2</v>
      </c>
      <c r="W79" s="15" t="str">
        <f t="shared" si="16"/>
        <v>Correct</v>
      </c>
      <c r="X79" s="14">
        <v>2</v>
      </c>
      <c r="Y79" s="14" t="str">
        <f t="shared" si="17"/>
        <v>Correct</v>
      </c>
      <c r="Z79" s="6">
        <v>78</v>
      </c>
      <c r="AA79" s="6" t="s">
        <v>874</v>
      </c>
      <c r="AB79" s="6" t="s">
        <v>875</v>
      </c>
      <c r="AC79" s="6">
        <v>1</v>
      </c>
      <c r="AD79" s="6" t="s">
        <v>40</v>
      </c>
      <c r="AE79" s="6" t="s">
        <v>176</v>
      </c>
      <c r="AF79" s="6" t="s">
        <v>876</v>
      </c>
      <c r="AG79" s="6" t="s">
        <v>877</v>
      </c>
      <c r="AH79" s="6" t="s">
        <v>44</v>
      </c>
      <c r="AI79" s="6" t="s">
        <v>44</v>
      </c>
      <c r="AJ79" s="6" t="s">
        <v>878</v>
      </c>
      <c r="AK79" s="6" t="s">
        <v>879</v>
      </c>
      <c r="AL79" s="6" t="s">
        <v>3476</v>
      </c>
      <c r="AM79" s="6" t="s">
        <v>880</v>
      </c>
      <c r="AN79" s="6" t="s">
        <v>881</v>
      </c>
      <c r="AO79" s="6" t="s">
        <v>882</v>
      </c>
      <c r="AP79" s="6" t="s">
        <v>872</v>
      </c>
      <c r="AQ79" s="21" t="s">
        <v>872</v>
      </c>
      <c r="AR79" s="6" t="s">
        <v>883</v>
      </c>
      <c r="AS79" s="6" t="s">
        <v>884</v>
      </c>
      <c r="AT79" s="14">
        <v>2</v>
      </c>
      <c r="AU79" s="14">
        <v>2</v>
      </c>
      <c r="AV79" s="14">
        <v>2</v>
      </c>
      <c r="AW79" s="14">
        <v>2</v>
      </c>
      <c r="AX79" s="14">
        <v>2</v>
      </c>
      <c r="AY79" s="14">
        <v>2</v>
      </c>
      <c r="AZ79" s="14">
        <v>2</v>
      </c>
      <c r="BA79" s="2"/>
    </row>
    <row r="80" spans="1:53" ht="44" customHeight="1" x14ac:dyDescent="0.2">
      <c r="A80" s="6">
        <v>47361777</v>
      </c>
      <c r="B80" s="6"/>
      <c r="C80" s="7" t="s">
        <v>35</v>
      </c>
      <c r="D80" s="6" t="s">
        <v>885</v>
      </c>
      <c r="E80" s="6">
        <f t="shared" si="9"/>
        <v>194</v>
      </c>
      <c r="F80" s="6" t="s">
        <v>886</v>
      </c>
      <c r="G80" s="6">
        <f t="shared" si="10"/>
        <v>24</v>
      </c>
      <c r="H80" s="9">
        <f t="shared" si="11"/>
        <v>0.87628865979381443</v>
      </c>
      <c r="I80" s="6"/>
      <c r="J80" s="6">
        <v>0</v>
      </c>
      <c r="K80" s="9">
        <f t="shared" si="12"/>
        <v>0</v>
      </c>
      <c r="L80" s="6">
        <v>2</v>
      </c>
      <c r="M80" s="6">
        <v>2</v>
      </c>
      <c r="N80" s="6">
        <v>2</v>
      </c>
      <c r="O80" s="6" t="str">
        <f t="shared" si="13"/>
        <v>Correct</v>
      </c>
      <c r="P80" s="6"/>
      <c r="Q80" s="6">
        <v>2</v>
      </c>
      <c r="R80" s="6" t="str">
        <f t="shared" si="14"/>
        <v>Correct</v>
      </c>
      <c r="S80" s="6" t="s">
        <v>3592</v>
      </c>
      <c r="T80" s="14">
        <v>2</v>
      </c>
      <c r="U80" s="6" t="str">
        <f t="shared" si="15"/>
        <v>Correct</v>
      </c>
      <c r="V80" s="15">
        <v>1</v>
      </c>
      <c r="W80" s="15" t="str">
        <f t="shared" si="16"/>
        <v>Overtriaged</v>
      </c>
      <c r="X80" s="14">
        <v>2</v>
      </c>
      <c r="Y80" s="14" t="str">
        <f t="shared" si="17"/>
        <v>Correct</v>
      </c>
      <c r="Z80" s="6">
        <v>79</v>
      </c>
      <c r="AA80" s="6" t="s">
        <v>887</v>
      </c>
      <c r="AB80" s="6" t="s">
        <v>888</v>
      </c>
      <c r="AC80" s="6">
        <v>1</v>
      </c>
      <c r="AD80" s="6" t="s">
        <v>40</v>
      </c>
      <c r="AE80" s="6" t="s">
        <v>454</v>
      </c>
      <c r="AF80" s="6" t="s">
        <v>44</v>
      </c>
      <c r="AG80" s="6" t="s">
        <v>44</v>
      </c>
      <c r="AH80" s="6" t="s">
        <v>44</v>
      </c>
      <c r="AI80" s="6" t="s">
        <v>44</v>
      </c>
      <c r="AJ80" s="6" t="s">
        <v>44</v>
      </c>
      <c r="AK80" s="6" t="s">
        <v>3920</v>
      </c>
      <c r="AL80" s="6" t="s">
        <v>5100</v>
      </c>
      <c r="AM80" s="6" t="s">
        <v>889</v>
      </c>
      <c r="AN80" s="6" t="s">
        <v>885</v>
      </c>
      <c r="AO80" s="6" t="s">
        <v>885</v>
      </c>
      <c r="AP80" s="6" t="s">
        <v>885</v>
      </c>
      <c r="AQ80" s="21" t="s">
        <v>885</v>
      </c>
      <c r="AR80" s="6" t="s">
        <v>885</v>
      </c>
      <c r="AS80" s="6" t="s">
        <v>4662</v>
      </c>
      <c r="AT80" s="14">
        <v>2</v>
      </c>
      <c r="AU80" s="14">
        <v>2</v>
      </c>
      <c r="AV80" s="14">
        <v>2</v>
      </c>
      <c r="AW80" s="14">
        <v>2</v>
      </c>
      <c r="AX80" s="14">
        <v>2</v>
      </c>
      <c r="AY80" s="14">
        <v>2</v>
      </c>
      <c r="AZ80" s="14">
        <v>2</v>
      </c>
      <c r="BA80" s="2"/>
    </row>
    <row r="81" spans="1:53" ht="44" customHeight="1" x14ac:dyDescent="0.2">
      <c r="A81" s="6">
        <v>47405670</v>
      </c>
      <c r="B81" s="6"/>
      <c r="C81" s="7" t="s">
        <v>35</v>
      </c>
      <c r="D81" s="6" t="s">
        <v>890</v>
      </c>
      <c r="E81" s="6">
        <f t="shared" si="9"/>
        <v>84</v>
      </c>
      <c r="F81" s="6" t="s">
        <v>891</v>
      </c>
      <c r="G81" s="6">
        <f t="shared" si="10"/>
        <v>59</v>
      </c>
      <c r="H81" s="9">
        <f t="shared" si="11"/>
        <v>0.29761904761904762</v>
      </c>
      <c r="I81" s="6" t="s">
        <v>5173</v>
      </c>
      <c r="J81" s="6">
        <v>1</v>
      </c>
      <c r="K81" s="9">
        <f t="shared" si="12"/>
        <v>1.1904761904761904E-2</v>
      </c>
      <c r="L81" s="6">
        <v>2</v>
      </c>
      <c r="M81" s="6">
        <v>2</v>
      </c>
      <c r="N81" s="6">
        <v>2</v>
      </c>
      <c r="O81" s="6" t="str">
        <f t="shared" si="13"/>
        <v>Correct</v>
      </c>
      <c r="P81" s="6"/>
      <c r="Q81" s="6">
        <v>2</v>
      </c>
      <c r="R81" s="6" t="str">
        <f t="shared" si="14"/>
        <v>Correct</v>
      </c>
      <c r="S81" s="6" t="s">
        <v>3781</v>
      </c>
      <c r="T81" s="14">
        <v>1</v>
      </c>
      <c r="U81" s="6" t="str">
        <f t="shared" si="15"/>
        <v>Overtriaged</v>
      </c>
      <c r="V81" s="15">
        <v>2</v>
      </c>
      <c r="W81" s="15" t="str">
        <f t="shared" si="16"/>
        <v>Correct</v>
      </c>
      <c r="X81" s="14">
        <v>2</v>
      </c>
      <c r="Y81" s="14" t="str">
        <f t="shared" si="17"/>
        <v>Correct</v>
      </c>
      <c r="Z81" s="6">
        <v>80</v>
      </c>
      <c r="AA81" s="6" t="s">
        <v>892</v>
      </c>
      <c r="AB81" s="6" t="s">
        <v>893</v>
      </c>
      <c r="AC81" s="6">
        <v>1</v>
      </c>
      <c r="AD81" s="6" t="s">
        <v>40</v>
      </c>
      <c r="AE81" s="6" t="s">
        <v>894</v>
      </c>
      <c r="AF81" s="6" t="s">
        <v>895</v>
      </c>
      <c r="AG81" s="6" t="s">
        <v>896</v>
      </c>
      <c r="AH81" s="6" t="s">
        <v>897</v>
      </c>
      <c r="AI81" s="6" t="s">
        <v>44</v>
      </c>
      <c r="AJ81" s="6" t="s">
        <v>44</v>
      </c>
      <c r="AK81" s="6" t="s">
        <v>898</v>
      </c>
      <c r="AL81" s="6" t="s">
        <v>5098</v>
      </c>
      <c r="AM81" s="6" t="s">
        <v>899</v>
      </c>
      <c r="AN81" s="6" t="s">
        <v>900</v>
      </c>
      <c r="AO81" s="6" t="s">
        <v>901</v>
      </c>
      <c r="AP81" s="6" t="s">
        <v>902</v>
      </c>
      <c r="AQ81" s="21" t="s">
        <v>890</v>
      </c>
      <c r="AR81" s="6" t="s">
        <v>890</v>
      </c>
      <c r="AS81" s="6" t="s">
        <v>903</v>
      </c>
      <c r="AT81" s="14">
        <v>2</v>
      </c>
      <c r="AU81" s="14">
        <v>2</v>
      </c>
      <c r="AV81" s="14">
        <v>2</v>
      </c>
      <c r="AW81" s="14">
        <v>2</v>
      </c>
      <c r="AX81" s="14">
        <v>2</v>
      </c>
      <c r="AY81" s="14">
        <v>2</v>
      </c>
      <c r="AZ81" s="14">
        <v>2</v>
      </c>
      <c r="BA81" s="2"/>
    </row>
    <row r="82" spans="1:53" ht="44" customHeight="1" x14ac:dyDescent="0.2">
      <c r="A82" s="6">
        <v>47441228</v>
      </c>
      <c r="B82" s="6"/>
      <c r="C82" s="7" t="s">
        <v>35</v>
      </c>
      <c r="D82" s="6" t="s">
        <v>904</v>
      </c>
      <c r="E82" s="6">
        <f t="shared" si="9"/>
        <v>132</v>
      </c>
      <c r="F82" s="6" t="s">
        <v>905</v>
      </c>
      <c r="G82" s="6">
        <f t="shared" si="10"/>
        <v>42</v>
      </c>
      <c r="H82" s="9">
        <f t="shared" si="11"/>
        <v>0.68181818181818177</v>
      </c>
      <c r="I82" s="6" t="s">
        <v>5174</v>
      </c>
      <c r="J82" s="6">
        <v>5</v>
      </c>
      <c r="K82" s="9">
        <f t="shared" si="12"/>
        <v>3.787878787878788E-2</v>
      </c>
      <c r="L82" s="6">
        <v>1</v>
      </c>
      <c r="M82" s="6">
        <v>2</v>
      </c>
      <c r="N82" s="6">
        <v>2</v>
      </c>
      <c r="O82" s="6" t="str">
        <f t="shared" si="13"/>
        <v>Correct</v>
      </c>
      <c r="P82" s="6"/>
      <c r="Q82" s="6">
        <v>2</v>
      </c>
      <c r="R82" s="6" t="str">
        <f t="shared" si="14"/>
        <v>Correct</v>
      </c>
      <c r="S82" s="6" t="s">
        <v>3593</v>
      </c>
      <c r="T82" s="14">
        <v>2</v>
      </c>
      <c r="U82" s="6" t="str">
        <f t="shared" si="15"/>
        <v>Correct</v>
      </c>
      <c r="V82" s="15">
        <v>2</v>
      </c>
      <c r="W82" s="15" t="str">
        <f t="shared" si="16"/>
        <v>Correct</v>
      </c>
      <c r="X82" s="14">
        <v>2</v>
      </c>
      <c r="Y82" s="14" t="str">
        <f t="shared" si="17"/>
        <v>Correct</v>
      </c>
      <c r="Z82" s="6">
        <v>81</v>
      </c>
      <c r="AA82" s="6" t="s">
        <v>906</v>
      </c>
      <c r="AB82" s="6" t="s">
        <v>907</v>
      </c>
      <c r="AC82" s="6">
        <v>1</v>
      </c>
      <c r="AD82" s="6" t="s">
        <v>40</v>
      </c>
      <c r="AE82" s="6" t="s">
        <v>908</v>
      </c>
      <c r="AF82" s="6" t="s">
        <v>909</v>
      </c>
      <c r="AG82" s="6" t="s">
        <v>910</v>
      </c>
      <c r="AH82" s="6" t="s">
        <v>44</v>
      </c>
      <c r="AI82" s="6" t="s">
        <v>44</v>
      </c>
      <c r="AJ82" s="6" t="s">
        <v>44</v>
      </c>
      <c r="AK82" s="6" t="s">
        <v>911</v>
      </c>
      <c r="AL82" s="6" t="s">
        <v>5099</v>
      </c>
      <c r="AM82" s="6" t="s">
        <v>912</v>
      </c>
      <c r="AN82" s="6" t="s">
        <v>913</v>
      </c>
      <c r="AO82" s="6" t="s">
        <v>914</v>
      </c>
      <c r="AP82" s="6" t="s">
        <v>904</v>
      </c>
      <c r="AQ82" s="21" t="s">
        <v>904</v>
      </c>
      <c r="AR82" s="6" t="s">
        <v>904</v>
      </c>
      <c r="AS82" s="6" t="s">
        <v>915</v>
      </c>
      <c r="AT82" s="14">
        <v>2</v>
      </c>
      <c r="AU82" s="14">
        <v>2</v>
      </c>
      <c r="AV82" s="14">
        <v>2</v>
      </c>
      <c r="AW82" s="14">
        <v>2</v>
      </c>
      <c r="AX82" s="14">
        <v>2</v>
      </c>
      <c r="AY82" s="14">
        <v>2</v>
      </c>
      <c r="AZ82" s="14">
        <v>2</v>
      </c>
      <c r="BA82" s="2"/>
    </row>
    <row r="83" spans="1:53" ht="44" customHeight="1" x14ac:dyDescent="0.2">
      <c r="A83" s="6">
        <v>47599582</v>
      </c>
      <c r="B83" s="6"/>
      <c r="C83" s="7" t="s">
        <v>35</v>
      </c>
      <c r="D83" s="6" t="s">
        <v>916</v>
      </c>
      <c r="E83" s="6">
        <f t="shared" si="9"/>
        <v>55</v>
      </c>
      <c r="F83" s="6" t="s">
        <v>918</v>
      </c>
      <c r="G83" s="6">
        <f t="shared" si="10"/>
        <v>40</v>
      </c>
      <c r="H83" s="9">
        <f t="shared" si="11"/>
        <v>0.27272727272727271</v>
      </c>
      <c r="I83" s="6" t="s">
        <v>5175</v>
      </c>
      <c r="J83" s="6">
        <v>2</v>
      </c>
      <c r="K83" s="9">
        <f t="shared" si="12"/>
        <v>3.6363636363636362E-2</v>
      </c>
      <c r="L83" s="6">
        <v>1</v>
      </c>
      <c r="M83" s="6">
        <v>2</v>
      </c>
      <c r="N83" s="6">
        <v>2</v>
      </c>
      <c r="O83" s="6" t="str">
        <f t="shared" si="13"/>
        <v>Correct</v>
      </c>
      <c r="P83" s="6"/>
      <c r="Q83" s="6">
        <v>2</v>
      </c>
      <c r="R83" s="6" t="str">
        <f t="shared" si="14"/>
        <v>Correct</v>
      </c>
      <c r="S83" s="6" t="s">
        <v>917</v>
      </c>
      <c r="T83" s="14">
        <v>2</v>
      </c>
      <c r="U83" s="6" t="str">
        <f t="shared" si="15"/>
        <v>Correct</v>
      </c>
      <c r="V83" s="15">
        <v>2</v>
      </c>
      <c r="W83" s="15" t="str">
        <f t="shared" si="16"/>
        <v>Correct</v>
      </c>
      <c r="X83" s="14">
        <v>2</v>
      </c>
      <c r="Y83" s="14" t="str">
        <f t="shared" si="17"/>
        <v>Correct</v>
      </c>
      <c r="Z83" s="6">
        <v>82</v>
      </c>
      <c r="AA83" s="6" t="s">
        <v>919</v>
      </c>
      <c r="AB83" s="6" t="s">
        <v>920</v>
      </c>
      <c r="AC83" s="6">
        <v>1</v>
      </c>
      <c r="AD83" s="6" t="s">
        <v>40</v>
      </c>
      <c r="AE83" s="6" t="s">
        <v>921</v>
      </c>
      <c r="AF83" s="6" t="s">
        <v>922</v>
      </c>
      <c r="AG83" s="6" t="s">
        <v>692</v>
      </c>
      <c r="AH83" s="6" t="s">
        <v>44</v>
      </c>
      <c r="AI83" s="6" t="s">
        <v>44</v>
      </c>
      <c r="AJ83" s="6" t="s">
        <v>44</v>
      </c>
      <c r="AK83" s="6" t="s">
        <v>923</v>
      </c>
      <c r="AL83" s="6" t="s">
        <v>5099</v>
      </c>
      <c r="AM83" s="6" t="s">
        <v>924</v>
      </c>
      <c r="AN83" s="6" t="s">
        <v>925</v>
      </c>
      <c r="AO83" s="6" t="s">
        <v>926</v>
      </c>
      <c r="AP83" s="6" t="s">
        <v>916</v>
      </c>
      <c r="AQ83" s="21" t="s">
        <v>916</v>
      </c>
      <c r="AR83" s="6" t="s">
        <v>916</v>
      </c>
      <c r="AS83" s="6" t="s">
        <v>927</v>
      </c>
      <c r="AT83" s="14">
        <v>2</v>
      </c>
      <c r="AU83" s="14">
        <v>2</v>
      </c>
      <c r="AV83" s="14">
        <v>2</v>
      </c>
      <c r="AW83" s="14">
        <v>2</v>
      </c>
      <c r="AX83" s="14">
        <v>2</v>
      </c>
      <c r="AY83" s="14">
        <v>2</v>
      </c>
      <c r="AZ83" s="14">
        <v>2</v>
      </c>
      <c r="BA83" s="2"/>
    </row>
    <row r="84" spans="1:53" ht="44" customHeight="1" x14ac:dyDescent="0.2">
      <c r="A84" s="6">
        <v>47636962</v>
      </c>
      <c r="B84" s="6"/>
      <c r="C84" s="7" t="s">
        <v>35</v>
      </c>
      <c r="D84" s="6" t="s">
        <v>928</v>
      </c>
      <c r="E84" s="6">
        <f t="shared" si="9"/>
        <v>156</v>
      </c>
      <c r="F84" s="6" t="s">
        <v>929</v>
      </c>
      <c r="G84" s="6">
        <f t="shared" si="10"/>
        <v>73</v>
      </c>
      <c r="H84" s="9">
        <f t="shared" si="11"/>
        <v>0.53205128205128205</v>
      </c>
      <c r="I84" s="6" t="s">
        <v>5176</v>
      </c>
      <c r="J84" s="6">
        <v>4</v>
      </c>
      <c r="K84" s="9">
        <f t="shared" si="12"/>
        <v>2.564102564102564E-2</v>
      </c>
      <c r="L84" s="6">
        <v>1</v>
      </c>
      <c r="M84" s="6">
        <v>2</v>
      </c>
      <c r="N84" s="6">
        <v>2</v>
      </c>
      <c r="O84" s="6" t="str">
        <f t="shared" si="13"/>
        <v>Correct</v>
      </c>
      <c r="P84" s="6"/>
      <c r="Q84" s="6">
        <v>2</v>
      </c>
      <c r="R84" s="6" t="str">
        <f t="shared" si="14"/>
        <v>Correct</v>
      </c>
      <c r="S84" s="6" t="s">
        <v>3594</v>
      </c>
      <c r="T84" s="14">
        <v>2</v>
      </c>
      <c r="U84" s="6" t="str">
        <f t="shared" si="15"/>
        <v>Correct</v>
      </c>
      <c r="V84" s="15">
        <v>1</v>
      </c>
      <c r="W84" s="15" t="str">
        <f t="shared" si="16"/>
        <v>Overtriaged</v>
      </c>
      <c r="X84" s="14">
        <v>2</v>
      </c>
      <c r="Y84" s="14" t="str">
        <f t="shared" si="17"/>
        <v>Correct</v>
      </c>
      <c r="Z84" s="6">
        <v>83</v>
      </c>
      <c r="AA84" s="6" t="s">
        <v>930</v>
      </c>
      <c r="AB84" s="6" t="s">
        <v>931</v>
      </c>
      <c r="AC84" s="6">
        <v>1</v>
      </c>
      <c r="AD84" s="6" t="s">
        <v>40</v>
      </c>
      <c r="AE84" s="6" t="s">
        <v>3921</v>
      </c>
      <c r="AF84" s="6" t="s">
        <v>3922</v>
      </c>
      <c r="AG84" s="6" t="s">
        <v>3923</v>
      </c>
      <c r="AH84" s="6" t="s">
        <v>44</v>
      </c>
      <c r="AI84" s="6" t="s">
        <v>44</v>
      </c>
      <c r="AJ84" s="6" t="s">
        <v>44</v>
      </c>
      <c r="AK84" s="6" t="s">
        <v>3924</v>
      </c>
      <c r="AL84" s="6" t="s">
        <v>5099</v>
      </c>
      <c r="AM84" s="6" t="s">
        <v>4663</v>
      </c>
      <c r="AN84" s="6" t="s">
        <v>4664</v>
      </c>
      <c r="AO84" s="6" t="s">
        <v>4665</v>
      </c>
      <c r="AP84" s="6" t="s">
        <v>928</v>
      </c>
      <c r="AQ84" s="21" t="s">
        <v>928</v>
      </c>
      <c r="AR84" s="6" t="s">
        <v>928</v>
      </c>
      <c r="AS84" s="6" t="s">
        <v>4666</v>
      </c>
      <c r="AT84" s="14">
        <v>2</v>
      </c>
      <c r="AU84" s="14">
        <v>2</v>
      </c>
      <c r="AV84" s="14">
        <v>2</v>
      </c>
      <c r="AW84" s="14">
        <v>2</v>
      </c>
      <c r="AX84" s="14">
        <v>2</v>
      </c>
      <c r="AY84" s="14">
        <v>2</v>
      </c>
      <c r="AZ84" s="14">
        <v>2</v>
      </c>
      <c r="BA84" s="2"/>
    </row>
    <row r="85" spans="1:53" ht="44" customHeight="1" x14ac:dyDescent="0.2">
      <c r="A85" s="6">
        <v>47697956</v>
      </c>
      <c r="B85" s="6"/>
      <c r="C85" s="7" t="s">
        <v>35</v>
      </c>
      <c r="D85" s="6" t="s">
        <v>932</v>
      </c>
      <c r="E85" s="6">
        <f t="shared" si="9"/>
        <v>117</v>
      </c>
      <c r="F85" s="6" t="s">
        <v>933</v>
      </c>
      <c r="G85" s="6">
        <f t="shared" si="10"/>
        <v>31</v>
      </c>
      <c r="H85" s="9">
        <f t="shared" si="11"/>
        <v>0.7350427350427351</v>
      </c>
      <c r="I85" s="6" t="s">
        <v>5177</v>
      </c>
      <c r="J85" s="6">
        <v>5</v>
      </c>
      <c r="K85" s="9">
        <f t="shared" si="12"/>
        <v>4.2735042735042736E-2</v>
      </c>
      <c r="L85" s="6">
        <v>1</v>
      </c>
      <c r="M85" s="6">
        <v>2</v>
      </c>
      <c r="N85" s="6">
        <v>2</v>
      </c>
      <c r="O85" s="6" t="str">
        <f t="shared" si="13"/>
        <v>Correct</v>
      </c>
      <c r="P85" s="6"/>
      <c r="Q85" s="6">
        <v>2</v>
      </c>
      <c r="R85" s="6" t="str">
        <f t="shared" si="14"/>
        <v>Correct</v>
      </c>
      <c r="S85" s="6" t="s">
        <v>3595</v>
      </c>
      <c r="T85" s="14">
        <v>2</v>
      </c>
      <c r="U85" s="6" t="str">
        <f t="shared" si="15"/>
        <v>Correct</v>
      </c>
      <c r="V85" s="15">
        <v>2</v>
      </c>
      <c r="W85" s="15" t="str">
        <f t="shared" si="16"/>
        <v>Correct</v>
      </c>
      <c r="X85" s="14">
        <v>2</v>
      </c>
      <c r="Y85" s="14" t="str">
        <f t="shared" si="17"/>
        <v>Correct</v>
      </c>
      <c r="Z85" s="6">
        <v>84</v>
      </c>
      <c r="AA85" s="6" t="s">
        <v>934</v>
      </c>
      <c r="AB85" s="6" t="s">
        <v>935</v>
      </c>
      <c r="AC85" s="6">
        <v>1</v>
      </c>
      <c r="AD85" s="6" t="s">
        <v>40</v>
      </c>
      <c r="AE85" s="6" t="s">
        <v>717</v>
      </c>
      <c r="AF85" s="6" t="s">
        <v>936</v>
      </c>
      <c r="AG85" s="6" t="s">
        <v>3925</v>
      </c>
      <c r="AH85" s="6" t="s">
        <v>44</v>
      </c>
      <c r="AI85" s="6" t="s">
        <v>44</v>
      </c>
      <c r="AJ85" s="6" t="s">
        <v>44</v>
      </c>
      <c r="AK85" s="6" t="s">
        <v>937</v>
      </c>
      <c r="AL85" s="6" t="s">
        <v>5099</v>
      </c>
      <c r="AM85" s="6" t="s">
        <v>938</v>
      </c>
      <c r="AN85" s="6" t="s">
        <v>939</v>
      </c>
      <c r="AO85" s="6" t="s">
        <v>4667</v>
      </c>
      <c r="AP85" s="6" t="s">
        <v>932</v>
      </c>
      <c r="AQ85" s="21" t="s">
        <v>932</v>
      </c>
      <c r="AR85" s="6" t="s">
        <v>932</v>
      </c>
      <c r="AS85" s="6" t="s">
        <v>940</v>
      </c>
      <c r="AT85" s="14">
        <v>2</v>
      </c>
      <c r="AU85" s="14">
        <v>2</v>
      </c>
      <c r="AV85" s="14">
        <v>2</v>
      </c>
      <c r="AW85" s="14">
        <v>2</v>
      </c>
      <c r="AX85" s="14">
        <v>2</v>
      </c>
      <c r="AY85" s="14">
        <v>2</v>
      </c>
      <c r="AZ85" s="14">
        <v>2</v>
      </c>
      <c r="BA85" s="2"/>
    </row>
    <row r="86" spans="1:53" ht="44" customHeight="1" x14ac:dyDescent="0.2">
      <c r="A86" s="6">
        <v>47761339</v>
      </c>
      <c r="B86" s="6"/>
      <c r="C86" s="7" t="s">
        <v>35</v>
      </c>
      <c r="D86" s="6" t="s">
        <v>941</v>
      </c>
      <c r="E86" s="6">
        <f t="shared" si="9"/>
        <v>62</v>
      </c>
      <c r="F86" s="6" t="s">
        <v>942</v>
      </c>
      <c r="G86" s="6">
        <f t="shared" si="10"/>
        <v>17</v>
      </c>
      <c r="H86" s="9">
        <f t="shared" si="11"/>
        <v>0.72580645161290325</v>
      </c>
      <c r="I86" s="6"/>
      <c r="J86" s="6">
        <v>0</v>
      </c>
      <c r="K86" s="9">
        <f t="shared" si="12"/>
        <v>0</v>
      </c>
      <c r="L86" s="6">
        <v>1</v>
      </c>
      <c r="M86" s="6">
        <v>2</v>
      </c>
      <c r="N86" s="6">
        <v>2</v>
      </c>
      <c r="O86" s="6" t="str">
        <f t="shared" si="13"/>
        <v>Correct</v>
      </c>
      <c r="P86" s="6"/>
      <c r="Q86" s="6">
        <v>2</v>
      </c>
      <c r="R86" s="6" t="str">
        <f t="shared" si="14"/>
        <v>Correct</v>
      </c>
      <c r="S86" s="6" t="s">
        <v>3596</v>
      </c>
      <c r="T86" s="14">
        <v>2</v>
      </c>
      <c r="U86" s="6" t="str">
        <f t="shared" si="15"/>
        <v>Correct</v>
      </c>
      <c r="V86" s="15">
        <v>3</v>
      </c>
      <c r="W86" s="15" t="str">
        <f t="shared" si="16"/>
        <v>Undertriaged</v>
      </c>
      <c r="X86" s="14">
        <v>2</v>
      </c>
      <c r="Y86" s="14" t="str">
        <f t="shared" si="17"/>
        <v>Correct</v>
      </c>
      <c r="Z86" s="6">
        <v>85</v>
      </c>
      <c r="AA86" s="6" t="s">
        <v>943</v>
      </c>
      <c r="AB86" s="6" t="s">
        <v>944</v>
      </c>
      <c r="AC86" s="6">
        <v>1</v>
      </c>
      <c r="AD86" s="6" t="s">
        <v>40</v>
      </c>
      <c r="AE86" s="6" t="s">
        <v>454</v>
      </c>
      <c r="AF86" s="6" t="s">
        <v>44</v>
      </c>
      <c r="AG86" s="6" t="s">
        <v>44</v>
      </c>
      <c r="AH86" s="6" t="s">
        <v>44</v>
      </c>
      <c r="AI86" s="6" t="s">
        <v>44</v>
      </c>
      <c r="AJ86" s="6" t="s">
        <v>44</v>
      </c>
      <c r="AK86" s="6" t="s">
        <v>3926</v>
      </c>
      <c r="AL86" s="6" t="s">
        <v>5100</v>
      </c>
      <c r="AM86" s="6" t="s">
        <v>945</v>
      </c>
      <c r="AN86" s="6" t="s">
        <v>941</v>
      </c>
      <c r="AO86" s="6" t="s">
        <v>941</v>
      </c>
      <c r="AP86" s="6" t="s">
        <v>941</v>
      </c>
      <c r="AQ86" s="21" t="s">
        <v>941</v>
      </c>
      <c r="AR86" s="6" t="s">
        <v>941</v>
      </c>
      <c r="AS86" s="6" t="s">
        <v>4668</v>
      </c>
      <c r="AT86" s="14">
        <v>2</v>
      </c>
      <c r="AU86" s="14">
        <v>2</v>
      </c>
      <c r="AV86" s="14">
        <v>2</v>
      </c>
      <c r="AW86" s="14">
        <v>2</v>
      </c>
      <c r="AX86" s="14">
        <v>2</v>
      </c>
      <c r="AY86" s="14">
        <v>2</v>
      </c>
      <c r="AZ86" s="14">
        <v>2</v>
      </c>
      <c r="BA86" s="2"/>
    </row>
    <row r="87" spans="1:53" ht="44" customHeight="1" x14ac:dyDescent="0.2">
      <c r="A87" s="6">
        <v>47863636</v>
      </c>
      <c r="B87" s="6"/>
      <c r="C87" s="7" t="s">
        <v>35</v>
      </c>
      <c r="D87" s="6" t="s">
        <v>946</v>
      </c>
      <c r="E87" s="6">
        <f t="shared" si="9"/>
        <v>180</v>
      </c>
      <c r="F87" s="6" t="s">
        <v>947</v>
      </c>
      <c r="G87" s="6">
        <f t="shared" si="10"/>
        <v>41</v>
      </c>
      <c r="H87" s="9">
        <f t="shared" si="11"/>
        <v>0.77222222222222225</v>
      </c>
      <c r="I87" s="6" t="s">
        <v>5178</v>
      </c>
      <c r="J87" s="6">
        <v>5</v>
      </c>
      <c r="K87" s="9">
        <f t="shared" si="12"/>
        <v>2.7777777777777776E-2</v>
      </c>
      <c r="L87" s="6">
        <v>22</v>
      </c>
      <c r="M87" s="6">
        <v>1</v>
      </c>
      <c r="N87" s="6">
        <v>1</v>
      </c>
      <c r="O87" s="6" t="str">
        <f t="shared" si="13"/>
        <v>Correct</v>
      </c>
      <c r="P87" s="6"/>
      <c r="Q87" s="6">
        <v>1</v>
      </c>
      <c r="R87" s="6" t="str">
        <f t="shared" si="14"/>
        <v>Correct</v>
      </c>
      <c r="S87" s="6" t="s">
        <v>3597</v>
      </c>
      <c r="T87" s="14">
        <v>1</v>
      </c>
      <c r="U87" s="6" t="str">
        <f t="shared" si="15"/>
        <v>Correct</v>
      </c>
      <c r="V87" s="15">
        <v>2</v>
      </c>
      <c r="W87" s="15" t="str">
        <f t="shared" si="16"/>
        <v>Undertriaged</v>
      </c>
      <c r="X87" s="14">
        <v>1</v>
      </c>
      <c r="Y87" s="14" t="str">
        <f t="shared" si="17"/>
        <v>Correct</v>
      </c>
      <c r="Z87" s="6">
        <v>86</v>
      </c>
      <c r="AA87" s="6" t="s">
        <v>38</v>
      </c>
      <c r="AB87" s="6" t="s">
        <v>948</v>
      </c>
      <c r="AC87" s="6">
        <v>1</v>
      </c>
      <c r="AD87" s="6" t="s">
        <v>40</v>
      </c>
      <c r="AE87" s="6" t="s">
        <v>949</v>
      </c>
      <c r="AF87" s="6" t="s">
        <v>950</v>
      </c>
      <c r="AG87" s="6" t="s">
        <v>44</v>
      </c>
      <c r="AH87" s="6" t="s">
        <v>44</v>
      </c>
      <c r="AI87" s="6" t="s">
        <v>951</v>
      </c>
      <c r="AJ87" s="6" t="s">
        <v>3927</v>
      </c>
      <c r="AK87" s="6" t="s">
        <v>952</v>
      </c>
      <c r="AL87" s="6" t="s">
        <v>3478</v>
      </c>
      <c r="AM87" s="6" t="s">
        <v>4669</v>
      </c>
      <c r="AN87" s="6" t="s">
        <v>953</v>
      </c>
      <c r="AO87" s="6" t="s">
        <v>946</v>
      </c>
      <c r="AP87" s="6" t="s">
        <v>946</v>
      </c>
      <c r="AQ87" s="21" t="s">
        <v>954</v>
      </c>
      <c r="AR87" s="6" t="s">
        <v>4670</v>
      </c>
      <c r="AS87" s="6" t="s">
        <v>955</v>
      </c>
      <c r="AT87" s="14">
        <v>1</v>
      </c>
      <c r="AU87" s="14">
        <v>1</v>
      </c>
      <c r="AV87" s="14">
        <v>1</v>
      </c>
      <c r="AW87" s="14">
        <v>1</v>
      </c>
      <c r="AX87" s="14">
        <v>1</v>
      </c>
      <c r="AY87" s="14">
        <v>1</v>
      </c>
      <c r="AZ87" s="14">
        <v>1</v>
      </c>
      <c r="BA87" s="2"/>
    </row>
    <row r="88" spans="1:53" ht="44" customHeight="1" x14ac:dyDescent="0.2">
      <c r="A88" s="6">
        <v>47909350</v>
      </c>
      <c r="B88" s="6"/>
      <c r="C88" s="7" t="s">
        <v>35</v>
      </c>
      <c r="D88" s="6" t="s">
        <v>956</v>
      </c>
      <c r="E88" s="6">
        <f t="shared" si="9"/>
        <v>294</v>
      </c>
      <c r="F88" s="6" t="s">
        <v>957</v>
      </c>
      <c r="G88" s="6">
        <f t="shared" si="10"/>
        <v>53</v>
      </c>
      <c r="H88" s="9">
        <f t="shared" si="11"/>
        <v>0.81972789115646261</v>
      </c>
      <c r="I88" s="6" t="s">
        <v>5179</v>
      </c>
      <c r="J88" s="6">
        <v>3</v>
      </c>
      <c r="K88" s="9">
        <f t="shared" si="12"/>
        <v>1.020408163265306E-2</v>
      </c>
      <c r="L88" s="6">
        <v>1</v>
      </c>
      <c r="M88" s="6">
        <v>2</v>
      </c>
      <c r="N88" s="6">
        <v>2</v>
      </c>
      <c r="O88" s="6" t="str">
        <f t="shared" si="13"/>
        <v>Correct</v>
      </c>
      <c r="P88" s="6"/>
      <c r="Q88" s="6">
        <v>2</v>
      </c>
      <c r="R88" s="6" t="str">
        <f t="shared" si="14"/>
        <v>Correct</v>
      </c>
      <c r="S88" s="6" t="s">
        <v>3598</v>
      </c>
      <c r="T88" s="14">
        <v>2</v>
      </c>
      <c r="U88" s="6" t="str">
        <f t="shared" si="15"/>
        <v>Correct</v>
      </c>
      <c r="V88" s="15">
        <v>2</v>
      </c>
      <c r="W88" s="15" t="str">
        <f t="shared" si="16"/>
        <v>Correct</v>
      </c>
      <c r="X88" s="14">
        <v>2</v>
      </c>
      <c r="Y88" s="14" t="str">
        <f t="shared" si="17"/>
        <v>Correct</v>
      </c>
      <c r="Z88" s="6">
        <v>87</v>
      </c>
      <c r="AA88" s="6" t="s">
        <v>958</v>
      </c>
      <c r="AB88" s="6" t="s">
        <v>959</v>
      </c>
      <c r="AC88" s="6">
        <v>1</v>
      </c>
      <c r="AD88" s="6" t="s">
        <v>40</v>
      </c>
      <c r="AE88" s="6" t="s">
        <v>69</v>
      </c>
      <c r="AF88" s="6" t="s">
        <v>3928</v>
      </c>
      <c r="AG88" s="6" t="s">
        <v>960</v>
      </c>
      <c r="AH88" s="6" t="s">
        <v>961</v>
      </c>
      <c r="AI88" s="6" t="s">
        <v>44</v>
      </c>
      <c r="AJ88" s="6" t="s">
        <v>3929</v>
      </c>
      <c r="AK88" s="6" t="s">
        <v>3930</v>
      </c>
      <c r="AL88" s="6" t="s">
        <v>3477</v>
      </c>
      <c r="AM88" s="6" t="s">
        <v>962</v>
      </c>
      <c r="AN88" s="6" t="s">
        <v>963</v>
      </c>
      <c r="AO88" s="6" t="s">
        <v>964</v>
      </c>
      <c r="AP88" s="6" t="s">
        <v>965</v>
      </c>
      <c r="AQ88" s="21" t="s">
        <v>956</v>
      </c>
      <c r="AR88" s="6" t="s">
        <v>4671</v>
      </c>
      <c r="AS88" s="6" t="s">
        <v>4672</v>
      </c>
      <c r="AT88" s="14">
        <v>2</v>
      </c>
      <c r="AU88" s="14">
        <v>2</v>
      </c>
      <c r="AV88" s="14">
        <v>2</v>
      </c>
      <c r="AW88" s="14">
        <v>2</v>
      </c>
      <c r="AX88" s="14">
        <v>2</v>
      </c>
      <c r="AY88" s="14">
        <v>2</v>
      </c>
      <c r="AZ88" s="14">
        <v>2</v>
      </c>
      <c r="BA88" s="2"/>
    </row>
    <row r="89" spans="1:53" ht="44" customHeight="1" x14ac:dyDescent="0.2">
      <c r="A89" s="6">
        <v>47983710</v>
      </c>
      <c r="B89" s="6"/>
      <c r="C89" s="7" t="s">
        <v>35</v>
      </c>
      <c r="D89" s="6" t="s">
        <v>966</v>
      </c>
      <c r="E89" s="6">
        <f t="shared" si="9"/>
        <v>165</v>
      </c>
      <c r="F89" s="6" t="s">
        <v>968</v>
      </c>
      <c r="G89" s="6">
        <f t="shared" si="10"/>
        <v>82</v>
      </c>
      <c r="H89" s="9">
        <f t="shared" si="11"/>
        <v>0.50303030303030305</v>
      </c>
      <c r="I89" s="6" t="s">
        <v>5180</v>
      </c>
      <c r="J89" s="6">
        <v>2</v>
      </c>
      <c r="K89" s="9">
        <f t="shared" si="12"/>
        <v>1.2121212121212121E-2</v>
      </c>
      <c r="L89" s="6">
        <v>1</v>
      </c>
      <c r="M89" s="6">
        <v>2</v>
      </c>
      <c r="N89" s="6">
        <v>1</v>
      </c>
      <c r="O89" s="6" t="str">
        <f t="shared" si="13"/>
        <v>Overtriaged</v>
      </c>
      <c r="P89" s="6"/>
      <c r="Q89" s="6">
        <v>2</v>
      </c>
      <c r="R89" s="6" t="str">
        <f t="shared" si="14"/>
        <v>Correct</v>
      </c>
      <c r="S89" s="6" t="s">
        <v>967</v>
      </c>
      <c r="T89" s="14">
        <v>2</v>
      </c>
      <c r="U89" s="6" t="str">
        <f t="shared" si="15"/>
        <v>Correct</v>
      </c>
      <c r="V89" s="15">
        <v>2</v>
      </c>
      <c r="W89" s="15" t="str">
        <f t="shared" si="16"/>
        <v>Correct</v>
      </c>
      <c r="X89" s="14">
        <v>2</v>
      </c>
      <c r="Y89" s="14" t="str">
        <f t="shared" si="17"/>
        <v>Correct</v>
      </c>
      <c r="Z89" s="6">
        <v>88</v>
      </c>
      <c r="AA89" s="6" t="s">
        <v>969</v>
      </c>
      <c r="AB89" s="6" t="s">
        <v>970</v>
      </c>
      <c r="AC89" s="6">
        <v>1</v>
      </c>
      <c r="AD89" s="6" t="s">
        <v>40</v>
      </c>
      <c r="AE89" s="6" t="s">
        <v>971</v>
      </c>
      <c r="AF89" s="6" t="s">
        <v>972</v>
      </c>
      <c r="AG89" s="6" t="s">
        <v>44</v>
      </c>
      <c r="AH89" s="6" t="s">
        <v>44</v>
      </c>
      <c r="AI89" s="6" t="s">
        <v>4348</v>
      </c>
      <c r="AJ89" s="6" t="s">
        <v>973</v>
      </c>
      <c r="AK89" s="6" t="s">
        <v>3931</v>
      </c>
      <c r="AL89" s="6" t="s">
        <v>3478</v>
      </c>
      <c r="AM89" s="6" t="s">
        <v>974</v>
      </c>
      <c r="AN89" s="6" t="s">
        <v>975</v>
      </c>
      <c r="AO89" s="6" t="s">
        <v>966</v>
      </c>
      <c r="AP89" s="6" t="s">
        <v>966</v>
      </c>
      <c r="AQ89" s="21" t="s">
        <v>4439</v>
      </c>
      <c r="AR89" s="6" t="s">
        <v>976</v>
      </c>
      <c r="AS89" s="6" t="s">
        <v>4673</v>
      </c>
      <c r="AT89" s="14">
        <v>2</v>
      </c>
      <c r="AU89" s="14">
        <v>2</v>
      </c>
      <c r="AV89" s="14">
        <v>2</v>
      </c>
      <c r="AW89" s="14">
        <v>2</v>
      </c>
      <c r="AX89" s="14">
        <v>2</v>
      </c>
      <c r="AY89" s="14">
        <v>2</v>
      </c>
      <c r="AZ89" s="14">
        <v>2</v>
      </c>
      <c r="BA89" s="2"/>
    </row>
    <row r="90" spans="1:53" ht="44" customHeight="1" x14ac:dyDescent="0.2">
      <c r="A90" s="6">
        <v>47991566</v>
      </c>
      <c r="B90" s="6"/>
      <c r="C90" s="7" t="s">
        <v>35</v>
      </c>
      <c r="D90" s="6" t="s">
        <v>977</v>
      </c>
      <c r="E90" s="6">
        <f t="shared" si="9"/>
        <v>82</v>
      </c>
      <c r="F90" s="6" t="s">
        <v>978</v>
      </c>
      <c r="G90" s="6">
        <f t="shared" si="10"/>
        <v>31</v>
      </c>
      <c r="H90" s="9">
        <f t="shared" si="11"/>
        <v>0.62195121951219512</v>
      </c>
      <c r="I90" s="6"/>
      <c r="J90" s="6">
        <v>0</v>
      </c>
      <c r="K90" s="9">
        <f t="shared" si="12"/>
        <v>0</v>
      </c>
      <c r="L90" s="6">
        <v>1</v>
      </c>
      <c r="M90" s="6">
        <v>2</v>
      </c>
      <c r="N90" s="6">
        <v>2</v>
      </c>
      <c r="O90" s="6" t="str">
        <f t="shared" si="13"/>
        <v>Correct</v>
      </c>
      <c r="P90" s="6"/>
      <c r="Q90" s="6">
        <v>2</v>
      </c>
      <c r="R90" s="6" t="str">
        <f t="shared" si="14"/>
        <v>Correct</v>
      </c>
      <c r="S90" s="6" t="s">
        <v>3599</v>
      </c>
      <c r="T90" s="14">
        <v>2</v>
      </c>
      <c r="U90" s="6" t="str">
        <f t="shared" si="15"/>
        <v>Correct</v>
      </c>
      <c r="V90" s="15">
        <v>2</v>
      </c>
      <c r="W90" s="15" t="str">
        <f t="shared" si="16"/>
        <v>Correct</v>
      </c>
      <c r="X90" s="14">
        <v>2</v>
      </c>
      <c r="Y90" s="14" t="str">
        <f t="shared" si="17"/>
        <v>Correct</v>
      </c>
      <c r="Z90" s="6">
        <v>89</v>
      </c>
      <c r="AA90" s="6" t="s">
        <v>979</v>
      </c>
      <c r="AB90" s="6" t="s">
        <v>980</v>
      </c>
      <c r="AC90" s="6">
        <v>1</v>
      </c>
      <c r="AD90" s="6" t="s">
        <v>40</v>
      </c>
      <c r="AE90" s="6" t="s">
        <v>981</v>
      </c>
      <c r="AF90" s="6" t="s">
        <v>982</v>
      </c>
      <c r="AG90" s="6" t="s">
        <v>983</v>
      </c>
      <c r="AH90" s="6" t="s">
        <v>984</v>
      </c>
      <c r="AI90" s="6" t="s">
        <v>3394</v>
      </c>
      <c r="AJ90" s="6" t="s">
        <v>985</v>
      </c>
      <c r="AK90" s="6" t="s">
        <v>3932</v>
      </c>
      <c r="AL90" s="6" t="s">
        <v>3477</v>
      </c>
      <c r="AM90" s="6" t="s">
        <v>986</v>
      </c>
      <c r="AN90" s="6" t="s">
        <v>987</v>
      </c>
      <c r="AO90" s="6" t="s">
        <v>988</v>
      </c>
      <c r="AP90" s="6" t="s">
        <v>989</v>
      </c>
      <c r="AQ90" s="21" t="s">
        <v>977</v>
      </c>
      <c r="AR90" s="6" t="s">
        <v>990</v>
      </c>
      <c r="AS90" s="6" t="s">
        <v>4674</v>
      </c>
      <c r="AT90" s="14">
        <v>2</v>
      </c>
      <c r="AU90" s="14">
        <v>2</v>
      </c>
      <c r="AV90" s="14">
        <v>2</v>
      </c>
      <c r="AW90" s="14">
        <v>2</v>
      </c>
      <c r="AX90" s="14">
        <v>2</v>
      </c>
      <c r="AY90" s="14">
        <v>2</v>
      </c>
      <c r="AZ90" s="14">
        <v>2</v>
      </c>
      <c r="BA90" s="2"/>
    </row>
    <row r="91" spans="1:53" ht="44" customHeight="1" x14ac:dyDescent="0.2">
      <c r="A91" s="6">
        <v>48049721</v>
      </c>
      <c r="B91" s="6"/>
      <c r="C91" s="7" t="s">
        <v>35</v>
      </c>
      <c r="D91" s="6" t="s">
        <v>991</v>
      </c>
      <c r="E91" s="6">
        <f t="shared" si="9"/>
        <v>143</v>
      </c>
      <c r="F91" s="6" t="s">
        <v>992</v>
      </c>
      <c r="G91" s="6">
        <f t="shared" si="10"/>
        <v>132</v>
      </c>
      <c r="H91" s="9">
        <f t="shared" si="11"/>
        <v>7.6923076923076927E-2</v>
      </c>
      <c r="I91" s="6" t="s">
        <v>5181</v>
      </c>
      <c r="J91" s="6">
        <v>3</v>
      </c>
      <c r="K91" s="9">
        <f t="shared" si="12"/>
        <v>2.097902097902098E-2</v>
      </c>
      <c r="L91" s="6">
        <v>1</v>
      </c>
      <c r="M91" s="6">
        <v>2</v>
      </c>
      <c r="N91" s="6">
        <v>2</v>
      </c>
      <c r="O91" s="6" t="str">
        <f t="shared" si="13"/>
        <v>Correct</v>
      </c>
      <c r="P91" s="6"/>
      <c r="Q91" s="6">
        <v>2</v>
      </c>
      <c r="R91" s="6" t="str">
        <f t="shared" si="14"/>
        <v>Correct</v>
      </c>
      <c r="S91" s="6" t="s">
        <v>3600</v>
      </c>
      <c r="T91" s="14">
        <v>2</v>
      </c>
      <c r="U91" s="6" t="str">
        <f t="shared" si="15"/>
        <v>Correct</v>
      </c>
      <c r="V91" s="15">
        <v>2</v>
      </c>
      <c r="W91" s="15" t="str">
        <f t="shared" si="16"/>
        <v>Correct</v>
      </c>
      <c r="X91" s="14">
        <v>2</v>
      </c>
      <c r="Y91" s="14" t="str">
        <f t="shared" si="17"/>
        <v>Correct</v>
      </c>
      <c r="Z91" s="6">
        <v>90</v>
      </c>
      <c r="AA91" s="6" t="s">
        <v>993</v>
      </c>
      <c r="AB91" s="6" t="s">
        <v>994</v>
      </c>
      <c r="AC91" s="6">
        <v>2</v>
      </c>
      <c r="AD91" s="6" t="s">
        <v>120</v>
      </c>
      <c r="AE91" s="6" t="s">
        <v>783</v>
      </c>
      <c r="AF91" s="6" t="s">
        <v>44</v>
      </c>
      <c r="AG91" s="6" t="s">
        <v>44</v>
      </c>
      <c r="AH91" s="6" t="s">
        <v>44</v>
      </c>
      <c r="AI91" s="6" t="s">
        <v>44</v>
      </c>
      <c r="AJ91" s="6" t="s">
        <v>1123</v>
      </c>
      <c r="AK91" s="6" t="s">
        <v>3933</v>
      </c>
      <c r="AL91" s="6" t="s">
        <v>3480</v>
      </c>
      <c r="AM91" s="6" t="s">
        <v>995</v>
      </c>
      <c r="AN91" s="6" t="s">
        <v>991</v>
      </c>
      <c r="AO91" s="6" t="s">
        <v>991</v>
      </c>
      <c r="AP91" s="6" t="s">
        <v>991</v>
      </c>
      <c r="AQ91" s="21" t="s">
        <v>991</v>
      </c>
      <c r="AR91" s="6" t="s">
        <v>4675</v>
      </c>
      <c r="AS91" s="6" t="s">
        <v>4676</v>
      </c>
      <c r="AT91" s="14">
        <v>2</v>
      </c>
      <c r="AU91" s="14">
        <v>2</v>
      </c>
      <c r="AV91" s="14">
        <v>2</v>
      </c>
      <c r="AW91" s="14">
        <v>2</v>
      </c>
      <c r="AX91" s="14">
        <v>2</v>
      </c>
      <c r="AY91" s="14">
        <v>2</v>
      </c>
      <c r="AZ91" s="14">
        <v>2</v>
      </c>
      <c r="BA91" s="2"/>
    </row>
    <row r="92" spans="1:53" ht="44" customHeight="1" x14ac:dyDescent="0.2">
      <c r="A92" s="6">
        <v>48203596</v>
      </c>
      <c r="B92" s="6"/>
      <c r="C92" s="7" t="s">
        <v>35</v>
      </c>
      <c r="D92" s="6" t="s">
        <v>996</v>
      </c>
      <c r="E92" s="6">
        <f t="shared" si="9"/>
        <v>87</v>
      </c>
      <c r="F92" s="6" t="s">
        <v>997</v>
      </c>
      <c r="G92" s="6">
        <f t="shared" si="10"/>
        <v>39</v>
      </c>
      <c r="H92" s="9">
        <f t="shared" si="11"/>
        <v>0.55172413793103448</v>
      </c>
      <c r="I92" s="6" t="s">
        <v>5182</v>
      </c>
      <c r="J92" s="6">
        <v>3</v>
      </c>
      <c r="K92" s="9">
        <f t="shared" si="12"/>
        <v>3.4482758620689655E-2</v>
      </c>
      <c r="L92" s="6">
        <v>1</v>
      </c>
      <c r="M92" s="6">
        <v>2</v>
      </c>
      <c r="N92" s="6">
        <v>2</v>
      </c>
      <c r="O92" s="6" t="str">
        <f t="shared" si="13"/>
        <v>Correct</v>
      </c>
      <c r="P92" s="6"/>
      <c r="Q92" s="6">
        <v>2</v>
      </c>
      <c r="R92" s="6" t="str">
        <f t="shared" si="14"/>
        <v>Correct</v>
      </c>
      <c r="S92" s="6" t="s">
        <v>3782</v>
      </c>
      <c r="T92" s="14">
        <v>2</v>
      </c>
      <c r="U92" s="6" t="str">
        <f t="shared" si="15"/>
        <v>Correct</v>
      </c>
      <c r="V92" s="15">
        <v>2</v>
      </c>
      <c r="W92" s="15" t="str">
        <f t="shared" si="16"/>
        <v>Correct</v>
      </c>
      <c r="X92" s="14">
        <v>2</v>
      </c>
      <c r="Y92" s="14" t="str">
        <f t="shared" si="17"/>
        <v>Correct</v>
      </c>
      <c r="Z92" s="6">
        <v>91</v>
      </c>
      <c r="AA92" s="6" t="s">
        <v>998</v>
      </c>
      <c r="AB92" s="6" t="s">
        <v>999</v>
      </c>
      <c r="AC92" s="6">
        <v>1</v>
      </c>
      <c r="AD92" s="6" t="s">
        <v>40</v>
      </c>
      <c r="AE92" s="6" t="s">
        <v>1000</v>
      </c>
      <c r="AF92" s="6" t="s">
        <v>1001</v>
      </c>
      <c r="AG92" s="6" t="s">
        <v>1002</v>
      </c>
      <c r="AH92" s="6" t="s">
        <v>44</v>
      </c>
      <c r="AI92" s="6" t="s">
        <v>3395</v>
      </c>
      <c r="AJ92" s="6" t="s">
        <v>3395</v>
      </c>
      <c r="AK92" s="6" t="s">
        <v>3934</v>
      </c>
      <c r="AL92" s="6" t="s">
        <v>3476</v>
      </c>
      <c r="AM92" s="6" t="s">
        <v>1003</v>
      </c>
      <c r="AN92" s="6" t="s">
        <v>1004</v>
      </c>
      <c r="AO92" s="6" t="s">
        <v>1005</v>
      </c>
      <c r="AP92" s="6" t="s">
        <v>996</v>
      </c>
      <c r="AQ92" s="21" t="s">
        <v>4440</v>
      </c>
      <c r="AR92" s="6" t="s">
        <v>4440</v>
      </c>
      <c r="AS92" s="6" t="s">
        <v>4677</v>
      </c>
      <c r="AT92" s="14">
        <v>2</v>
      </c>
      <c r="AU92" s="14">
        <v>2</v>
      </c>
      <c r="AV92" s="14">
        <v>2</v>
      </c>
      <c r="AW92" s="14">
        <v>2</v>
      </c>
      <c r="AX92" s="14">
        <v>2</v>
      </c>
      <c r="AY92" s="14">
        <v>2</v>
      </c>
      <c r="AZ92" s="14">
        <v>2</v>
      </c>
      <c r="BA92" s="2"/>
    </row>
    <row r="93" spans="1:53" ht="44" customHeight="1" x14ac:dyDescent="0.2">
      <c r="A93" s="6">
        <v>48256081</v>
      </c>
      <c r="B93" s="6"/>
      <c r="C93" s="7" t="s">
        <v>35</v>
      </c>
      <c r="D93" s="6" t="s">
        <v>1006</v>
      </c>
      <c r="E93" s="6">
        <f t="shared" si="9"/>
        <v>157</v>
      </c>
      <c r="F93" s="6" t="s">
        <v>1007</v>
      </c>
      <c r="G93" s="6">
        <f t="shared" si="10"/>
        <v>61</v>
      </c>
      <c r="H93" s="9">
        <f t="shared" si="11"/>
        <v>0.61146496815286622</v>
      </c>
      <c r="I93" s="6"/>
      <c r="J93" s="6">
        <v>0</v>
      </c>
      <c r="K93" s="9">
        <f t="shared" si="12"/>
        <v>0</v>
      </c>
      <c r="L93" s="6">
        <v>1</v>
      </c>
      <c r="M93" s="6">
        <v>2</v>
      </c>
      <c r="N93" s="6">
        <v>2</v>
      </c>
      <c r="O93" s="6" t="str">
        <f t="shared" si="13"/>
        <v>Correct</v>
      </c>
      <c r="P93" s="6"/>
      <c r="Q93" s="6">
        <v>2</v>
      </c>
      <c r="R93" s="6" t="str">
        <f t="shared" si="14"/>
        <v>Correct</v>
      </c>
      <c r="S93" s="6" t="s">
        <v>3601</v>
      </c>
      <c r="T93" s="14">
        <v>2</v>
      </c>
      <c r="U93" s="6" t="str">
        <f t="shared" si="15"/>
        <v>Correct</v>
      </c>
      <c r="V93" s="15">
        <v>2</v>
      </c>
      <c r="W93" s="15" t="str">
        <f t="shared" si="16"/>
        <v>Correct</v>
      </c>
      <c r="X93" s="14">
        <v>2</v>
      </c>
      <c r="Y93" s="14" t="str">
        <f t="shared" si="17"/>
        <v>Correct</v>
      </c>
      <c r="Z93" s="6">
        <v>92</v>
      </c>
      <c r="AA93" s="6" t="s">
        <v>1008</v>
      </c>
      <c r="AB93" s="6" t="s">
        <v>1009</v>
      </c>
      <c r="AC93" s="6">
        <v>1</v>
      </c>
      <c r="AD93" s="6" t="s">
        <v>40</v>
      </c>
      <c r="AE93" s="6" t="s">
        <v>1010</v>
      </c>
      <c r="AF93" s="6" t="s">
        <v>44</v>
      </c>
      <c r="AG93" s="6" t="s">
        <v>44</v>
      </c>
      <c r="AH93" s="6" t="s">
        <v>44</v>
      </c>
      <c r="AI93" s="6" t="s">
        <v>44</v>
      </c>
      <c r="AJ93" s="6" t="s">
        <v>1011</v>
      </c>
      <c r="AK93" s="6" t="s">
        <v>3935</v>
      </c>
      <c r="AL93" s="6" t="s">
        <v>3480</v>
      </c>
      <c r="AM93" s="6" t="s">
        <v>1012</v>
      </c>
      <c r="AN93" s="6" t="s">
        <v>1006</v>
      </c>
      <c r="AO93" s="6" t="s">
        <v>1006</v>
      </c>
      <c r="AP93" s="6" t="s">
        <v>1006</v>
      </c>
      <c r="AQ93" s="21" t="s">
        <v>1006</v>
      </c>
      <c r="AR93" s="6" t="s">
        <v>1013</v>
      </c>
      <c r="AS93" s="6" t="s">
        <v>4678</v>
      </c>
      <c r="AT93" s="14">
        <v>2</v>
      </c>
      <c r="AU93" s="14">
        <v>2</v>
      </c>
      <c r="AV93" s="14">
        <v>2</v>
      </c>
      <c r="AW93" s="14">
        <v>2</v>
      </c>
      <c r="AX93" s="14">
        <v>2</v>
      </c>
      <c r="AY93" s="14">
        <v>2</v>
      </c>
      <c r="AZ93" s="14">
        <v>2</v>
      </c>
      <c r="BA93" s="2"/>
    </row>
    <row r="94" spans="1:53" ht="44" customHeight="1" x14ac:dyDescent="0.2">
      <c r="A94" s="6">
        <v>48465488</v>
      </c>
      <c r="B94" s="6"/>
      <c r="C94" s="7" t="s">
        <v>35</v>
      </c>
      <c r="D94" s="6" t="s">
        <v>1014</v>
      </c>
      <c r="E94" s="6">
        <f t="shared" si="9"/>
        <v>122</v>
      </c>
      <c r="F94" s="6" t="s">
        <v>1015</v>
      </c>
      <c r="G94" s="6">
        <f t="shared" si="10"/>
        <v>45</v>
      </c>
      <c r="H94" s="9">
        <f t="shared" si="11"/>
        <v>0.63114754098360659</v>
      </c>
      <c r="I94" s="6" t="s">
        <v>5183</v>
      </c>
      <c r="J94" s="6">
        <v>3</v>
      </c>
      <c r="K94" s="9">
        <f t="shared" si="12"/>
        <v>2.4590163934426229E-2</v>
      </c>
      <c r="L94" s="6">
        <v>1</v>
      </c>
      <c r="M94" s="6">
        <v>2</v>
      </c>
      <c r="N94" s="6">
        <v>2</v>
      </c>
      <c r="O94" s="6" t="str">
        <f t="shared" si="13"/>
        <v>Correct</v>
      </c>
      <c r="P94" s="6"/>
      <c r="Q94" s="6">
        <v>2</v>
      </c>
      <c r="R94" s="6" t="str">
        <f t="shared" si="14"/>
        <v>Correct</v>
      </c>
      <c r="S94" s="6" t="s">
        <v>3783</v>
      </c>
      <c r="T94" s="14">
        <v>2</v>
      </c>
      <c r="U94" s="6" t="str">
        <f t="shared" si="15"/>
        <v>Correct</v>
      </c>
      <c r="V94" s="15">
        <v>2</v>
      </c>
      <c r="W94" s="15" t="str">
        <f t="shared" si="16"/>
        <v>Correct</v>
      </c>
      <c r="X94" s="14">
        <v>2</v>
      </c>
      <c r="Y94" s="14" t="str">
        <f t="shared" si="17"/>
        <v>Correct</v>
      </c>
      <c r="Z94" s="6">
        <v>93</v>
      </c>
      <c r="AA94" s="6" t="s">
        <v>1016</v>
      </c>
      <c r="AB94" s="6" t="s">
        <v>1017</v>
      </c>
      <c r="AC94" s="6">
        <v>1</v>
      </c>
      <c r="AD94" s="6" t="s">
        <v>40</v>
      </c>
      <c r="AE94" s="6" t="s">
        <v>3936</v>
      </c>
      <c r="AF94" s="6" t="s">
        <v>1018</v>
      </c>
      <c r="AG94" s="6" t="s">
        <v>1019</v>
      </c>
      <c r="AH94" s="6" t="s">
        <v>44</v>
      </c>
      <c r="AI94" s="6" t="s">
        <v>3396</v>
      </c>
      <c r="AJ94" s="6" t="s">
        <v>1020</v>
      </c>
      <c r="AK94" s="6" t="s">
        <v>1021</v>
      </c>
      <c r="AL94" s="6" t="s">
        <v>3476</v>
      </c>
      <c r="AM94" s="6" t="s">
        <v>4679</v>
      </c>
      <c r="AN94" s="6" t="s">
        <v>1022</v>
      </c>
      <c r="AO94" s="6" t="s">
        <v>1023</v>
      </c>
      <c r="AP94" s="6" t="s">
        <v>1014</v>
      </c>
      <c r="AQ94" s="21" t="s">
        <v>4441</v>
      </c>
      <c r="AR94" s="6" t="s">
        <v>1024</v>
      </c>
      <c r="AS94" s="6" t="s">
        <v>1025</v>
      </c>
      <c r="AT94" s="14">
        <v>2</v>
      </c>
      <c r="AU94" s="14">
        <v>2</v>
      </c>
      <c r="AV94" s="14">
        <v>2</v>
      </c>
      <c r="AW94" s="14">
        <v>2</v>
      </c>
      <c r="AX94" s="14">
        <v>2</v>
      </c>
      <c r="AY94" s="14">
        <v>2</v>
      </c>
      <c r="AZ94" s="14">
        <v>2</v>
      </c>
      <c r="BA94" s="2"/>
    </row>
    <row r="95" spans="1:53" ht="44" customHeight="1" x14ac:dyDescent="0.2">
      <c r="A95" s="6">
        <v>48500466</v>
      </c>
      <c r="B95" s="6"/>
      <c r="C95" s="7" t="s">
        <v>35</v>
      </c>
      <c r="D95" s="6" t="s">
        <v>1026</v>
      </c>
      <c r="E95" s="6">
        <f t="shared" si="9"/>
        <v>173</v>
      </c>
      <c r="F95" s="6" t="s">
        <v>1027</v>
      </c>
      <c r="G95" s="6">
        <f t="shared" si="10"/>
        <v>42</v>
      </c>
      <c r="H95" s="9">
        <f t="shared" si="11"/>
        <v>0.75722543352601157</v>
      </c>
      <c r="I95" s="6" t="s">
        <v>5184</v>
      </c>
      <c r="J95" s="6">
        <v>4</v>
      </c>
      <c r="K95" s="9">
        <f t="shared" si="12"/>
        <v>2.3121387283236993E-2</v>
      </c>
      <c r="L95" s="6">
        <v>1</v>
      </c>
      <c r="M95" s="6">
        <v>2</v>
      </c>
      <c r="N95" s="6">
        <v>2</v>
      </c>
      <c r="O95" s="6" t="str">
        <f t="shared" si="13"/>
        <v>Correct</v>
      </c>
      <c r="P95" s="6"/>
      <c r="Q95" s="6">
        <v>2</v>
      </c>
      <c r="R95" s="6" t="str">
        <f t="shared" si="14"/>
        <v>Correct</v>
      </c>
      <c r="S95" s="6" t="s">
        <v>3602</v>
      </c>
      <c r="T95" s="14">
        <v>2</v>
      </c>
      <c r="U95" s="6" t="str">
        <f t="shared" si="15"/>
        <v>Correct</v>
      </c>
      <c r="V95" s="15">
        <v>2</v>
      </c>
      <c r="W95" s="15" t="str">
        <f t="shared" si="16"/>
        <v>Correct</v>
      </c>
      <c r="X95" s="14">
        <v>2</v>
      </c>
      <c r="Y95" s="14" t="str">
        <f t="shared" si="17"/>
        <v>Correct</v>
      </c>
      <c r="Z95" s="6">
        <v>94</v>
      </c>
      <c r="AA95" s="6" t="s">
        <v>1028</v>
      </c>
      <c r="AB95" s="6" t="s">
        <v>1029</v>
      </c>
      <c r="AC95" s="6">
        <v>1</v>
      </c>
      <c r="AD95" s="6" t="s">
        <v>40</v>
      </c>
      <c r="AE95" s="6" t="s">
        <v>454</v>
      </c>
      <c r="AF95" s="6" t="s">
        <v>1030</v>
      </c>
      <c r="AG95" s="6" t="s">
        <v>1031</v>
      </c>
      <c r="AH95" s="6" t="s">
        <v>1032</v>
      </c>
      <c r="AI95" s="6" t="s">
        <v>44</v>
      </c>
      <c r="AJ95" s="6" t="s">
        <v>44</v>
      </c>
      <c r="AK95" s="6" t="s">
        <v>1033</v>
      </c>
      <c r="AL95" s="6" t="s">
        <v>5098</v>
      </c>
      <c r="AM95" s="6" t="s">
        <v>1034</v>
      </c>
      <c r="AN95" s="6" t="s">
        <v>1035</v>
      </c>
      <c r="AO95" s="6" t="s">
        <v>1036</v>
      </c>
      <c r="AP95" s="6" t="s">
        <v>1037</v>
      </c>
      <c r="AQ95" s="21" t="s">
        <v>1026</v>
      </c>
      <c r="AR95" s="6" t="s">
        <v>1026</v>
      </c>
      <c r="AS95" s="6" t="s">
        <v>1038</v>
      </c>
      <c r="AT95" s="14">
        <v>2</v>
      </c>
      <c r="AU95" s="14">
        <v>2</v>
      </c>
      <c r="AV95" s="14">
        <v>2</v>
      </c>
      <c r="AW95" s="14">
        <v>2</v>
      </c>
      <c r="AX95" s="14">
        <v>2</v>
      </c>
      <c r="AY95" s="14">
        <v>2</v>
      </c>
      <c r="AZ95" s="14">
        <v>2</v>
      </c>
      <c r="BA95" s="2"/>
    </row>
    <row r="96" spans="1:53" ht="44" customHeight="1" x14ac:dyDescent="0.2">
      <c r="A96" s="6">
        <v>48523099</v>
      </c>
      <c r="B96" s="6"/>
      <c r="C96" s="7" t="s">
        <v>35</v>
      </c>
      <c r="D96" s="6" t="s">
        <v>1039</v>
      </c>
      <c r="E96" s="6">
        <f t="shared" si="9"/>
        <v>22</v>
      </c>
      <c r="F96" s="6" t="s">
        <v>1040</v>
      </c>
      <c r="G96" s="6">
        <f t="shared" si="10"/>
        <v>16</v>
      </c>
      <c r="H96" s="9">
        <f t="shared" si="11"/>
        <v>0.27272727272727271</v>
      </c>
      <c r="I96" s="6" t="s">
        <v>5185</v>
      </c>
      <c r="J96" s="6">
        <v>2</v>
      </c>
      <c r="K96" s="9">
        <f t="shared" si="12"/>
        <v>9.0909090909090912E-2</v>
      </c>
      <c r="L96" s="6">
        <v>1</v>
      </c>
      <c r="M96" s="6">
        <v>2</v>
      </c>
      <c r="N96" s="6">
        <v>1</v>
      </c>
      <c r="O96" s="6" t="str">
        <f t="shared" si="13"/>
        <v>Overtriaged</v>
      </c>
      <c r="P96" s="6"/>
      <c r="Q96" s="6">
        <v>2</v>
      </c>
      <c r="R96" s="6" t="str">
        <f t="shared" si="14"/>
        <v>Correct</v>
      </c>
      <c r="S96" s="6" t="s">
        <v>3784</v>
      </c>
      <c r="T96" s="14">
        <v>2</v>
      </c>
      <c r="U96" s="6" t="str">
        <f t="shared" si="15"/>
        <v>Correct</v>
      </c>
      <c r="V96" s="15">
        <v>2</v>
      </c>
      <c r="W96" s="15" t="str">
        <f t="shared" si="16"/>
        <v>Correct</v>
      </c>
      <c r="X96" s="14">
        <v>1</v>
      </c>
      <c r="Y96" s="14" t="str">
        <f t="shared" si="17"/>
        <v>Overtriaged</v>
      </c>
      <c r="Z96" s="6">
        <v>95</v>
      </c>
      <c r="AA96" s="6" t="s">
        <v>1041</v>
      </c>
      <c r="AB96" s="6" t="s">
        <v>1042</v>
      </c>
      <c r="AC96" s="6">
        <v>1</v>
      </c>
      <c r="AD96" s="6" t="s">
        <v>40</v>
      </c>
      <c r="AE96" s="6" t="s">
        <v>1043</v>
      </c>
      <c r="AF96" s="6" t="s">
        <v>44</v>
      </c>
      <c r="AG96" s="6" t="s">
        <v>44</v>
      </c>
      <c r="AH96" s="6" t="s">
        <v>44</v>
      </c>
      <c r="AI96" s="6" t="s">
        <v>44</v>
      </c>
      <c r="AJ96" s="6" t="s">
        <v>44</v>
      </c>
      <c r="AK96" s="6" t="s">
        <v>1044</v>
      </c>
      <c r="AL96" s="6" t="s">
        <v>5100</v>
      </c>
      <c r="AM96" s="6" t="s">
        <v>1045</v>
      </c>
      <c r="AN96" s="6" t="s">
        <v>1039</v>
      </c>
      <c r="AO96" s="6" t="s">
        <v>1039</v>
      </c>
      <c r="AP96" s="6" t="s">
        <v>1039</v>
      </c>
      <c r="AQ96" s="21" t="s">
        <v>1039</v>
      </c>
      <c r="AR96" s="6" t="s">
        <v>1039</v>
      </c>
      <c r="AS96" s="6" t="s">
        <v>1046</v>
      </c>
      <c r="AT96" s="14">
        <v>2</v>
      </c>
      <c r="AU96" s="14">
        <v>2</v>
      </c>
      <c r="AV96" s="14">
        <v>1</v>
      </c>
      <c r="AW96" s="14">
        <v>1</v>
      </c>
      <c r="AX96" s="14">
        <v>2</v>
      </c>
      <c r="AY96" s="14">
        <v>2</v>
      </c>
      <c r="AZ96" s="14">
        <v>2</v>
      </c>
      <c r="BA96" s="2"/>
    </row>
    <row r="97" spans="1:53" ht="44" customHeight="1" x14ac:dyDescent="0.2">
      <c r="A97" s="6">
        <v>48784678</v>
      </c>
      <c r="B97" s="6"/>
      <c r="C97" s="7" t="s">
        <v>35</v>
      </c>
      <c r="D97" s="6" t="s">
        <v>1047</v>
      </c>
      <c r="E97" s="6">
        <f t="shared" si="9"/>
        <v>181</v>
      </c>
      <c r="F97" s="6"/>
      <c r="G97" s="6">
        <f t="shared" si="10"/>
        <v>0</v>
      </c>
      <c r="H97" s="9">
        <f t="shared" si="11"/>
        <v>1</v>
      </c>
      <c r="I97" s="6"/>
      <c r="J97" s="6">
        <v>0</v>
      </c>
      <c r="K97" s="9">
        <f t="shared" si="12"/>
        <v>0</v>
      </c>
      <c r="L97" s="6">
        <v>1</v>
      </c>
      <c r="M97" s="6">
        <v>2</v>
      </c>
      <c r="N97" s="6">
        <v>2</v>
      </c>
      <c r="O97" s="6" t="str">
        <f t="shared" si="13"/>
        <v>Correct</v>
      </c>
      <c r="P97" s="6"/>
      <c r="Q97" s="6">
        <v>2</v>
      </c>
      <c r="R97" s="6" t="str">
        <f t="shared" si="14"/>
        <v>Correct</v>
      </c>
      <c r="S97" s="6" t="s">
        <v>3603</v>
      </c>
      <c r="T97" s="14"/>
      <c r="U97" s="6" t="str">
        <f t="shared" si="15"/>
        <v>Undertriaged</v>
      </c>
      <c r="V97" s="15">
        <v>1</v>
      </c>
      <c r="W97" s="15" t="str">
        <f t="shared" si="16"/>
        <v>Overtriaged</v>
      </c>
      <c r="X97" s="14">
        <v>2</v>
      </c>
      <c r="Y97" s="14" t="str">
        <f t="shared" si="17"/>
        <v>Correct</v>
      </c>
      <c r="Z97" s="6">
        <v>96</v>
      </c>
      <c r="AA97" s="6" t="s">
        <v>993</v>
      </c>
      <c r="AB97" s="6" t="s">
        <v>1048</v>
      </c>
      <c r="AC97" s="6">
        <v>3</v>
      </c>
      <c r="AD97" s="6" t="s">
        <v>120</v>
      </c>
      <c r="AE97" s="6" t="s">
        <v>1049</v>
      </c>
      <c r="AF97" s="6" t="s">
        <v>44</v>
      </c>
      <c r="AG97" s="6" t="s">
        <v>44</v>
      </c>
      <c r="AH97" s="6" t="s">
        <v>44</v>
      </c>
      <c r="AI97" s="6" t="s">
        <v>44</v>
      </c>
      <c r="AJ97" s="6" t="s">
        <v>1050</v>
      </c>
      <c r="AK97" s="6" t="s">
        <v>3937</v>
      </c>
      <c r="AL97" s="6" t="s">
        <v>3480</v>
      </c>
      <c r="AM97" s="6" t="s">
        <v>1051</v>
      </c>
      <c r="AN97" s="6" t="s">
        <v>1047</v>
      </c>
      <c r="AO97" s="6" t="s">
        <v>1047</v>
      </c>
      <c r="AP97" s="6" t="s">
        <v>1047</v>
      </c>
      <c r="AQ97" s="21" t="s">
        <v>1047</v>
      </c>
      <c r="AR97" s="6" t="s">
        <v>4680</v>
      </c>
      <c r="AS97" s="6" t="s">
        <v>4681</v>
      </c>
      <c r="AT97" s="14">
        <v>2</v>
      </c>
      <c r="AU97" s="14">
        <v>2</v>
      </c>
      <c r="AV97" s="14">
        <v>2</v>
      </c>
      <c r="AW97" s="14">
        <v>2</v>
      </c>
      <c r="AX97" s="14">
        <v>2</v>
      </c>
      <c r="AY97" s="14">
        <v>2</v>
      </c>
      <c r="AZ97" s="14">
        <v>2</v>
      </c>
      <c r="BA97" s="2"/>
    </row>
    <row r="98" spans="1:53" ht="44" customHeight="1" x14ac:dyDescent="0.2">
      <c r="A98" s="6">
        <v>48823393</v>
      </c>
      <c r="B98" s="6"/>
      <c r="C98" s="7" t="s">
        <v>35</v>
      </c>
      <c r="D98" s="6" t="s">
        <v>1052</v>
      </c>
      <c r="E98" s="6">
        <f t="shared" si="9"/>
        <v>286</v>
      </c>
      <c r="F98" s="6"/>
      <c r="G98" s="6">
        <f t="shared" si="10"/>
        <v>0</v>
      </c>
      <c r="H98" s="9">
        <f t="shared" si="11"/>
        <v>1</v>
      </c>
      <c r="I98" s="6" t="s">
        <v>5186</v>
      </c>
      <c r="J98" s="6">
        <v>4</v>
      </c>
      <c r="K98" s="9">
        <f t="shared" si="12"/>
        <v>1.3986013986013986E-2</v>
      </c>
      <c r="L98" s="6">
        <v>5</v>
      </c>
      <c r="M98" s="6">
        <v>2</v>
      </c>
      <c r="N98" s="6">
        <v>2</v>
      </c>
      <c r="O98" s="6" t="str">
        <f t="shared" si="13"/>
        <v>Correct</v>
      </c>
      <c r="P98" s="6"/>
      <c r="Q98" s="6">
        <v>2</v>
      </c>
      <c r="R98" s="6" t="str">
        <f t="shared" si="14"/>
        <v>Correct</v>
      </c>
      <c r="S98" s="6" t="s">
        <v>3604</v>
      </c>
      <c r="T98" s="14">
        <v>2</v>
      </c>
      <c r="U98" s="6" t="str">
        <f t="shared" si="15"/>
        <v>Correct</v>
      </c>
      <c r="V98" s="15">
        <v>1</v>
      </c>
      <c r="W98" s="15" t="str">
        <f t="shared" si="16"/>
        <v>Overtriaged</v>
      </c>
      <c r="X98" s="14">
        <v>2</v>
      </c>
      <c r="Y98" s="14" t="str">
        <f t="shared" si="17"/>
        <v>Correct</v>
      </c>
      <c r="Z98" s="6">
        <v>97</v>
      </c>
      <c r="AA98" s="6" t="s">
        <v>1053</v>
      </c>
      <c r="AB98" s="6" t="s">
        <v>1054</v>
      </c>
      <c r="AC98" s="6">
        <v>2</v>
      </c>
      <c r="AD98" s="6" t="s">
        <v>40</v>
      </c>
      <c r="AE98" s="6" t="s">
        <v>1055</v>
      </c>
      <c r="AF98" s="6" t="s">
        <v>44</v>
      </c>
      <c r="AG98" s="6" t="s">
        <v>44</v>
      </c>
      <c r="AH98" s="6" t="s">
        <v>44</v>
      </c>
      <c r="AI98" s="6" t="s">
        <v>3397</v>
      </c>
      <c r="AJ98" s="6" t="s">
        <v>1056</v>
      </c>
      <c r="AK98" s="6" t="s">
        <v>3938</v>
      </c>
      <c r="AL98" s="6" t="s">
        <v>3480</v>
      </c>
      <c r="AM98" s="6" t="s">
        <v>4682</v>
      </c>
      <c r="AN98" s="6" t="s">
        <v>1052</v>
      </c>
      <c r="AO98" s="6" t="s">
        <v>1052</v>
      </c>
      <c r="AP98" s="6" t="s">
        <v>1052</v>
      </c>
      <c r="AQ98" s="21" t="s">
        <v>4442</v>
      </c>
      <c r="AR98" s="6" t="s">
        <v>1057</v>
      </c>
      <c r="AS98" s="6" t="s">
        <v>4683</v>
      </c>
      <c r="AT98" s="14">
        <v>2</v>
      </c>
      <c r="AU98" s="14">
        <v>2</v>
      </c>
      <c r="AV98" s="14">
        <v>2</v>
      </c>
      <c r="AW98" s="14">
        <v>2</v>
      </c>
      <c r="AX98" s="14">
        <v>2</v>
      </c>
      <c r="AY98" s="14">
        <v>2</v>
      </c>
      <c r="AZ98" s="14">
        <v>2</v>
      </c>
      <c r="BA98" s="2"/>
    </row>
    <row r="99" spans="1:53" ht="44" customHeight="1" x14ac:dyDescent="0.2">
      <c r="A99" s="6">
        <v>48877078</v>
      </c>
      <c r="B99" s="6"/>
      <c r="C99" s="7" t="s">
        <v>35</v>
      </c>
      <c r="D99" s="6" t="s">
        <v>1058</v>
      </c>
      <c r="E99" s="6">
        <f t="shared" si="9"/>
        <v>243</v>
      </c>
      <c r="F99" s="6"/>
      <c r="G99" s="6">
        <f t="shared" si="10"/>
        <v>0</v>
      </c>
      <c r="H99" s="9">
        <f t="shared" si="11"/>
        <v>1</v>
      </c>
      <c r="I99" s="6" t="s">
        <v>5187</v>
      </c>
      <c r="J99" s="6">
        <v>6</v>
      </c>
      <c r="K99" s="9">
        <f t="shared" si="12"/>
        <v>2.4691358024691357E-2</v>
      </c>
      <c r="L99" s="6">
        <v>1</v>
      </c>
      <c r="M99" s="6">
        <v>2</v>
      </c>
      <c r="N99" s="6">
        <v>2</v>
      </c>
      <c r="O99" s="6" t="str">
        <f t="shared" si="13"/>
        <v>Correct</v>
      </c>
      <c r="P99" s="6"/>
      <c r="Q99" s="6">
        <v>2</v>
      </c>
      <c r="R99" s="6" t="str">
        <f t="shared" si="14"/>
        <v>Correct</v>
      </c>
      <c r="S99" s="6" t="s">
        <v>3605</v>
      </c>
      <c r="T99" s="14"/>
      <c r="U99" s="6" t="str">
        <f t="shared" si="15"/>
        <v>Undertriaged</v>
      </c>
      <c r="V99" s="15">
        <v>1</v>
      </c>
      <c r="W99" s="15" t="str">
        <f t="shared" si="16"/>
        <v>Overtriaged</v>
      </c>
      <c r="X99" s="14">
        <v>2</v>
      </c>
      <c r="Y99" s="14" t="str">
        <f t="shared" si="17"/>
        <v>Correct</v>
      </c>
      <c r="Z99" s="6">
        <v>98</v>
      </c>
      <c r="AA99" s="6" t="s">
        <v>1059</v>
      </c>
      <c r="AB99" s="6" t="s">
        <v>1060</v>
      </c>
      <c r="AC99" s="6">
        <v>3</v>
      </c>
      <c r="AD99" s="6" t="s">
        <v>120</v>
      </c>
      <c r="AE99" s="6" t="s">
        <v>1061</v>
      </c>
      <c r="AF99" s="6" t="s">
        <v>1062</v>
      </c>
      <c r="AG99" s="6" t="s">
        <v>1063</v>
      </c>
      <c r="AH99" s="6" t="s">
        <v>44</v>
      </c>
      <c r="AI99" s="6" t="s">
        <v>3398</v>
      </c>
      <c r="AJ99" s="6" t="s">
        <v>1064</v>
      </c>
      <c r="AK99" s="6" t="s">
        <v>3939</v>
      </c>
      <c r="AL99" s="6" t="s">
        <v>3476</v>
      </c>
      <c r="AM99" s="6" t="s">
        <v>1065</v>
      </c>
      <c r="AN99" s="6" t="s">
        <v>1066</v>
      </c>
      <c r="AO99" s="6" t="s">
        <v>1067</v>
      </c>
      <c r="AP99" s="6" t="s">
        <v>1058</v>
      </c>
      <c r="AQ99" s="21" t="s">
        <v>4443</v>
      </c>
      <c r="AR99" s="6" t="s">
        <v>1068</v>
      </c>
      <c r="AS99" s="6" t="s">
        <v>4684</v>
      </c>
      <c r="AT99" s="14">
        <v>2</v>
      </c>
      <c r="AU99" s="14">
        <v>2</v>
      </c>
      <c r="AV99" s="14">
        <v>2</v>
      </c>
      <c r="AW99" s="14">
        <v>2</v>
      </c>
      <c r="AX99" s="14">
        <v>2</v>
      </c>
      <c r="AY99" s="14">
        <v>2</v>
      </c>
      <c r="AZ99" s="14">
        <v>2</v>
      </c>
      <c r="BA99" s="2"/>
    </row>
    <row r="100" spans="1:53" ht="44" customHeight="1" x14ac:dyDescent="0.2">
      <c r="A100" s="6">
        <v>48888159</v>
      </c>
      <c r="B100" s="6"/>
      <c r="C100" s="7" t="s">
        <v>35</v>
      </c>
      <c r="D100" s="6" t="s">
        <v>1069</v>
      </c>
      <c r="E100" s="6">
        <f t="shared" si="9"/>
        <v>103</v>
      </c>
      <c r="F100" s="6" t="s">
        <v>1070</v>
      </c>
      <c r="G100" s="6">
        <f t="shared" si="10"/>
        <v>20</v>
      </c>
      <c r="H100" s="9">
        <f t="shared" si="11"/>
        <v>0.80582524271844658</v>
      </c>
      <c r="I100" s="6" t="s">
        <v>5188</v>
      </c>
      <c r="J100" s="6">
        <v>3</v>
      </c>
      <c r="K100" s="9">
        <f t="shared" si="12"/>
        <v>2.9126213592233011E-2</v>
      </c>
      <c r="L100" s="6">
        <v>25</v>
      </c>
      <c r="M100" s="6">
        <v>1</v>
      </c>
      <c r="N100" s="6">
        <v>1</v>
      </c>
      <c r="O100" s="6" t="str">
        <f t="shared" si="13"/>
        <v>Correct</v>
      </c>
      <c r="P100" s="6"/>
      <c r="Q100" s="6">
        <v>1</v>
      </c>
      <c r="R100" s="6" t="str">
        <f t="shared" si="14"/>
        <v>Correct</v>
      </c>
      <c r="S100" s="6" t="s">
        <v>3606</v>
      </c>
      <c r="T100" s="14">
        <v>1</v>
      </c>
      <c r="U100" s="6" t="str">
        <f t="shared" si="15"/>
        <v>Correct</v>
      </c>
      <c r="V100" s="15">
        <v>1</v>
      </c>
      <c r="W100" s="15" t="str">
        <f t="shared" si="16"/>
        <v>Correct</v>
      </c>
      <c r="X100" s="14">
        <v>1</v>
      </c>
      <c r="Y100" s="14" t="str">
        <f t="shared" si="17"/>
        <v>Correct</v>
      </c>
      <c r="Z100" s="6">
        <v>99</v>
      </c>
      <c r="AA100" s="6" t="s">
        <v>1071</v>
      </c>
      <c r="AB100" s="6" t="s">
        <v>1072</v>
      </c>
      <c r="AC100" s="6">
        <v>1</v>
      </c>
      <c r="AD100" s="6" t="s">
        <v>40</v>
      </c>
      <c r="AE100" s="6" t="s">
        <v>1073</v>
      </c>
      <c r="AF100" s="6" t="s">
        <v>44</v>
      </c>
      <c r="AG100" s="6" t="s">
        <v>44</v>
      </c>
      <c r="AH100" s="6" t="s">
        <v>44</v>
      </c>
      <c r="AI100" s="6" t="s">
        <v>44</v>
      </c>
      <c r="AJ100" s="6" t="s">
        <v>44</v>
      </c>
      <c r="AK100" s="6" t="s">
        <v>3940</v>
      </c>
      <c r="AL100" s="6" t="s">
        <v>5100</v>
      </c>
      <c r="AM100" s="6" t="s">
        <v>4685</v>
      </c>
      <c r="AN100" s="6" t="s">
        <v>1069</v>
      </c>
      <c r="AO100" s="6" t="s">
        <v>1069</v>
      </c>
      <c r="AP100" s="6" t="s">
        <v>1069</v>
      </c>
      <c r="AQ100" s="21" t="s">
        <v>1069</v>
      </c>
      <c r="AR100" s="6" t="s">
        <v>1069</v>
      </c>
      <c r="AS100" s="6" t="s">
        <v>4686</v>
      </c>
      <c r="AT100" s="14">
        <v>1</v>
      </c>
      <c r="AU100" s="14">
        <v>1</v>
      </c>
      <c r="AV100" s="14">
        <v>1</v>
      </c>
      <c r="AW100" s="14">
        <v>1</v>
      </c>
      <c r="AX100" s="14">
        <v>1</v>
      </c>
      <c r="AY100" s="14">
        <v>1</v>
      </c>
      <c r="AZ100" s="14">
        <v>1</v>
      </c>
      <c r="BA100" s="2"/>
    </row>
    <row r="101" spans="1:53" ht="44" customHeight="1" x14ac:dyDescent="0.2">
      <c r="A101" s="6">
        <v>49019051</v>
      </c>
      <c r="B101" s="6"/>
      <c r="C101" s="7" t="s">
        <v>35</v>
      </c>
      <c r="D101" s="6" t="s">
        <v>1074</v>
      </c>
      <c r="E101" s="6">
        <f t="shared" si="9"/>
        <v>60</v>
      </c>
      <c r="F101" s="6" t="s">
        <v>1075</v>
      </c>
      <c r="G101" s="6">
        <f t="shared" si="10"/>
        <v>19</v>
      </c>
      <c r="H101" s="9">
        <f t="shared" si="11"/>
        <v>0.68333333333333335</v>
      </c>
      <c r="I101" s="6"/>
      <c r="J101" s="6">
        <v>0</v>
      </c>
      <c r="K101" s="9">
        <f t="shared" si="12"/>
        <v>0</v>
      </c>
      <c r="L101" s="6">
        <v>1</v>
      </c>
      <c r="M101" s="6">
        <v>2</v>
      </c>
      <c r="N101" s="6">
        <v>1</v>
      </c>
      <c r="O101" s="6" t="str">
        <f t="shared" si="13"/>
        <v>Overtriaged</v>
      </c>
      <c r="P101" s="6"/>
      <c r="Q101" s="6">
        <v>2</v>
      </c>
      <c r="R101" s="6" t="str">
        <f t="shared" si="14"/>
        <v>Correct</v>
      </c>
      <c r="S101" s="6" t="s">
        <v>3785</v>
      </c>
      <c r="T101" s="14">
        <v>2</v>
      </c>
      <c r="U101" s="6" t="str">
        <f t="shared" si="15"/>
        <v>Correct</v>
      </c>
      <c r="V101" s="15">
        <v>2</v>
      </c>
      <c r="W101" s="15" t="str">
        <f t="shared" si="16"/>
        <v>Correct</v>
      </c>
      <c r="X101" s="14">
        <v>2</v>
      </c>
      <c r="Y101" s="14" t="str">
        <f t="shared" si="17"/>
        <v>Correct</v>
      </c>
      <c r="Z101" s="6">
        <v>100</v>
      </c>
      <c r="AA101" s="6" t="s">
        <v>1076</v>
      </c>
      <c r="AB101" s="6" t="s">
        <v>1077</v>
      </c>
      <c r="AC101" s="6">
        <v>1</v>
      </c>
      <c r="AD101" s="6" t="s">
        <v>40</v>
      </c>
      <c r="AE101" s="6" t="s">
        <v>1078</v>
      </c>
      <c r="AF101" s="6" t="s">
        <v>355</v>
      </c>
      <c r="AG101" s="6" t="s">
        <v>1079</v>
      </c>
      <c r="AH101" s="6" t="s">
        <v>44</v>
      </c>
      <c r="AI101" s="6" t="s">
        <v>44</v>
      </c>
      <c r="AJ101" s="6" t="s">
        <v>44</v>
      </c>
      <c r="AK101" s="6" t="s">
        <v>3941</v>
      </c>
      <c r="AL101" s="6" t="s">
        <v>5099</v>
      </c>
      <c r="AM101" s="6" t="s">
        <v>1080</v>
      </c>
      <c r="AN101" s="6" t="s">
        <v>1081</v>
      </c>
      <c r="AO101" s="6" t="s">
        <v>1082</v>
      </c>
      <c r="AP101" s="6" t="s">
        <v>1074</v>
      </c>
      <c r="AQ101" s="21" t="s">
        <v>1074</v>
      </c>
      <c r="AR101" s="6" t="s">
        <v>1074</v>
      </c>
      <c r="AS101" s="6" t="s">
        <v>4687</v>
      </c>
      <c r="AT101" s="14">
        <v>2</v>
      </c>
      <c r="AU101" s="14">
        <v>2</v>
      </c>
      <c r="AV101" s="14">
        <v>2</v>
      </c>
      <c r="AW101" s="14">
        <v>2</v>
      </c>
      <c r="AX101" s="14">
        <v>2</v>
      </c>
      <c r="AY101" s="14">
        <v>2</v>
      </c>
      <c r="AZ101" s="14">
        <v>2</v>
      </c>
      <c r="BA101" s="2"/>
    </row>
    <row r="102" spans="1:53" ht="44" customHeight="1" x14ac:dyDescent="0.2">
      <c r="A102" s="6">
        <v>49155566</v>
      </c>
      <c r="B102" s="6"/>
      <c r="C102" s="7" t="s">
        <v>35</v>
      </c>
      <c r="D102" s="6" t="s">
        <v>1083</v>
      </c>
      <c r="E102" s="6">
        <f t="shared" si="9"/>
        <v>74</v>
      </c>
      <c r="F102" s="6" t="s">
        <v>1084</v>
      </c>
      <c r="G102" s="6">
        <f t="shared" si="10"/>
        <v>24</v>
      </c>
      <c r="H102" s="9">
        <f t="shared" si="11"/>
        <v>0.67567567567567566</v>
      </c>
      <c r="I102" s="6" t="s">
        <v>5189</v>
      </c>
      <c r="J102" s="6">
        <v>4</v>
      </c>
      <c r="K102" s="9">
        <f t="shared" si="12"/>
        <v>5.4054054054054057E-2</v>
      </c>
      <c r="L102" s="6">
        <v>9</v>
      </c>
      <c r="M102" s="6">
        <v>2</v>
      </c>
      <c r="N102" s="6">
        <v>1</v>
      </c>
      <c r="O102" s="6" t="str">
        <f t="shared" si="13"/>
        <v>Overtriaged</v>
      </c>
      <c r="P102" s="6"/>
      <c r="Q102" s="6">
        <v>1</v>
      </c>
      <c r="R102" s="6" t="str">
        <f t="shared" si="14"/>
        <v>Overtriaged</v>
      </c>
      <c r="S102" s="6" t="s">
        <v>3786</v>
      </c>
      <c r="T102" s="14">
        <v>1</v>
      </c>
      <c r="U102" s="6" t="str">
        <f t="shared" si="15"/>
        <v>Overtriaged</v>
      </c>
      <c r="V102" s="15">
        <v>2</v>
      </c>
      <c r="W102" s="15" t="str">
        <f t="shared" si="16"/>
        <v>Correct</v>
      </c>
      <c r="X102" s="14">
        <v>2</v>
      </c>
      <c r="Y102" s="14" t="str">
        <f t="shared" si="17"/>
        <v>Correct</v>
      </c>
      <c r="Z102" s="6">
        <v>101</v>
      </c>
      <c r="AA102" s="6" t="s">
        <v>1085</v>
      </c>
      <c r="AB102" s="6" t="s">
        <v>1086</v>
      </c>
      <c r="AC102" s="6">
        <v>1</v>
      </c>
      <c r="AD102" s="6" t="s">
        <v>40</v>
      </c>
      <c r="AE102" s="6" t="s">
        <v>340</v>
      </c>
      <c r="AF102" s="6" t="s">
        <v>1087</v>
      </c>
      <c r="AG102" s="6" t="s">
        <v>1088</v>
      </c>
      <c r="AH102" s="6" t="s">
        <v>1089</v>
      </c>
      <c r="AI102" s="6" t="s">
        <v>164</v>
      </c>
      <c r="AJ102" s="6" t="s">
        <v>1090</v>
      </c>
      <c r="AK102" s="6" t="s">
        <v>3942</v>
      </c>
      <c r="AL102" s="6" t="s">
        <v>3477</v>
      </c>
      <c r="AM102" s="6" t="s">
        <v>1091</v>
      </c>
      <c r="AN102" s="6" t="s">
        <v>1092</v>
      </c>
      <c r="AO102" s="6" t="s">
        <v>1093</v>
      </c>
      <c r="AP102" s="6" t="s">
        <v>1094</v>
      </c>
      <c r="AQ102" s="21" t="s">
        <v>4444</v>
      </c>
      <c r="AR102" s="6" t="s">
        <v>1095</v>
      </c>
      <c r="AS102" s="6" t="s">
        <v>4688</v>
      </c>
      <c r="AT102" s="14">
        <v>1</v>
      </c>
      <c r="AU102" s="14">
        <v>1</v>
      </c>
      <c r="AV102" s="14">
        <v>1</v>
      </c>
      <c r="AW102" s="14">
        <v>1</v>
      </c>
      <c r="AX102" s="14">
        <v>2</v>
      </c>
      <c r="AY102" s="14">
        <v>2</v>
      </c>
      <c r="AZ102" s="14">
        <v>1</v>
      </c>
      <c r="BA102" s="2"/>
    </row>
    <row r="103" spans="1:53" ht="44" customHeight="1" x14ac:dyDescent="0.2">
      <c r="A103" s="6">
        <v>49226630</v>
      </c>
      <c r="B103" s="6"/>
      <c r="C103" s="7" t="s">
        <v>35</v>
      </c>
      <c r="D103" s="6" t="s">
        <v>1096</v>
      </c>
      <c r="E103" s="6">
        <f t="shared" si="9"/>
        <v>133</v>
      </c>
      <c r="F103" s="6" t="s">
        <v>1097</v>
      </c>
      <c r="G103" s="6">
        <f t="shared" si="10"/>
        <v>41</v>
      </c>
      <c r="H103" s="9">
        <f t="shared" si="11"/>
        <v>0.69172932330827064</v>
      </c>
      <c r="I103" s="6" t="s">
        <v>5190</v>
      </c>
      <c r="J103" s="6">
        <v>4</v>
      </c>
      <c r="K103" s="9">
        <f t="shared" si="12"/>
        <v>3.007518796992481E-2</v>
      </c>
      <c r="L103" s="6">
        <v>5</v>
      </c>
      <c r="M103" s="6">
        <v>2</v>
      </c>
      <c r="N103" s="6">
        <v>2</v>
      </c>
      <c r="O103" s="6" t="str">
        <f t="shared" si="13"/>
        <v>Correct</v>
      </c>
      <c r="P103" s="6"/>
      <c r="Q103" s="6">
        <v>2</v>
      </c>
      <c r="R103" s="6" t="str">
        <f t="shared" si="14"/>
        <v>Correct</v>
      </c>
      <c r="S103" s="6" t="s">
        <v>3607</v>
      </c>
      <c r="T103" s="14">
        <v>2</v>
      </c>
      <c r="U103" s="6" t="str">
        <f t="shared" si="15"/>
        <v>Correct</v>
      </c>
      <c r="V103" s="15">
        <v>2</v>
      </c>
      <c r="W103" s="15" t="str">
        <f t="shared" si="16"/>
        <v>Correct</v>
      </c>
      <c r="X103" s="14">
        <v>2</v>
      </c>
      <c r="Y103" s="14" t="str">
        <f t="shared" si="17"/>
        <v>Correct</v>
      </c>
      <c r="Z103" s="6">
        <v>102</v>
      </c>
      <c r="AA103" s="6" t="s">
        <v>1098</v>
      </c>
      <c r="AB103" s="6" t="s">
        <v>1099</v>
      </c>
      <c r="AC103" s="6">
        <v>1</v>
      </c>
      <c r="AD103" s="6" t="s">
        <v>40</v>
      </c>
      <c r="AE103" s="6" t="s">
        <v>265</v>
      </c>
      <c r="AF103" s="6" t="s">
        <v>1100</v>
      </c>
      <c r="AG103" s="6" t="s">
        <v>44</v>
      </c>
      <c r="AH103" s="6" t="s">
        <v>44</v>
      </c>
      <c r="AI103" s="6" t="s">
        <v>3399</v>
      </c>
      <c r="AJ103" s="6" t="s">
        <v>1101</v>
      </c>
      <c r="AK103" s="6" t="s">
        <v>3943</v>
      </c>
      <c r="AL103" s="6" t="s">
        <v>3478</v>
      </c>
      <c r="AM103" s="6" t="s">
        <v>1102</v>
      </c>
      <c r="AN103" s="6" t="s">
        <v>1103</v>
      </c>
      <c r="AO103" s="6" t="s">
        <v>1096</v>
      </c>
      <c r="AP103" s="6" t="s">
        <v>1096</v>
      </c>
      <c r="AQ103" s="21" t="s">
        <v>4445</v>
      </c>
      <c r="AR103" s="6" t="s">
        <v>1104</v>
      </c>
      <c r="AS103" s="6" t="s">
        <v>4689</v>
      </c>
      <c r="AT103" s="14">
        <v>2</v>
      </c>
      <c r="AU103" s="14">
        <v>2</v>
      </c>
      <c r="AV103" s="14">
        <v>2</v>
      </c>
      <c r="AW103" s="14">
        <v>2</v>
      </c>
      <c r="AX103" s="14">
        <v>2</v>
      </c>
      <c r="AY103" s="14">
        <v>2</v>
      </c>
      <c r="AZ103" s="14">
        <v>2</v>
      </c>
      <c r="BA103" s="2"/>
    </row>
    <row r="104" spans="1:53" ht="44" customHeight="1" x14ac:dyDescent="0.2">
      <c r="A104" s="6">
        <v>49385739</v>
      </c>
      <c r="B104" s="6"/>
      <c r="C104" s="7" t="s">
        <v>35</v>
      </c>
      <c r="D104" s="6" t="s">
        <v>1105</v>
      </c>
      <c r="E104" s="6">
        <f t="shared" si="9"/>
        <v>114</v>
      </c>
      <c r="F104" s="6" t="s">
        <v>1106</v>
      </c>
      <c r="G104" s="6">
        <f t="shared" si="10"/>
        <v>42</v>
      </c>
      <c r="H104" s="9">
        <f t="shared" si="11"/>
        <v>0.63157894736842102</v>
      </c>
      <c r="I104" s="6" t="s">
        <v>5191</v>
      </c>
      <c r="J104" s="6">
        <v>5</v>
      </c>
      <c r="K104" s="9">
        <f t="shared" si="12"/>
        <v>4.3859649122807015E-2</v>
      </c>
      <c r="L104" s="6">
        <v>11</v>
      </c>
      <c r="M104" s="6">
        <v>2</v>
      </c>
      <c r="N104" s="6">
        <v>2</v>
      </c>
      <c r="O104" s="6" t="str">
        <f t="shared" si="13"/>
        <v>Correct</v>
      </c>
      <c r="P104" s="6"/>
      <c r="Q104" s="6">
        <v>2</v>
      </c>
      <c r="R104" s="6" t="str">
        <f t="shared" si="14"/>
        <v>Correct</v>
      </c>
      <c r="S104" s="6" t="s">
        <v>3608</v>
      </c>
      <c r="T104" s="14">
        <v>2</v>
      </c>
      <c r="U104" s="6" t="str">
        <f t="shared" si="15"/>
        <v>Correct</v>
      </c>
      <c r="V104" s="15">
        <v>2</v>
      </c>
      <c r="W104" s="15" t="str">
        <f t="shared" si="16"/>
        <v>Correct</v>
      </c>
      <c r="X104" s="14">
        <v>2</v>
      </c>
      <c r="Y104" s="14" t="str">
        <f t="shared" si="17"/>
        <v>Correct</v>
      </c>
      <c r="Z104" s="6">
        <v>103</v>
      </c>
      <c r="AA104" s="6" t="s">
        <v>1107</v>
      </c>
      <c r="AB104" s="6" t="s">
        <v>1108</v>
      </c>
      <c r="AC104" s="6">
        <v>1</v>
      </c>
      <c r="AD104" s="6" t="s">
        <v>40</v>
      </c>
      <c r="AE104" s="6" t="s">
        <v>215</v>
      </c>
      <c r="AF104" s="6" t="s">
        <v>1109</v>
      </c>
      <c r="AG104" s="6" t="s">
        <v>1110</v>
      </c>
      <c r="AH104" s="6" t="s">
        <v>44</v>
      </c>
      <c r="AI104" s="6" t="s">
        <v>3400</v>
      </c>
      <c r="AJ104" s="6" t="s">
        <v>1111</v>
      </c>
      <c r="AK104" s="6" t="s">
        <v>1112</v>
      </c>
      <c r="AL104" s="6" t="s">
        <v>3476</v>
      </c>
      <c r="AM104" s="6" t="s">
        <v>1113</v>
      </c>
      <c r="AN104" s="6" t="s">
        <v>1114</v>
      </c>
      <c r="AO104" s="6" t="s">
        <v>1115</v>
      </c>
      <c r="AP104" s="6" t="s">
        <v>1105</v>
      </c>
      <c r="AQ104" s="21" t="s">
        <v>4446</v>
      </c>
      <c r="AR104" s="6" t="s">
        <v>1116</v>
      </c>
      <c r="AS104" s="6" t="s">
        <v>1117</v>
      </c>
      <c r="AT104" s="14">
        <v>2</v>
      </c>
      <c r="AU104" s="14">
        <v>2</v>
      </c>
      <c r="AV104" s="14">
        <v>2</v>
      </c>
      <c r="AW104" s="14">
        <v>2</v>
      </c>
      <c r="AX104" s="14">
        <v>2</v>
      </c>
      <c r="AY104" s="14">
        <v>2</v>
      </c>
      <c r="AZ104" s="14">
        <v>2</v>
      </c>
      <c r="BA104" s="2"/>
    </row>
    <row r="105" spans="1:53" ht="44" customHeight="1" x14ac:dyDescent="0.2">
      <c r="A105" s="6">
        <v>49583589</v>
      </c>
      <c r="B105" s="6"/>
      <c r="C105" s="7" t="s">
        <v>35</v>
      </c>
      <c r="D105" s="6" t="s">
        <v>1118</v>
      </c>
      <c r="E105" s="6">
        <f t="shared" si="9"/>
        <v>141</v>
      </c>
      <c r="F105" s="6" t="s">
        <v>1119</v>
      </c>
      <c r="G105" s="6">
        <f t="shared" si="10"/>
        <v>40</v>
      </c>
      <c r="H105" s="9">
        <f t="shared" si="11"/>
        <v>0.71631205673758869</v>
      </c>
      <c r="I105" s="6"/>
      <c r="J105" s="6">
        <v>0</v>
      </c>
      <c r="K105" s="9">
        <f t="shared" si="12"/>
        <v>0</v>
      </c>
      <c r="L105" s="6">
        <v>4</v>
      </c>
      <c r="M105" s="6">
        <v>2</v>
      </c>
      <c r="N105" s="6">
        <v>2</v>
      </c>
      <c r="O105" s="6" t="str">
        <f t="shared" si="13"/>
        <v>Correct</v>
      </c>
      <c r="P105" s="6"/>
      <c r="Q105" s="6">
        <v>2</v>
      </c>
      <c r="R105" s="6" t="str">
        <f t="shared" si="14"/>
        <v>Correct</v>
      </c>
      <c r="S105" s="6" t="s">
        <v>3609</v>
      </c>
      <c r="T105" s="14">
        <v>2</v>
      </c>
      <c r="U105" s="6" t="str">
        <f t="shared" si="15"/>
        <v>Correct</v>
      </c>
      <c r="V105" s="15">
        <v>3</v>
      </c>
      <c r="W105" s="15" t="str">
        <f t="shared" si="16"/>
        <v>Undertriaged</v>
      </c>
      <c r="X105" s="14">
        <v>2</v>
      </c>
      <c r="Y105" s="14" t="str">
        <f t="shared" si="17"/>
        <v>Correct</v>
      </c>
      <c r="Z105" s="6">
        <v>104</v>
      </c>
      <c r="AA105" s="6" t="s">
        <v>1120</v>
      </c>
      <c r="AB105" s="6" t="s">
        <v>1121</v>
      </c>
      <c r="AC105" s="6">
        <v>3</v>
      </c>
      <c r="AD105" s="6" t="s">
        <v>40</v>
      </c>
      <c r="AE105" s="6" t="s">
        <v>1122</v>
      </c>
      <c r="AF105" s="6" t="s">
        <v>44</v>
      </c>
      <c r="AG105" s="6" t="s">
        <v>44</v>
      </c>
      <c r="AH105" s="6" t="s">
        <v>44</v>
      </c>
      <c r="AI105" s="6" t="s">
        <v>44</v>
      </c>
      <c r="AJ105" s="6" t="s">
        <v>1123</v>
      </c>
      <c r="AK105" s="6" t="s">
        <v>3944</v>
      </c>
      <c r="AL105" s="6" t="s">
        <v>3480</v>
      </c>
      <c r="AM105" s="6" t="s">
        <v>1124</v>
      </c>
      <c r="AN105" s="6" t="s">
        <v>1118</v>
      </c>
      <c r="AO105" s="6" t="s">
        <v>1118</v>
      </c>
      <c r="AP105" s="6" t="s">
        <v>1118</v>
      </c>
      <c r="AQ105" s="21" t="s">
        <v>1118</v>
      </c>
      <c r="AR105" s="6" t="s">
        <v>1125</v>
      </c>
      <c r="AS105" s="6" t="s">
        <v>4690</v>
      </c>
      <c r="AT105" s="14">
        <v>2</v>
      </c>
      <c r="AU105" s="14">
        <v>2</v>
      </c>
      <c r="AV105" s="14">
        <v>2</v>
      </c>
      <c r="AW105" s="14">
        <v>2</v>
      </c>
      <c r="AX105" s="14">
        <v>2</v>
      </c>
      <c r="AY105" s="14">
        <v>2</v>
      </c>
      <c r="AZ105" s="14">
        <v>2</v>
      </c>
      <c r="BA105" s="2"/>
    </row>
    <row r="106" spans="1:53" ht="44" customHeight="1" x14ac:dyDescent="0.2">
      <c r="A106" s="6">
        <v>49637759</v>
      </c>
      <c r="B106" s="6"/>
      <c r="C106" s="7" t="s">
        <v>35</v>
      </c>
      <c r="D106" s="6" t="s">
        <v>1126</v>
      </c>
      <c r="E106" s="6">
        <f t="shared" si="9"/>
        <v>89</v>
      </c>
      <c r="F106" s="6" t="s">
        <v>1127</v>
      </c>
      <c r="G106" s="6">
        <f t="shared" si="10"/>
        <v>23</v>
      </c>
      <c r="H106" s="9">
        <f t="shared" si="11"/>
        <v>0.7415730337078652</v>
      </c>
      <c r="I106" s="6"/>
      <c r="J106" s="6">
        <v>0</v>
      </c>
      <c r="K106" s="9">
        <f t="shared" si="12"/>
        <v>0</v>
      </c>
      <c r="L106" s="6">
        <v>1</v>
      </c>
      <c r="M106" s="6">
        <v>2</v>
      </c>
      <c r="N106" s="6">
        <v>2</v>
      </c>
      <c r="O106" s="6" t="str">
        <f t="shared" si="13"/>
        <v>Correct</v>
      </c>
      <c r="P106" s="6"/>
      <c r="Q106" s="6">
        <v>2</v>
      </c>
      <c r="R106" s="6" t="str">
        <f t="shared" si="14"/>
        <v>Correct</v>
      </c>
      <c r="S106" s="6" t="s">
        <v>3610</v>
      </c>
      <c r="T106" s="14">
        <v>1</v>
      </c>
      <c r="U106" s="6" t="str">
        <f t="shared" si="15"/>
        <v>Overtriaged</v>
      </c>
      <c r="V106" s="15">
        <v>2</v>
      </c>
      <c r="W106" s="15" t="str">
        <f t="shared" si="16"/>
        <v>Correct</v>
      </c>
      <c r="X106" s="14">
        <v>2</v>
      </c>
      <c r="Y106" s="14" t="str">
        <f t="shared" si="17"/>
        <v>Correct</v>
      </c>
      <c r="Z106" s="6">
        <v>105</v>
      </c>
      <c r="AA106" s="6" t="s">
        <v>338</v>
      </c>
      <c r="AB106" s="6" t="s">
        <v>1128</v>
      </c>
      <c r="AC106" s="6">
        <v>1</v>
      </c>
      <c r="AD106" s="6" t="s">
        <v>40</v>
      </c>
      <c r="AE106" s="6" t="s">
        <v>1129</v>
      </c>
      <c r="AF106" s="6" t="s">
        <v>1130</v>
      </c>
      <c r="AG106" s="6" t="s">
        <v>3945</v>
      </c>
      <c r="AH106" s="6" t="s">
        <v>44</v>
      </c>
      <c r="AI106" s="6" t="s">
        <v>44</v>
      </c>
      <c r="AJ106" s="6" t="s">
        <v>44</v>
      </c>
      <c r="AK106" s="6" t="s">
        <v>1131</v>
      </c>
      <c r="AL106" s="6" t="s">
        <v>5099</v>
      </c>
      <c r="AM106" s="6" t="s">
        <v>1132</v>
      </c>
      <c r="AN106" s="6" t="s">
        <v>1133</v>
      </c>
      <c r="AO106" s="6" t="s">
        <v>4691</v>
      </c>
      <c r="AP106" s="6" t="s">
        <v>1126</v>
      </c>
      <c r="AQ106" s="21" t="s">
        <v>1126</v>
      </c>
      <c r="AR106" s="6" t="s">
        <v>1126</v>
      </c>
      <c r="AS106" s="6" t="s">
        <v>1134</v>
      </c>
      <c r="AT106" s="14">
        <v>2</v>
      </c>
      <c r="AU106" s="14">
        <v>2</v>
      </c>
      <c r="AV106" s="14">
        <v>2</v>
      </c>
      <c r="AW106" s="14">
        <v>2</v>
      </c>
      <c r="AX106" s="14">
        <v>2</v>
      </c>
      <c r="AY106" s="14">
        <v>2</v>
      </c>
      <c r="AZ106" s="14">
        <v>2</v>
      </c>
      <c r="BA106" s="2"/>
    </row>
    <row r="107" spans="1:53" ht="44" customHeight="1" x14ac:dyDescent="0.2">
      <c r="A107" s="6">
        <v>50839445</v>
      </c>
      <c r="B107" s="6"/>
      <c r="C107" s="7" t="s">
        <v>35</v>
      </c>
      <c r="D107" s="6" t="s">
        <v>1135</v>
      </c>
      <c r="E107" s="6">
        <f t="shared" si="9"/>
        <v>145</v>
      </c>
      <c r="F107" s="6" t="s">
        <v>1136</v>
      </c>
      <c r="G107" s="6">
        <f t="shared" si="10"/>
        <v>43</v>
      </c>
      <c r="H107" s="9">
        <f t="shared" si="11"/>
        <v>0.70344827586206893</v>
      </c>
      <c r="I107" s="6" t="s">
        <v>5192</v>
      </c>
      <c r="J107" s="6">
        <v>4</v>
      </c>
      <c r="K107" s="9">
        <f t="shared" si="12"/>
        <v>2.7586206896551724E-2</v>
      </c>
      <c r="L107" s="6">
        <v>1</v>
      </c>
      <c r="M107" s="6">
        <v>2</v>
      </c>
      <c r="N107" s="6">
        <v>2</v>
      </c>
      <c r="O107" s="6" t="str">
        <f t="shared" si="13"/>
        <v>Correct</v>
      </c>
      <c r="P107" s="6"/>
      <c r="Q107" s="6">
        <v>2</v>
      </c>
      <c r="R107" s="6" t="str">
        <f t="shared" si="14"/>
        <v>Correct</v>
      </c>
      <c r="S107" s="6" t="s">
        <v>3611</v>
      </c>
      <c r="T107" s="14">
        <v>2</v>
      </c>
      <c r="U107" s="6" t="str">
        <f t="shared" si="15"/>
        <v>Correct</v>
      </c>
      <c r="V107" s="15">
        <v>2</v>
      </c>
      <c r="W107" s="15" t="str">
        <f t="shared" si="16"/>
        <v>Correct</v>
      </c>
      <c r="X107" s="14">
        <v>2</v>
      </c>
      <c r="Y107" s="14" t="str">
        <f t="shared" si="17"/>
        <v>Correct</v>
      </c>
      <c r="Z107" s="6">
        <v>106</v>
      </c>
      <c r="AA107" s="6" t="s">
        <v>1053</v>
      </c>
      <c r="AB107" s="6" t="s">
        <v>1137</v>
      </c>
      <c r="AC107" s="6">
        <v>1</v>
      </c>
      <c r="AD107" s="6" t="s">
        <v>40</v>
      </c>
      <c r="AE107" s="6" t="s">
        <v>1138</v>
      </c>
      <c r="AF107" s="6" t="s">
        <v>1139</v>
      </c>
      <c r="AG107" s="6" t="s">
        <v>1140</v>
      </c>
      <c r="AH107" s="6" t="s">
        <v>1141</v>
      </c>
      <c r="AI107" s="6" t="s">
        <v>3401</v>
      </c>
      <c r="AJ107" s="6" t="s">
        <v>1142</v>
      </c>
      <c r="AK107" s="6" t="s">
        <v>3946</v>
      </c>
      <c r="AL107" s="6" t="s">
        <v>3477</v>
      </c>
      <c r="AM107" s="6" t="s">
        <v>1143</v>
      </c>
      <c r="AN107" s="6" t="s">
        <v>1144</v>
      </c>
      <c r="AO107" s="6" t="s">
        <v>1145</v>
      </c>
      <c r="AP107" s="6" t="s">
        <v>1146</v>
      </c>
      <c r="AQ107" s="21" t="s">
        <v>4447</v>
      </c>
      <c r="AR107" s="6" t="s">
        <v>1147</v>
      </c>
      <c r="AS107" s="6" t="s">
        <v>4692</v>
      </c>
      <c r="AT107" s="14">
        <v>2</v>
      </c>
      <c r="AU107" s="14">
        <v>2</v>
      </c>
      <c r="AV107" s="14">
        <v>2</v>
      </c>
      <c r="AW107" s="14">
        <v>2</v>
      </c>
      <c r="AX107" s="14">
        <v>2</v>
      </c>
      <c r="AY107" s="14">
        <v>2</v>
      </c>
      <c r="AZ107" s="14">
        <v>2</v>
      </c>
      <c r="BA107" s="2"/>
    </row>
    <row r="108" spans="1:53" ht="44" customHeight="1" x14ac:dyDescent="0.2">
      <c r="A108" s="6">
        <v>50836619</v>
      </c>
      <c r="B108" s="6"/>
      <c r="C108" s="7" t="s">
        <v>35</v>
      </c>
      <c r="D108" s="6" t="s">
        <v>1148</v>
      </c>
      <c r="E108" s="6">
        <f t="shared" si="9"/>
        <v>121</v>
      </c>
      <c r="F108" s="6" t="s">
        <v>1149</v>
      </c>
      <c r="G108" s="6">
        <f t="shared" si="10"/>
        <v>46</v>
      </c>
      <c r="H108" s="9">
        <f t="shared" si="11"/>
        <v>0.6198347107438017</v>
      </c>
      <c r="I108" s="6" t="s">
        <v>5193</v>
      </c>
      <c r="J108" s="6">
        <v>6</v>
      </c>
      <c r="K108" s="9">
        <f t="shared" si="12"/>
        <v>4.9586776859504134E-2</v>
      </c>
      <c r="L108" s="6">
        <v>10</v>
      </c>
      <c r="M108" s="6">
        <v>2</v>
      </c>
      <c r="N108" s="6">
        <v>2</v>
      </c>
      <c r="O108" s="6" t="str">
        <f t="shared" si="13"/>
        <v>Correct</v>
      </c>
      <c r="P108" s="6"/>
      <c r="Q108" s="6">
        <v>2</v>
      </c>
      <c r="R108" s="6" t="str">
        <f t="shared" si="14"/>
        <v>Correct</v>
      </c>
      <c r="S108" s="6" t="s">
        <v>3612</v>
      </c>
      <c r="T108" s="14">
        <v>2</v>
      </c>
      <c r="U108" s="6" t="str">
        <f t="shared" si="15"/>
        <v>Correct</v>
      </c>
      <c r="V108" s="15">
        <v>1</v>
      </c>
      <c r="W108" s="15" t="str">
        <f t="shared" si="16"/>
        <v>Overtriaged</v>
      </c>
      <c r="X108" s="14">
        <v>2</v>
      </c>
      <c r="Y108" s="14" t="str">
        <f t="shared" si="17"/>
        <v>Correct</v>
      </c>
      <c r="Z108" s="6">
        <v>107</v>
      </c>
      <c r="AA108" s="6" t="s">
        <v>1150</v>
      </c>
      <c r="AB108" s="6" t="s">
        <v>1151</v>
      </c>
      <c r="AC108" s="6">
        <v>1</v>
      </c>
      <c r="AD108" s="6" t="s">
        <v>40</v>
      </c>
      <c r="AE108" s="6" t="s">
        <v>265</v>
      </c>
      <c r="AF108" s="6" t="s">
        <v>1152</v>
      </c>
      <c r="AG108" s="6" t="s">
        <v>1153</v>
      </c>
      <c r="AH108" s="6" t="s">
        <v>44</v>
      </c>
      <c r="AI108" s="6" t="s">
        <v>3402</v>
      </c>
      <c r="AJ108" s="6" t="s">
        <v>44</v>
      </c>
      <c r="AK108" s="6" t="s">
        <v>3947</v>
      </c>
      <c r="AL108" s="6" t="s">
        <v>5099</v>
      </c>
      <c r="AM108" s="6" t="s">
        <v>1154</v>
      </c>
      <c r="AN108" s="6" t="s">
        <v>1155</v>
      </c>
      <c r="AO108" s="6" t="s">
        <v>1156</v>
      </c>
      <c r="AP108" s="6" t="s">
        <v>1148</v>
      </c>
      <c r="AQ108" s="21" t="s">
        <v>4448</v>
      </c>
      <c r="AR108" s="6" t="s">
        <v>1148</v>
      </c>
      <c r="AS108" s="6" t="s">
        <v>4693</v>
      </c>
      <c r="AT108" s="14">
        <v>2</v>
      </c>
      <c r="AU108" s="14">
        <v>2</v>
      </c>
      <c r="AV108" s="14">
        <v>2</v>
      </c>
      <c r="AW108" s="14">
        <v>2</v>
      </c>
      <c r="AX108" s="14">
        <v>2</v>
      </c>
      <c r="AY108" s="14">
        <v>2</v>
      </c>
      <c r="AZ108" s="14">
        <v>2</v>
      </c>
      <c r="BA108" s="2"/>
    </row>
    <row r="109" spans="1:53" ht="44" customHeight="1" x14ac:dyDescent="0.2">
      <c r="A109" s="6">
        <v>50890841</v>
      </c>
      <c r="B109" s="6"/>
      <c r="C109" s="7" t="s">
        <v>35</v>
      </c>
      <c r="D109" s="6" t="s">
        <v>1157</v>
      </c>
      <c r="E109" s="6">
        <f t="shared" si="9"/>
        <v>183</v>
      </c>
      <c r="F109" s="6" t="s">
        <v>1158</v>
      </c>
      <c r="G109" s="6">
        <f t="shared" si="10"/>
        <v>52</v>
      </c>
      <c r="H109" s="9">
        <f t="shared" si="11"/>
        <v>0.71584699453551914</v>
      </c>
      <c r="I109" s="6" t="s">
        <v>5194</v>
      </c>
      <c r="J109" s="6">
        <v>2</v>
      </c>
      <c r="K109" s="9">
        <f t="shared" si="12"/>
        <v>1.092896174863388E-2</v>
      </c>
      <c r="L109" s="6">
        <v>1</v>
      </c>
      <c r="M109" s="6">
        <v>2</v>
      </c>
      <c r="N109" s="6">
        <v>2</v>
      </c>
      <c r="O109" s="6" t="str">
        <f t="shared" si="13"/>
        <v>Correct</v>
      </c>
      <c r="P109" s="6"/>
      <c r="Q109" s="6">
        <v>2</v>
      </c>
      <c r="R109" s="6" t="str">
        <f t="shared" si="14"/>
        <v>Correct</v>
      </c>
      <c r="S109" s="6" t="s">
        <v>3613</v>
      </c>
      <c r="T109" s="14">
        <v>2</v>
      </c>
      <c r="U109" s="6" t="str">
        <f t="shared" si="15"/>
        <v>Correct</v>
      </c>
      <c r="V109" s="15">
        <v>2</v>
      </c>
      <c r="W109" s="15" t="str">
        <f t="shared" si="16"/>
        <v>Correct</v>
      </c>
      <c r="X109" s="14">
        <v>2</v>
      </c>
      <c r="Y109" s="14" t="str">
        <f t="shared" si="17"/>
        <v>Correct</v>
      </c>
      <c r="Z109" s="6">
        <v>108</v>
      </c>
      <c r="AA109" s="6" t="s">
        <v>1159</v>
      </c>
      <c r="AB109" s="6" t="s">
        <v>1160</v>
      </c>
      <c r="AC109" s="6">
        <v>1</v>
      </c>
      <c r="AD109" s="6" t="s">
        <v>40</v>
      </c>
      <c r="AE109" s="6" t="s">
        <v>1161</v>
      </c>
      <c r="AF109" s="6" t="s">
        <v>1162</v>
      </c>
      <c r="AG109" s="6" t="s">
        <v>1163</v>
      </c>
      <c r="AH109" s="6" t="s">
        <v>44</v>
      </c>
      <c r="AI109" s="6" t="s">
        <v>3403</v>
      </c>
      <c r="AJ109" s="6" t="s">
        <v>1164</v>
      </c>
      <c r="AK109" s="6" t="s">
        <v>3948</v>
      </c>
      <c r="AL109" s="6" t="s">
        <v>3476</v>
      </c>
      <c r="AM109" s="6" t="s">
        <v>1165</v>
      </c>
      <c r="AN109" s="6" t="s">
        <v>1166</v>
      </c>
      <c r="AO109" s="6" t="s">
        <v>1167</v>
      </c>
      <c r="AP109" s="6" t="s">
        <v>1157</v>
      </c>
      <c r="AQ109" s="21" t="s">
        <v>4449</v>
      </c>
      <c r="AR109" s="6" t="s">
        <v>1168</v>
      </c>
      <c r="AS109" s="6" t="s">
        <v>4694</v>
      </c>
      <c r="AT109" s="14">
        <v>2</v>
      </c>
      <c r="AU109" s="14">
        <v>2</v>
      </c>
      <c r="AV109" s="14">
        <v>2</v>
      </c>
      <c r="AW109" s="14">
        <v>2</v>
      </c>
      <c r="AX109" s="14">
        <v>2</v>
      </c>
      <c r="AY109" s="14">
        <v>2</v>
      </c>
      <c r="AZ109" s="14">
        <v>2</v>
      </c>
      <c r="BA109" s="2"/>
    </row>
    <row r="110" spans="1:53" ht="44" customHeight="1" x14ac:dyDescent="0.2">
      <c r="A110" s="6">
        <v>50460132</v>
      </c>
      <c r="B110" s="6"/>
      <c r="C110" s="7" t="s">
        <v>35</v>
      </c>
      <c r="D110" s="6" t="s">
        <v>1169</v>
      </c>
      <c r="E110" s="6">
        <f t="shared" si="9"/>
        <v>118</v>
      </c>
      <c r="F110" s="6" t="s">
        <v>1171</v>
      </c>
      <c r="G110" s="6">
        <f t="shared" si="10"/>
        <v>22</v>
      </c>
      <c r="H110" s="9">
        <f t="shared" si="11"/>
        <v>0.81355932203389836</v>
      </c>
      <c r="I110" s="6"/>
      <c r="J110" s="6">
        <v>0</v>
      </c>
      <c r="K110" s="9">
        <f t="shared" si="12"/>
        <v>0</v>
      </c>
      <c r="L110" s="6">
        <v>1</v>
      </c>
      <c r="M110" s="6">
        <v>2</v>
      </c>
      <c r="N110" s="6">
        <v>2</v>
      </c>
      <c r="O110" s="6" t="str">
        <f t="shared" si="13"/>
        <v>Correct</v>
      </c>
      <c r="P110" s="6"/>
      <c r="Q110" s="6">
        <v>2</v>
      </c>
      <c r="R110" s="6" t="str">
        <f t="shared" si="14"/>
        <v>Correct</v>
      </c>
      <c r="S110" s="6" t="s">
        <v>1170</v>
      </c>
      <c r="T110" s="14">
        <v>2</v>
      </c>
      <c r="U110" s="6" t="str">
        <f t="shared" si="15"/>
        <v>Correct</v>
      </c>
      <c r="V110" s="15">
        <v>2</v>
      </c>
      <c r="W110" s="15" t="str">
        <f t="shared" si="16"/>
        <v>Correct</v>
      </c>
      <c r="X110" s="14">
        <v>2</v>
      </c>
      <c r="Y110" s="14" t="str">
        <f t="shared" si="17"/>
        <v>Correct</v>
      </c>
      <c r="Z110" s="6">
        <v>109</v>
      </c>
      <c r="AA110" s="6" t="s">
        <v>1172</v>
      </c>
      <c r="AB110" s="6" t="s">
        <v>1173</v>
      </c>
      <c r="AC110" s="6">
        <v>1</v>
      </c>
      <c r="AD110" s="6" t="s">
        <v>40</v>
      </c>
      <c r="AE110" s="6" t="s">
        <v>1174</v>
      </c>
      <c r="AF110" s="6" t="s">
        <v>1175</v>
      </c>
      <c r="AG110" s="6" t="s">
        <v>1176</v>
      </c>
      <c r="AH110" s="6" t="s">
        <v>1177</v>
      </c>
      <c r="AI110" s="6" t="s">
        <v>44</v>
      </c>
      <c r="AJ110" s="6" t="s">
        <v>3949</v>
      </c>
      <c r="AK110" s="6" t="s">
        <v>3950</v>
      </c>
      <c r="AL110" s="6" t="s">
        <v>3477</v>
      </c>
      <c r="AM110" s="6" t="s">
        <v>1178</v>
      </c>
      <c r="AN110" s="6" t="s">
        <v>1179</v>
      </c>
      <c r="AO110" s="6" t="s">
        <v>1180</v>
      </c>
      <c r="AP110" s="6" t="s">
        <v>1181</v>
      </c>
      <c r="AQ110" s="21" t="s">
        <v>1169</v>
      </c>
      <c r="AR110" s="6" t="s">
        <v>4695</v>
      </c>
      <c r="AS110" s="6" t="s">
        <v>4696</v>
      </c>
      <c r="AT110" s="14">
        <v>2</v>
      </c>
      <c r="AU110" s="14">
        <v>2</v>
      </c>
      <c r="AV110" s="14">
        <v>2</v>
      </c>
      <c r="AW110" s="14">
        <v>2</v>
      </c>
      <c r="AX110" s="14">
        <v>2</v>
      </c>
      <c r="AY110" s="14">
        <v>2</v>
      </c>
      <c r="AZ110" s="14">
        <v>2</v>
      </c>
      <c r="BA110" s="2"/>
    </row>
    <row r="111" spans="1:53" ht="44" customHeight="1" x14ac:dyDescent="0.2">
      <c r="A111" s="6">
        <v>51112686</v>
      </c>
      <c r="B111" s="6"/>
      <c r="C111" s="7" t="s">
        <v>35</v>
      </c>
      <c r="D111" s="6" t="s">
        <v>1182</v>
      </c>
      <c r="E111" s="6">
        <f t="shared" si="9"/>
        <v>89</v>
      </c>
      <c r="F111" s="6" t="s">
        <v>1183</v>
      </c>
      <c r="G111" s="6">
        <f t="shared" si="10"/>
        <v>23</v>
      </c>
      <c r="H111" s="9">
        <f t="shared" si="11"/>
        <v>0.7415730337078652</v>
      </c>
      <c r="I111" s="6"/>
      <c r="J111" s="6">
        <v>0</v>
      </c>
      <c r="K111" s="9">
        <f t="shared" si="12"/>
        <v>0</v>
      </c>
      <c r="L111" s="6">
        <v>13</v>
      </c>
      <c r="M111" s="6">
        <v>2</v>
      </c>
      <c r="N111" s="6">
        <v>1</v>
      </c>
      <c r="O111" s="6" t="str">
        <f t="shared" si="13"/>
        <v>Overtriaged</v>
      </c>
      <c r="P111" s="6"/>
      <c r="Q111" s="6">
        <v>2</v>
      </c>
      <c r="R111" s="6" t="str">
        <f t="shared" si="14"/>
        <v>Correct</v>
      </c>
      <c r="S111" s="6" t="s">
        <v>3787</v>
      </c>
      <c r="T111" s="14">
        <v>2</v>
      </c>
      <c r="U111" s="6" t="str">
        <f t="shared" si="15"/>
        <v>Correct</v>
      </c>
      <c r="V111" s="15">
        <v>2</v>
      </c>
      <c r="W111" s="15" t="str">
        <f t="shared" si="16"/>
        <v>Correct</v>
      </c>
      <c r="X111" s="14">
        <v>2</v>
      </c>
      <c r="Y111" s="14" t="str">
        <f t="shared" si="17"/>
        <v>Correct</v>
      </c>
      <c r="Z111" s="6">
        <v>110</v>
      </c>
      <c r="AA111" s="6" t="s">
        <v>1184</v>
      </c>
      <c r="AB111" s="6" t="s">
        <v>1185</v>
      </c>
      <c r="AC111" s="6">
        <v>1</v>
      </c>
      <c r="AD111" s="6" t="s">
        <v>40</v>
      </c>
      <c r="AE111" s="6" t="s">
        <v>1186</v>
      </c>
      <c r="AF111" s="6" t="s">
        <v>44</v>
      </c>
      <c r="AG111" s="6" t="s">
        <v>44</v>
      </c>
      <c r="AH111" s="6" t="s">
        <v>44</v>
      </c>
      <c r="AI111" s="6" t="s">
        <v>44</v>
      </c>
      <c r="AJ111" s="6" t="s">
        <v>44</v>
      </c>
      <c r="AK111" s="6" t="s">
        <v>1187</v>
      </c>
      <c r="AL111" s="6" t="s">
        <v>5100</v>
      </c>
      <c r="AM111" s="6" t="s">
        <v>1188</v>
      </c>
      <c r="AN111" s="6" t="s">
        <v>1182</v>
      </c>
      <c r="AO111" s="6" t="s">
        <v>1182</v>
      </c>
      <c r="AP111" s="6" t="s">
        <v>1182</v>
      </c>
      <c r="AQ111" s="21" t="s">
        <v>1182</v>
      </c>
      <c r="AR111" s="6" t="s">
        <v>1182</v>
      </c>
      <c r="AS111" s="6" t="s">
        <v>1189</v>
      </c>
      <c r="AT111" s="14">
        <v>2</v>
      </c>
      <c r="AU111" s="14">
        <v>2</v>
      </c>
      <c r="AV111" s="14">
        <v>2</v>
      </c>
      <c r="AW111" s="14">
        <v>2</v>
      </c>
      <c r="AX111" s="14">
        <v>2</v>
      </c>
      <c r="AY111" s="14">
        <v>2</v>
      </c>
      <c r="AZ111" s="14">
        <v>2</v>
      </c>
      <c r="BA111" s="2"/>
    </row>
    <row r="112" spans="1:53" ht="44" customHeight="1" x14ac:dyDescent="0.2">
      <c r="A112" s="6">
        <v>51278497</v>
      </c>
      <c r="B112" s="6"/>
      <c r="C112" s="7" t="s">
        <v>35</v>
      </c>
      <c r="D112" s="6" t="s">
        <v>1190</v>
      </c>
      <c r="E112" s="6">
        <f t="shared" si="9"/>
        <v>178</v>
      </c>
      <c r="F112" s="6" t="s">
        <v>1191</v>
      </c>
      <c r="G112" s="6">
        <f t="shared" si="10"/>
        <v>22</v>
      </c>
      <c r="H112" s="9">
        <f t="shared" si="11"/>
        <v>0.8764044943820225</v>
      </c>
      <c r="I112" s="6"/>
      <c r="J112" s="6">
        <v>0</v>
      </c>
      <c r="K112" s="9">
        <f t="shared" si="12"/>
        <v>0</v>
      </c>
      <c r="L112" s="6">
        <v>1</v>
      </c>
      <c r="M112" s="6">
        <v>2</v>
      </c>
      <c r="N112" s="6">
        <v>2</v>
      </c>
      <c r="O112" s="6" t="str">
        <f t="shared" si="13"/>
        <v>Correct</v>
      </c>
      <c r="P112" s="6"/>
      <c r="Q112" s="6">
        <v>2</v>
      </c>
      <c r="R112" s="6" t="str">
        <f t="shared" si="14"/>
        <v>Correct</v>
      </c>
      <c r="S112" s="6" t="s">
        <v>3614</v>
      </c>
      <c r="T112" s="14">
        <v>2</v>
      </c>
      <c r="U112" s="6" t="str">
        <f t="shared" si="15"/>
        <v>Correct</v>
      </c>
      <c r="V112" s="15">
        <v>2</v>
      </c>
      <c r="W112" s="15" t="str">
        <f t="shared" si="16"/>
        <v>Correct</v>
      </c>
      <c r="X112" s="14">
        <v>2</v>
      </c>
      <c r="Y112" s="14" t="str">
        <f t="shared" si="17"/>
        <v>Correct</v>
      </c>
      <c r="Z112" s="6">
        <v>111</v>
      </c>
      <c r="AA112" s="6" t="s">
        <v>1192</v>
      </c>
      <c r="AB112" s="6" t="s">
        <v>1193</v>
      </c>
      <c r="AC112" s="6">
        <v>2</v>
      </c>
      <c r="AD112" s="6" t="s">
        <v>120</v>
      </c>
      <c r="AE112" s="6" t="s">
        <v>3951</v>
      </c>
      <c r="AF112" s="6" t="s">
        <v>1194</v>
      </c>
      <c r="AG112" s="6" t="s">
        <v>3952</v>
      </c>
      <c r="AH112" s="6" t="s">
        <v>44</v>
      </c>
      <c r="AI112" s="6" t="s">
        <v>44</v>
      </c>
      <c r="AJ112" s="6" t="s">
        <v>44</v>
      </c>
      <c r="AK112" s="6" t="s">
        <v>1195</v>
      </c>
      <c r="AL112" s="6" t="s">
        <v>5099</v>
      </c>
      <c r="AM112" s="6" t="s">
        <v>4697</v>
      </c>
      <c r="AN112" s="6" t="s">
        <v>1196</v>
      </c>
      <c r="AO112" s="6" t="s">
        <v>4698</v>
      </c>
      <c r="AP112" s="6" t="s">
        <v>1190</v>
      </c>
      <c r="AQ112" s="21" t="s">
        <v>1190</v>
      </c>
      <c r="AR112" s="6" t="s">
        <v>1190</v>
      </c>
      <c r="AS112" s="6" t="s">
        <v>1197</v>
      </c>
      <c r="AT112" s="14">
        <v>2</v>
      </c>
      <c r="AU112" s="14">
        <v>2</v>
      </c>
      <c r="AV112" s="14">
        <v>2</v>
      </c>
      <c r="AW112" s="14">
        <v>2</v>
      </c>
      <c r="AX112" s="14">
        <v>2</v>
      </c>
      <c r="AY112" s="14">
        <v>2</v>
      </c>
      <c r="AZ112" s="14">
        <v>2</v>
      </c>
      <c r="BA112" s="2"/>
    </row>
    <row r="113" spans="1:53" ht="44" customHeight="1" x14ac:dyDescent="0.2">
      <c r="A113" s="6">
        <v>51276096</v>
      </c>
      <c r="B113" s="6"/>
      <c r="C113" s="7" t="s">
        <v>35</v>
      </c>
      <c r="D113" s="6" t="s">
        <v>1198</v>
      </c>
      <c r="E113" s="6">
        <f t="shared" si="9"/>
        <v>160</v>
      </c>
      <c r="F113" s="6" t="s">
        <v>1199</v>
      </c>
      <c r="G113" s="6">
        <f t="shared" si="10"/>
        <v>38</v>
      </c>
      <c r="H113" s="9">
        <f t="shared" si="11"/>
        <v>0.76249999999999996</v>
      </c>
      <c r="I113" s="6" t="s">
        <v>5195</v>
      </c>
      <c r="J113" s="6">
        <v>3</v>
      </c>
      <c r="K113" s="9">
        <f t="shared" si="12"/>
        <v>1.8749999999999999E-2</v>
      </c>
      <c r="L113" s="6">
        <v>10</v>
      </c>
      <c r="M113" s="6">
        <v>2</v>
      </c>
      <c r="N113" s="6">
        <v>2</v>
      </c>
      <c r="O113" s="6" t="str">
        <f t="shared" si="13"/>
        <v>Correct</v>
      </c>
      <c r="P113" s="6"/>
      <c r="Q113" s="6">
        <v>2</v>
      </c>
      <c r="R113" s="6" t="str">
        <f t="shared" si="14"/>
        <v>Correct</v>
      </c>
      <c r="S113" s="6" t="s">
        <v>3615</v>
      </c>
      <c r="T113" s="14">
        <v>2</v>
      </c>
      <c r="U113" s="6" t="str">
        <f t="shared" si="15"/>
        <v>Correct</v>
      </c>
      <c r="V113" s="15">
        <v>2</v>
      </c>
      <c r="W113" s="15" t="str">
        <f t="shared" si="16"/>
        <v>Correct</v>
      </c>
      <c r="X113" s="14">
        <v>2</v>
      </c>
      <c r="Y113" s="14" t="str">
        <f t="shared" si="17"/>
        <v>Correct</v>
      </c>
      <c r="Z113" s="6">
        <v>112</v>
      </c>
      <c r="AA113" s="6" t="s">
        <v>1200</v>
      </c>
      <c r="AB113" s="6" t="s">
        <v>1201</v>
      </c>
      <c r="AC113" s="6">
        <v>1</v>
      </c>
      <c r="AD113" s="6" t="s">
        <v>40</v>
      </c>
      <c r="AE113" s="6" t="s">
        <v>1202</v>
      </c>
      <c r="AF113" s="6" t="s">
        <v>1203</v>
      </c>
      <c r="AG113" s="6" t="s">
        <v>1204</v>
      </c>
      <c r="AH113" s="6" t="s">
        <v>44</v>
      </c>
      <c r="AI113" s="6" t="s">
        <v>3404</v>
      </c>
      <c r="AJ113" s="6" t="s">
        <v>3953</v>
      </c>
      <c r="AK113" s="6" t="s">
        <v>1205</v>
      </c>
      <c r="AL113" s="6" t="s">
        <v>3476</v>
      </c>
      <c r="AM113" s="6" t="s">
        <v>1206</v>
      </c>
      <c r="AN113" s="6" t="s">
        <v>1207</v>
      </c>
      <c r="AO113" s="6" t="s">
        <v>1208</v>
      </c>
      <c r="AP113" s="6" t="s">
        <v>1198</v>
      </c>
      <c r="AQ113" s="21" t="s">
        <v>4450</v>
      </c>
      <c r="AR113" s="6" t="s">
        <v>4699</v>
      </c>
      <c r="AS113" s="6" t="s">
        <v>4700</v>
      </c>
      <c r="AT113" s="14">
        <v>2</v>
      </c>
      <c r="AU113" s="14">
        <v>2</v>
      </c>
      <c r="AV113" s="14">
        <v>2</v>
      </c>
      <c r="AW113" s="14">
        <v>2</v>
      </c>
      <c r="AX113" s="14">
        <v>2</v>
      </c>
      <c r="AY113" s="14">
        <v>2</v>
      </c>
      <c r="AZ113" s="14">
        <v>2</v>
      </c>
      <c r="BA113" s="2"/>
    </row>
    <row r="114" spans="1:53" ht="44" customHeight="1" x14ac:dyDescent="0.2">
      <c r="A114" s="6">
        <v>51360134</v>
      </c>
      <c r="B114" s="6"/>
      <c r="C114" s="7" t="s">
        <v>35</v>
      </c>
      <c r="D114" s="6" t="s">
        <v>1209</v>
      </c>
      <c r="E114" s="6">
        <f t="shared" si="9"/>
        <v>393</v>
      </c>
      <c r="F114" s="6" t="s">
        <v>1210</v>
      </c>
      <c r="G114" s="6">
        <f t="shared" si="10"/>
        <v>33</v>
      </c>
      <c r="H114" s="9">
        <f t="shared" si="11"/>
        <v>0.91603053435114501</v>
      </c>
      <c r="I114" s="6" t="s">
        <v>5196</v>
      </c>
      <c r="J114" s="6">
        <v>4</v>
      </c>
      <c r="K114" s="9">
        <f t="shared" si="12"/>
        <v>1.0178117048346057E-2</v>
      </c>
      <c r="L114" s="6">
        <v>1</v>
      </c>
      <c r="M114" s="6">
        <v>2</v>
      </c>
      <c r="N114" s="6">
        <v>2</v>
      </c>
      <c r="O114" s="6" t="str">
        <f t="shared" si="13"/>
        <v>Correct</v>
      </c>
      <c r="P114" s="6"/>
      <c r="Q114" s="6">
        <v>2</v>
      </c>
      <c r="R114" s="6" t="str">
        <f t="shared" si="14"/>
        <v>Correct</v>
      </c>
      <c r="S114" s="6" t="s">
        <v>3788</v>
      </c>
      <c r="T114" s="14">
        <v>2</v>
      </c>
      <c r="U114" s="6" t="str">
        <f t="shared" si="15"/>
        <v>Correct</v>
      </c>
      <c r="V114" s="15">
        <v>1</v>
      </c>
      <c r="W114" s="15" t="str">
        <f t="shared" si="16"/>
        <v>Overtriaged</v>
      </c>
      <c r="X114" s="14">
        <v>2</v>
      </c>
      <c r="Y114" s="14" t="str">
        <f t="shared" si="17"/>
        <v>Correct</v>
      </c>
      <c r="Z114" s="6">
        <v>113</v>
      </c>
      <c r="AA114" s="6" t="s">
        <v>1211</v>
      </c>
      <c r="AB114" s="6" t="s">
        <v>1212</v>
      </c>
      <c r="AC114" s="6">
        <v>1</v>
      </c>
      <c r="AD114" s="6" t="s">
        <v>40</v>
      </c>
      <c r="AE114" s="6" t="s">
        <v>309</v>
      </c>
      <c r="AF114" s="6" t="s">
        <v>1213</v>
      </c>
      <c r="AG114" s="6" t="s">
        <v>1214</v>
      </c>
      <c r="AH114" s="6" t="s">
        <v>44</v>
      </c>
      <c r="AI114" s="6" t="s">
        <v>3405</v>
      </c>
      <c r="AJ114" s="6" t="s">
        <v>1215</v>
      </c>
      <c r="AK114" s="6" t="s">
        <v>3954</v>
      </c>
      <c r="AL114" s="6" t="s">
        <v>3476</v>
      </c>
      <c r="AM114" s="6" t="s">
        <v>1216</v>
      </c>
      <c r="AN114" s="6" t="s">
        <v>1217</v>
      </c>
      <c r="AO114" s="6" t="s">
        <v>1218</v>
      </c>
      <c r="AP114" s="6" t="s">
        <v>1209</v>
      </c>
      <c r="AQ114" s="21" t="s">
        <v>4451</v>
      </c>
      <c r="AR114" s="6" t="s">
        <v>1219</v>
      </c>
      <c r="AS114" s="6" t="s">
        <v>4701</v>
      </c>
      <c r="AT114" s="14">
        <v>2</v>
      </c>
      <c r="AU114" s="14">
        <v>2</v>
      </c>
      <c r="AV114" s="14">
        <v>2</v>
      </c>
      <c r="AW114" s="14">
        <v>2</v>
      </c>
      <c r="AX114" s="14">
        <v>2</v>
      </c>
      <c r="AY114" s="14">
        <v>2</v>
      </c>
      <c r="AZ114" s="14">
        <v>2</v>
      </c>
      <c r="BA114" s="2"/>
    </row>
    <row r="115" spans="1:53" ht="44" customHeight="1" x14ac:dyDescent="0.2">
      <c r="A115" s="6">
        <v>51482615</v>
      </c>
      <c r="B115" s="6"/>
      <c r="C115" s="7" t="s">
        <v>35</v>
      </c>
      <c r="D115" s="6" t="s">
        <v>1220</v>
      </c>
      <c r="E115" s="6">
        <f t="shared" si="9"/>
        <v>83</v>
      </c>
      <c r="F115" s="6" t="s">
        <v>1221</v>
      </c>
      <c r="G115" s="6">
        <f t="shared" si="10"/>
        <v>34</v>
      </c>
      <c r="H115" s="9">
        <f t="shared" si="11"/>
        <v>0.59036144578313254</v>
      </c>
      <c r="I115" s="6" t="s">
        <v>5197</v>
      </c>
      <c r="J115" s="6">
        <v>3</v>
      </c>
      <c r="K115" s="9">
        <f t="shared" si="12"/>
        <v>3.614457831325301E-2</v>
      </c>
      <c r="L115" s="6">
        <v>2</v>
      </c>
      <c r="M115" s="6">
        <v>2</v>
      </c>
      <c r="N115" s="6">
        <v>2</v>
      </c>
      <c r="O115" s="6" t="str">
        <f t="shared" si="13"/>
        <v>Correct</v>
      </c>
      <c r="P115" s="6"/>
      <c r="Q115" s="6">
        <v>2</v>
      </c>
      <c r="R115" s="6" t="str">
        <f t="shared" si="14"/>
        <v>Correct</v>
      </c>
      <c r="S115" s="6" t="s">
        <v>3616</v>
      </c>
      <c r="T115" s="14">
        <v>1</v>
      </c>
      <c r="U115" s="6" t="str">
        <f t="shared" si="15"/>
        <v>Overtriaged</v>
      </c>
      <c r="V115" s="15">
        <v>2</v>
      </c>
      <c r="W115" s="15" t="str">
        <f t="shared" si="16"/>
        <v>Correct</v>
      </c>
      <c r="X115" s="14">
        <v>2</v>
      </c>
      <c r="Y115" s="14" t="str">
        <f t="shared" si="17"/>
        <v>Correct</v>
      </c>
      <c r="Z115" s="6">
        <v>114</v>
      </c>
      <c r="AA115" s="6" t="s">
        <v>1222</v>
      </c>
      <c r="AB115" s="6" t="s">
        <v>1223</v>
      </c>
      <c r="AC115" s="6">
        <v>1</v>
      </c>
      <c r="AD115" s="6" t="s">
        <v>40</v>
      </c>
      <c r="AE115" s="6" t="s">
        <v>1138</v>
      </c>
      <c r="AF115" s="6" t="s">
        <v>1224</v>
      </c>
      <c r="AG115" s="6" t="s">
        <v>3955</v>
      </c>
      <c r="AH115" s="6" t="s">
        <v>44</v>
      </c>
      <c r="AI115" s="6" t="s">
        <v>3406</v>
      </c>
      <c r="AJ115" s="6" t="s">
        <v>3956</v>
      </c>
      <c r="AK115" s="6" t="s">
        <v>3957</v>
      </c>
      <c r="AL115" s="6" t="s">
        <v>3476</v>
      </c>
      <c r="AM115" s="6" t="s">
        <v>1225</v>
      </c>
      <c r="AN115" s="6" t="s">
        <v>1226</v>
      </c>
      <c r="AO115" s="6" t="s">
        <v>4702</v>
      </c>
      <c r="AP115" s="6" t="s">
        <v>1220</v>
      </c>
      <c r="AQ115" s="21" t="s">
        <v>4452</v>
      </c>
      <c r="AR115" s="6" t="s">
        <v>4703</v>
      </c>
      <c r="AS115" s="6" t="s">
        <v>4704</v>
      </c>
      <c r="AT115" s="14">
        <v>2</v>
      </c>
      <c r="AU115" s="14">
        <v>2</v>
      </c>
      <c r="AV115" s="14">
        <v>2</v>
      </c>
      <c r="AW115" s="14">
        <v>2</v>
      </c>
      <c r="AX115" s="14">
        <v>2</v>
      </c>
      <c r="AY115" s="14">
        <v>2</v>
      </c>
      <c r="AZ115" s="14">
        <v>2</v>
      </c>
      <c r="BA115" s="2"/>
    </row>
    <row r="116" spans="1:53" ht="44" customHeight="1" x14ac:dyDescent="0.2">
      <c r="A116" s="6">
        <v>51458683</v>
      </c>
      <c r="B116" s="6"/>
      <c r="C116" s="7" t="s">
        <v>35</v>
      </c>
      <c r="D116" s="6" t="s">
        <v>1227</v>
      </c>
      <c r="E116" s="6">
        <f t="shared" si="9"/>
        <v>155</v>
      </c>
      <c r="F116" s="6" t="s">
        <v>1228</v>
      </c>
      <c r="G116" s="6">
        <f t="shared" si="10"/>
        <v>42</v>
      </c>
      <c r="H116" s="9">
        <f t="shared" si="11"/>
        <v>0.7290322580645161</v>
      </c>
      <c r="I116" s="6" t="s">
        <v>5198</v>
      </c>
      <c r="J116" s="6">
        <v>6</v>
      </c>
      <c r="K116" s="9">
        <f t="shared" si="12"/>
        <v>3.870967741935484E-2</v>
      </c>
      <c r="L116" s="6">
        <v>14</v>
      </c>
      <c r="M116" s="6">
        <v>2</v>
      </c>
      <c r="N116" s="6">
        <v>2</v>
      </c>
      <c r="O116" s="6" t="str">
        <f t="shared" si="13"/>
        <v>Correct</v>
      </c>
      <c r="P116" s="6"/>
      <c r="Q116" s="6">
        <v>2</v>
      </c>
      <c r="R116" s="6" t="str">
        <f t="shared" si="14"/>
        <v>Correct</v>
      </c>
      <c r="S116" s="6" t="s">
        <v>3617</v>
      </c>
      <c r="T116" s="14">
        <v>2</v>
      </c>
      <c r="U116" s="6" t="str">
        <f t="shared" si="15"/>
        <v>Correct</v>
      </c>
      <c r="V116" s="15">
        <v>2</v>
      </c>
      <c r="W116" s="15" t="str">
        <f t="shared" si="16"/>
        <v>Correct</v>
      </c>
      <c r="X116" s="14">
        <v>2</v>
      </c>
      <c r="Y116" s="14" t="str">
        <f t="shared" si="17"/>
        <v>Correct</v>
      </c>
      <c r="Z116" s="6">
        <v>115</v>
      </c>
      <c r="AA116" s="6" t="s">
        <v>1229</v>
      </c>
      <c r="AB116" s="6" t="s">
        <v>1230</v>
      </c>
      <c r="AC116" s="6">
        <v>1</v>
      </c>
      <c r="AD116" s="6" t="s">
        <v>40</v>
      </c>
      <c r="AE116" s="6" t="s">
        <v>1231</v>
      </c>
      <c r="AF116" s="6" t="s">
        <v>1109</v>
      </c>
      <c r="AG116" s="6" t="s">
        <v>1232</v>
      </c>
      <c r="AH116" s="6" t="s">
        <v>44</v>
      </c>
      <c r="AI116" s="6" t="s">
        <v>44</v>
      </c>
      <c r="AJ116" s="6" t="s">
        <v>1233</v>
      </c>
      <c r="AK116" s="6" t="s">
        <v>1234</v>
      </c>
      <c r="AL116" s="6" t="s">
        <v>3476</v>
      </c>
      <c r="AM116" s="6" t="s">
        <v>1235</v>
      </c>
      <c r="AN116" s="6" t="s">
        <v>1236</v>
      </c>
      <c r="AO116" s="6" t="s">
        <v>1237</v>
      </c>
      <c r="AP116" s="6" t="s">
        <v>1227</v>
      </c>
      <c r="AQ116" s="21" t="s">
        <v>1227</v>
      </c>
      <c r="AR116" s="6" t="s">
        <v>1238</v>
      </c>
      <c r="AS116" s="6" t="s">
        <v>1239</v>
      </c>
      <c r="AT116" s="14">
        <v>2</v>
      </c>
      <c r="AU116" s="14">
        <v>2</v>
      </c>
      <c r="AV116" s="14">
        <v>2</v>
      </c>
      <c r="AW116" s="14">
        <v>2</v>
      </c>
      <c r="AX116" s="14">
        <v>2</v>
      </c>
      <c r="AY116" s="14">
        <v>2</v>
      </c>
      <c r="AZ116" s="14">
        <v>2</v>
      </c>
      <c r="BA116" s="2"/>
    </row>
    <row r="117" spans="1:53" ht="44" customHeight="1" x14ac:dyDescent="0.2">
      <c r="A117" s="6">
        <v>51663615</v>
      </c>
      <c r="B117" s="6"/>
      <c r="C117" s="7" t="s">
        <v>35</v>
      </c>
      <c r="D117" s="6" t="s">
        <v>1240</v>
      </c>
      <c r="E117" s="6">
        <f t="shared" si="9"/>
        <v>205</v>
      </c>
      <c r="F117" s="6" t="s">
        <v>1241</v>
      </c>
      <c r="G117" s="6">
        <f t="shared" si="10"/>
        <v>39</v>
      </c>
      <c r="H117" s="9">
        <f t="shared" si="11"/>
        <v>0.80975609756097566</v>
      </c>
      <c r="I117" s="6" t="s">
        <v>5199</v>
      </c>
      <c r="J117" s="6">
        <v>5</v>
      </c>
      <c r="K117" s="9">
        <f t="shared" si="12"/>
        <v>2.4390243902439025E-2</v>
      </c>
      <c r="L117" s="6">
        <v>5</v>
      </c>
      <c r="M117" s="6">
        <v>2</v>
      </c>
      <c r="N117" s="6">
        <v>2</v>
      </c>
      <c r="O117" s="6" t="str">
        <f t="shared" si="13"/>
        <v>Correct</v>
      </c>
      <c r="P117" s="6"/>
      <c r="Q117" s="6">
        <v>2</v>
      </c>
      <c r="R117" s="6" t="str">
        <f t="shared" si="14"/>
        <v>Correct</v>
      </c>
      <c r="S117" s="6" t="s">
        <v>3618</v>
      </c>
      <c r="T117" s="14">
        <v>2</v>
      </c>
      <c r="U117" s="6" t="str">
        <f t="shared" si="15"/>
        <v>Correct</v>
      </c>
      <c r="V117" s="15">
        <v>3</v>
      </c>
      <c r="W117" s="15" t="str">
        <f t="shared" si="16"/>
        <v>Undertriaged</v>
      </c>
      <c r="X117" s="14">
        <v>2</v>
      </c>
      <c r="Y117" s="14" t="str">
        <f t="shared" si="17"/>
        <v>Correct</v>
      </c>
      <c r="Z117" s="6">
        <v>116</v>
      </c>
      <c r="AA117" s="6" t="s">
        <v>1242</v>
      </c>
      <c r="AB117" s="6" t="s">
        <v>1243</v>
      </c>
      <c r="AC117" s="6">
        <v>1</v>
      </c>
      <c r="AD117" s="6" t="s">
        <v>40</v>
      </c>
      <c r="AE117" s="6" t="s">
        <v>215</v>
      </c>
      <c r="AF117" s="6" t="s">
        <v>1244</v>
      </c>
      <c r="AG117" s="6" t="s">
        <v>3958</v>
      </c>
      <c r="AH117" s="6" t="s">
        <v>1032</v>
      </c>
      <c r="AI117" s="6" t="s">
        <v>3389</v>
      </c>
      <c r="AJ117" s="6" t="s">
        <v>1245</v>
      </c>
      <c r="AK117" s="6" t="s">
        <v>1246</v>
      </c>
      <c r="AL117" s="6" t="s">
        <v>3477</v>
      </c>
      <c r="AM117" s="6" t="s">
        <v>1247</v>
      </c>
      <c r="AN117" s="6" t="s">
        <v>1248</v>
      </c>
      <c r="AO117" s="6" t="s">
        <v>4705</v>
      </c>
      <c r="AP117" s="6" t="s">
        <v>1249</v>
      </c>
      <c r="AQ117" s="21" t="s">
        <v>4453</v>
      </c>
      <c r="AR117" s="6" t="s">
        <v>1250</v>
      </c>
      <c r="AS117" s="6" t="s">
        <v>1251</v>
      </c>
      <c r="AT117" s="14">
        <v>2</v>
      </c>
      <c r="AU117" s="14">
        <v>2</v>
      </c>
      <c r="AV117" s="14">
        <v>2</v>
      </c>
      <c r="AW117" s="14">
        <v>2</v>
      </c>
      <c r="AX117" s="14">
        <v>2</v>
      </c>
      <c r="AY117" s="14">
        <v>2</v>
      </c>
      <c r="AZ117" s="14">
        <v>2</v>
      </c>
      <c r="BA117" s="2"/>
    </row>
    <row r="118" spans="1:53" ht="44" customHeight="1" x14ac:dyDescent="0.2">
      <c r="A118" s="6">
        <v>51674254</v>
      </c>
      <c r="B118" s="6"/>
      <c r="C118" s="7" t="s">
        <v>35</v>
      </c>
      <c r="D118" s="6" t="s">
        <v>1252</v>
      </c>
      <c r="E118" s="6">
        <f t="shared" si="9"/>
        <v>157</v>
      </c>
      <c r="F118" s="6" t="s">
        <v>1253</v>
      </c>
      <c r="G118" s="6">
        <f t="shared" si="10"/>
        <v>35</v>
      </c>
      <c r="H118" s="9">
        <f t="shared" si="11"/>
        <v>0.77707006369426757</v>
      </c>
      <c r="I118" s="6" t="s">
        <v>5200</v>
      </c>
      <c r="J118" s="6">
        <v>3</v>
      </c>
      <c r="K118" s="9">
        <f t="shared" si="12"/>
        <v>1.9108280254777069E-2</v>
      </c>
      <c r="L118" s="6">
        <v>13</v>
      </c>
      <c r="M118" s="6">
        <v>2</v>
      </c>
      <c r="N118" s="6">
        <v>2</v>
      </c>
      <c r="O118" s="6" t="str">
        <f t="shared" si="13"/>
        <v>Correct</v>
      </c>
      <c r="P118" s="6"/>
      <c r="Q118" s="6">
        <v>2</v>
      </c>
      <c r="R118" s="6" t="str">
        <f t="shared" si="14"/>
        <v>Correct</v>
      </c>
      <c r="S118" s="6" t="s">
        <v>3619</v>
      </c>
      <c r="T118" s="14">
        <v>2</v>
      </c>
      <c r="U118" s="6" t="str">
        <f t="shared" si="15"/>
        <v>Correct</v>
      </c>
      <c r="V118" s="15">
        <v>2</v>
      </c>
      <c r="W118" s="15" t="str">
        <f t="shared" si="16"/>
        <v>Correct</v>
      </c>
      <c r="X118" s="14">
        <v>2</v>
      </c>
      <c r="Y118" s="14" t="str">
        <f t="shared" si="17"/>
        <v>Correct</v>
      </c>
      <c r="Z118" s="6">
        <v>117</v>
      </c>
      <c r="AA118" s="6" t="s">
        <v>1254</v>
      </c>
      <c r="AB118" s="6" t="s">
        <v>1255</v>
      </c>
      <c r="AC118" s="6">
        <v>1</v>
      </c>
      <c r="AD118" s="6" t="s">
        <v>40</v>
      </c>
      <c r="AE118" s="6" t="s">
        <v>1174</v>
      </c>
      <c r="AF118" s="6" t="s">
        <v>1256</v>
      </c>
      <c r="AG118" s="6" t="s">
        <v>1257</v>
      </c>
      <c r="AH118" s="6" t="s">
        <v>44</v>
      </c>
      <c r="AI118" s="6" t="s">
        <v>4349</v>
      </c>
      <c r="AJ118" s="6" t="s">
        <v>1258</v>
      </c>
      <c r="AK118" s="6" t="s">
        <v>3959</v>
      </c>
      <c r="AL118" s="6" t="s">
        <v>3476</v>
      </c>
      <c r="AM118" s="6" t="s">
        <v>1259</v>
      </c>
      <c r="AN118" s="6" t="s">
        <v>1260</v>
      </c>
      <c r="AO118" s="6" t="s">
        <v>1261</v>
      </c>
      <c r="AP118" s="6" t="s">
        <v>1252</v>
      </c>
      <c r="AQ118" s="21" t="s">
        <v>4454</v>
      </c>
      <c r="AR118" s="6" t="s">
        <v>4706</v>
      </c>
      <c r="AS118" s="6" t="s">
        <v>4707</v>
      </c>
      <c r="AT118" s="14">
        <v>2</v>
      </c>
      <c r="AU118" s="14">
        <v>2</v>
      </c>
      <c r="AV118" s="14">
        <v>2</v>
      </c>
      <c r="AW118" s="14">
        <v>2</v>
      </c>
      <c r="AX118" s="14">
        <v>2</v>
      </c>
      <c r="AY118" s="14">
        <v>2</v>
      </c>
      <c r="AZ118" s="14">
        <v>2</v>
      </c>
      <c r="BA118" s="2"/>
    </row>
    <row r="119" spans="1:53" ht="44" customHeight="1" x14ac:dyDescent="0.2">
      <c r="A119" s="6">
        <v>51760688</v>
      </c>
      <c r="B119" s="6"/>
      <c r="C119" s="7" t="s">
        <v>35</v>
      </c>
      <c r="D119" s="6" t="s">
        <v>1262</v>
      </c>
      <c r="E119" s="6">
        <f t="shared" si="9"/>
        <v>187</v>
      </c>
      <c r="F119" s="6" t="s">
        <v>1263</v>
      </c>
      <c r="G119" s="6">
        <f t="shared" si="10"/>
        <v>39</v>
      </c>
      <c r="H119" s="9">
        <f t="shared" si="11"/>
        <v>0.79144385026737973</v>
      </c>
      <c r="I119" s="6"/>
      <c r="J119" s="6">
        <v>0</v>
      </c>
      <c r="K119" s="9">
        <f t="shared" si="12"/>
        <v>0</v>
      </c>
      <c r="L119" s="6">
        <v>1</v>
      </c>
      <c r="M119" s="6">
        <v>2</v>
      </c>
      <c r="N119" s="6">
        <v>2</v>
      </c>
      <c r="O119" s="6" t="str">
        <f t="shared" si="13"/>
        <v>Correct</v>
      </c>
      <c r="P119" s="6"/>
      <c r="Q119" s="6">
        <v>2</v>
      </c>
      <c r="R119" s="6" t="str">
        <f t="shared" si="14"/>
        <v>Correct</v>
      </c>
      <c r="S119" s="6" t="s">
        <v>3620</v>
      </c>
      <c r="T119" s="14">
        <v>2</v>
      </c>
      <c r="U119" s="6" t="str">
        <f t="shared" si="15"/>
        <v>Correct</v>
      </c>
      <c r="V119" s="15">
        <v>2</v>
      </c>
      <c r="W119" s="15" t="str">
        <f t="shared" si="16"/>
        <v>Correct</v>
      </c>
      <c r="X119" s="14">
        <v>2</v>
      </c>
      <c r="Y119" s="14" t="str">
        <f t="shared" si="17"/>
        <v>Correct</v>
      </c>
      <c r="Z119" s="6">
        <v>118</v>
      </c>
      <c r="AA119" s="6" t="s">
        <v>1264</v>
      </c>
      <c r="AB119" s="6" t="s">
        <v>1265</v>
      </c>
      <c r="AC119" s="6">
        <v>4</v>
      </c>
      <c r="AD119" s="6" t="s">
        <v>40</v>
      </c>
      <c r="AE119" s="6" t="s">
        <v>1266</v>
      </c>
      <c r="AF119" s="6" t="s">
        <v>44</v>
      </c>
      <c r="AG119" s="6" t="s">
        <v>44</v>
      </c>
      <c r="AH119" s="6" t="s">
        <v>44</v>
      </c>
      <c r="AI119" s="6" t="s">
        <v>3374</v>
      </c>
      <c r="AJ119" s="6" t="s">
        <v>1267</v>
      </c>
      <c r="AK119" s="6" t="s">
        <v>1268</v>
      </c>
      <c r="AL119" s="6" t="s">
        <v>3480</v>
      </c>
      <c r="AM119" s="6" t="s">
        <v>1269</v>
      </c>
      <c r="AN119" s="6" t="s">
        <v>1262</v>
      </c>
      <c r="AO119" s="6" t="s">
        <v>1262</v>
      </c>
      <c r="AP119" s="6" t="s">
        <v>1262</v>
      </c>
      <c r="AQ119" s="21" t="s">
        <v>4455</v>
      </c>
      <c r="AR119" s="6" t="s">
        <v>4708</v>
      </c>
      <c r="AS119" s="6" t="s">
        <v>1270</v>
      </c>
      <c r="AT119" s="14">
        <v>2</v>
      </c>
      <c r="AU119" s="14">
        <v>2</v>
      </c>
      <c r="AV119" s="14">
        <v>2</v>
      </c>
      <c r="AW119" s="14">
        <v>2</v>
      </c>
      <c r="AX119" s="14">
        <v>2</v>
      </c>
      <c r="AY119" s="14">
        <v>2</v>
      </c>
      <c r="AZ119" s="14">
        <v>2</v>
      </c>
      <c r="BA119" s="2"/>
    </row>
    <row r="120" spans="1:53" ht="44" customHeight="1" x14ac:dyDescent="0.2">
      <c r="A120" s="6">
        <v>51896574</v>
      </c>
      <c r="B120" s="6"/>
      <c r="C120" s="7" t="s">
        <v>35</v>
      </c>
      <c r="D120" s="6" t="s">
        <v>1271</v>
      </c>
      <c r="E120" s="6">
        <f t="shared" si="9"/>
        <v>203</v>
      </c>
      <c r="F120" s="6" t="s">
        <v>1272</v>
      </c>
      <c r="G120" s="6">
        <f t="shared" si="10"/>
        <v>34</v>
      </c>
      <c r="H120" s="9">
        <f t="shared" si="11"/>
        <v>0.83251231527093594</v>
      </c>
      <c r="I120" s="6"/>
      <c r="J120" s="6">
        <v>0</v>
      </c>
      <c r="K120" s="9">
        <f t="shared" si="12"/>
        <v>0</v>
      </c>
      <c r="L120" s="6">
        <v>10</v>
      </c>
      <c r="M120" s="6">
        <v>2</v>
      </c>
      <c r="N120" s="6">
        <v>2</v>
      </c>
      <c r="O120" s="6" t="str">
        <f t="shared" si="13"/>
        <v>Correct</v>
      </c>
      <c r="P120" s="6"/>
      <c r="Q120" s="6">
        <v>2</v>
      </c>
      <c r="R120" s="6" t="str">
        <f t="shared" si="14"/>
        <v>Correct</v>
      </c>
      <c r="S120" s="6" t="s">
        <v>3621</v>
      </c>
      <c r="T120" s="14">
        <v>2</v>
      </c>
      <c r="U120" s="6" t="str">
        <f t="shared" si="15"/>
        <v>Correct</v>
      </c>
      <c r="V120" s="15">
        <v>2</v>
      </c>
      <c r="W120" s="15" t="str">
        <f t="shared" si="16"/>
        <v>Correct</v>
      </c>
      <c r="X120" s="14">
        <v>2</v>
      </c>
      <c r="Y120" s="14" t="str">
        <f t="shared" si="17"/>
        <v>Correct</v>
      </c>
      <c r="Z120" s="6">
        <v>119</v>
      </c>
      <c r="AA120" s="6" t="s">
        <v>38</v>
      </c>
      <c r="AB120" s="6" t="s">
        <v>1273</v>
      </c>
      <c r="AC120" s="6">
        <v>1</v>
      </c>
      <c r="AD120" s="6" t="s">
        <v>40</v>
      </c>
      <c r="AE120" s="6" t="s">
        <v>1274</v>
      </c>
      <c r="AF120" s="6" t="s">
        <v>1275</v>
      </c>
      <c r="AG120" s="6" t="s">
        <v>3960</v>
      </c>
      <c r="AH120" s="6" t="s">
        <v>44</v>
      </c>
      <c r="AI120" s="6" t="s">
        <v>3407</v>
      </c>
      <c r="AJ120" s="6" t="s">
        <v>3961</v>
      </c>
      <c r="AK120" s="6" t="s">
        <v>1276</v>
      </c>
      <c r="AL120" s="6" t="s">
        <v>3476</v>
      </c>
      <c r="AM120" s="6" t="s">
        <v>1277</v>
      </c>
      <c r="AN120" s="6" t="s">
        <v>1278</v>
      </c>
      <c r="AO120" s="6" t="s">
        <v>4709</v>
      </c>
      <c r="AP120" s="6" t="s">
        <v>1271</v>
      </c>
      <c r="AQ120" s="21" t="s">
        <v>4456</v>
      </c>
      <c r="AR120" s="6" t="s">
        <v>4710</v>
      </c>
      <c r="AS120" s="6" t="s">
        <v>1279</v>
      </c>
      <c r="AT120" s="14">
        <v>2</v>
      </c>
      <c r="AU120" s="14">
        <v>2</v>
      </c>
      <c r="AV120" s="14">
        <v>2</v>
      </c>
      <c r="AW120" s="14">
        <v>2</v>
      </c>
      <c r="AX120" s="14">
        <v>2</v>
      </c>
      <c r="AY120" s="14">
        <v>2</v>
      </c>
      <c r="AZ120" s="14">
        <v>2</v>
      </c>
      <c r="BA120" s="2"/>
    </row>
    <row r="121" spans="1:53" ht="44" customHeight="1" x14ac:dyDescent="0.2">
      <c r="A121" s="6">
        <v>51921530</v>
      </c>
      <c r="B121" s="6"/>
      <c r="C121" s="7" t="s">
        <v>35</v>
      </c>
      <c r="D121" s="6" t="s">
        <v>1280</v>
      </c>
      <c r="E121" s="6">
        <f t="shared" si="9"/>
        <v>113</v>
      </c>
      <c r="F121" s="6" t="s">
        <v>1282</v>
      </c>
      <c r="G121" s="6">
        <f t="shared" si="10"/>
        <v>26</v>
      </c>
      <c r="H121" s="9">
        <f t="shared" si="11"/>
        <v>0.76991150442477874</v>
      </c>
      <c r="I121" s="6" t="s">
        <v>5201</v>
      </c>
      <c r="J121" s="6">
        <v>5</v>
      </c>
      <c r="K121" s="9">
        <f t="shared" si="12"/>
        <v>4.4247787610619468E-2</v>
      </c>
      <c r="L121" s="6">
        <v>8</v>
      </c>
      <c r="M121" s="6">
        <v>2</v>
      </c>
      <c r="N121" s="6">
        <v>2</v>
      </c>
      <c r="O121" s="6" t="str">
        <f t="shared" si="13"/>
        <v>Correct</v>
      </c>
      <c r="P121" s="6"/>
      <c r="Q121" s="6">
        <v>2</v>
      </c>
      <c r="R121" s="6" t="str">
        <f t="shared" si="14"/>
        <v>Correct</v>
      </c>
      <c r="S121" s="6" t="s">
        <v>1281</v>
      </c>
      <c r="T121" s="14">
        <v>2</v>
      </c>
      <c r="U121" s="6" t="str">
        <f t="shared" si="15"/>
        <v>Correct</v>
      </c>
      <c r="V121" s="15">
        <v>2</v>
      </c>
      <c r="W121" s="15" t="str">
        <f t="shared" si="16"/>
        <v>Correct</v>
      </c>
      <c r="X121" s="14">
        <v>2</v>
      </c>
      <c r="Y121" s="14" t="str">
        <f t="shared" si="17"/>
        <v>Correct</v>
      </c>
      <c r="Z121" s="6">
        <v>120</v>
      </c>
      <c r="AA121" s="6" t="s">
        <v>1283</v>
      </c>
      <c r="AB121" s="6" t="s">
        <v>1284</v>
      </c>
      <c r="AC121" s="6">
        <v>1</v>
      </c>
      <c r="AD121" s="6" t="s">
        <v>40</v>
      </c>
      <c r="AE121" s="6" t="s">
        <v>1285</v>
      </c>
      <c r="AF121" s="6" t="s">
        <v>1286</v>
      </c>
      <c r="AG121" s="6" t="s">
        <v>1287</v>
      </c>
      <c r="AH121" s="6" t="s">
        <v>1288</v>
      </c>
      <c r="AI121" s="6" t="s">
        <v>44</v>
      </c>
      <c r="AJ121" s="6" t="s">
        <v>44</v>
      </c>
      <c r="AK121" s="6" t="s">
        <v>1289</v>
      </c>
      <c r="AL121" s="6" t="s">
        <v>5098</v>
      </c>
      <c r="AM121" s="6" t="s">
        <v>1290</v>
      </c>
      <c r="AN121" s="6" t="s">
        <v>1291</v>
      </c>
      <c r="AO121" s="6" t="s">
        <v>1292</v>
      </c>
      <c r="AP121" s="6" t="s">
        <v>1293</v>
      </c>
      <c r="AQ121" s="21" t="s">
        <v>1280</v>
      </c>
      <c r="AR121" s="6" t="s">
        <v>1280</v>
      </c>
      <c r="AS121" s="6" t="s">
        <v>1294</v>
      </c>
      <c r="AT121" s="14">
        <v>2</v>
      </c>
      <c r="AU121" s="14">
        <v>2</v>
      </c>
      <c r="AV121" s="14">
        <v>2</v>
      </c>
      <c r="AW121" s="14">
        <v>2</v>
      </c>
      <c r="AX121" s="14">
        <v>2</v>
      </c>
      <c r="AY121" s="14">
        <v>2</v>
      </c>
      <c r="AZ121" s="14">
        <v>2</v>
      </c>
      <c r="BA121" s="2"/>
    </row>
    <row r="122" spans="1:53" ht="44" customHeight="1" x14ac:dyDescent="0.2">
      <c r="A122" s="6">
        <v>52044948</v>
      </c>
      <c r="B122" s="6"/>
      <c r="C122" s="7" t="s">
        <v>35</v>
      </c>
      <c r="D122" s="6" t="s">
        <v>1295</v>
      </c>
      <c r="E122" s="6">
        <f t="shared" si="9"/>
        <v>106</v>
      </c>
      <c r="F122" s="6" t="s">
        <v>1296</v>
      </c>
      <c r="G122" s="6">
        <f t="shared" si="10"/>
        <v>43</v>
      </c>
      <c r="H122" s="9">
        <f t="shared" si="11"/>
        <v>0.59433962264150941</v>
      </c>
      <c r="I122" s="6" t="s">
        <v>5202</v>
      </c>
      <c r="J122" s="6">
        <v>5</v>
      </c>
      <c r="K122" s="9">
        <f t="shared" si="12"/>
        <v>4.716981132075472E-2</v>
      </c>
      <c r="L122" s="6">
        <v>1</v>
      </c>
      <c r="M122" s="6">
        <v>2</v>
      </c>
      <c r="N122" s="6">
        <v>2</v>
      </c>
      <c r="O122" s="6" t="str">
        <f t="shared" si="13"/>
        <v>Correct</v>
      </c>
      <c r="P122" s="6"/>
      <c r="Q122" s="6">
        <v>2</v>
      </c>
      <c r="R122" s="6" t="str">
        <f t="shared" si="14"/>
        <v>Correct</v>
      </c>
      <c r="S122" s="6" t="s">
        <v>3622</v>
      </c>
      <c r="T122" s="14">
        <v>2</v>
      </c>
      <c r="U122" s="6" t="str">
        <f t="shared" si="15"/>
        <v>Correct</v>
      </c>
      <c r="V122" s="15">
        <v>2</v>
      </c>
      <c r="W122" s="15" t="str">
        <f t="shared" si="16"/>
        <v>Correct</v>
      </c>
      <c r="X122" s="14">
        <v>2</v>
      </c>
      <c r="Y122" s="14" t="str">
        <f t="shared" si="17"/>
        <v>Correct</v>
      </c>
      <c r="Z122" s="6">
        <v>121</v>
      </c>
      <c r="AA122" s="6" t="s">
        <v>1297</v>
      </c>
      <c r="AB122" s="6" t="s">
        <v>1298</v>
      </c>
      <c r="AC122" s="6">
        <v>1</v>
      </c>
      <c r="AD122" s="6" t="s">
        <v>40</v>
      </c>
      <c r="AE122" s="6" t="s">
        <v>1299</v>
      </c>
      <c r="AF122" s="6" t="s">
        <v>1300</v>
      </c>
      <c r="AG122" s="6" t="s">
        <v>1301</v>
      </c>
      <c r="AH122" s="6" t="s">
        <v>835</v>
      </c>
      <c r="AI122" s="6" t="s">
        <v>44</v>
      </c>
      <c r="AJ122" s="6" t="s">
        <v>3962</v>
      </c>
      <c r="AK122" s="6" t="s">
        <v>3963</v>
      </c>
      <c r="AL122" s="6" t="s">
        <v>3477</v>
      </c>
      <c r="AM122" s="6" t="s">
        <v>1302</v>
      </c>
      <c r="AN122" s="6" t="s">
        <v>1303</v>
      </c>
      <c r="AO122" s="6" t="s">
        <v>1304</v>
      </c>
      <c r="AP122" s="6" t="s">
        <v>1305</v>
      </c>
      <c r="AQ122" s="21" t="s">
        <v>1295</v>
      </c>
      <c r="AR122" s="6" t="s">
        <v>4711</v>
      </c>
      <c r="AS122" s="6" t="s">
        <v>4712</v>
      </c>
      <c r="AT122" s="14">
        <v>2</v>
      </c>
      <c r="AU122" s="14">
        <v>2</v>
      </c>
      <c r="AV122" s="14">
        <v>2</v>
      </c>
      <c r="AW122" s="14">
        <v>2</v>
      </c>
      <c r="AX122" s="14">
        <v>2</v>
      </c>
      <c r="AY122" s="14">
        <v>2</v>
      </c>
      <c r="AZ122" s="14">
        <v>2</v>
      </c>
      <c r="BA122" s="2"/>
    </row>
    <row r="123" spans="1:53" ht="44" customHeight="1" x14ac:dyDescent="0.2">
      <c r="A123" s="6">
        <v>52098827</v>
      </c>
      <c r="B123" s="6"/>
      <c r="C123" s="7" t="s">
        <v>35</v>
      </c>
      <c r="D123" s="6" t="s">
        <v>1306</v>
      </c>
      <c r="E123" s="6">
        <f t="shared" si="9"/>
        <v>389</v>
      </c>
      <c r="F123" s="6" t="s">
        <v>1308</v>
      </c>
      <c r="G123" s="6">
        <f t="shared" si="10"/>
        <v>7</v>
      </c>
      <c r="H123" s="9">
        <f t="shared" si="11"/>
        <v>0.98200514138817485</v>
      </c>
      <c r="I123" s="6" t="s">
        <v>5203</v>
      </c>
      <c r="J123" s="6">
        <v>4</v>
      </c>
      <c r="K123" s="9">
        <f t="shared" si="12"/>
        <v>1.0282776349614395E-2</v>
      </c>
      <c r="L123" s="6">
        <v>10</v>
      </c>
      <c r="M123" s="6">
        <v>2</v>
      </c>
      <c r="N123" s="6">
        <v>2</v>
      </c>
      <c r="O123" s="6" t="str">
        <f t="shared" si="13"/>
        <v>Correct</v>
      </c>
      <c r="P123" s="6"/>
      <c r="Q123" s="6">
        <v>2</v>
      </c>
      <c r="R123" s="6" t="str">
        <f t="shared" si="14"/>
        <v>Correct</v>
      </c>
      <c r="S123" s="6" t="s">
        <v>1307</v>
      </c>
      <c r="T123" s="14">
        <v>2</v>
      </c>
      <c r="U123" s="6" t="str">
        <f t="shared" si="15"/>
        <v>Correct</v>
      </c>
      <c r="V123" s="15">
        <v>1</v>
      </c>
      <c r="W123" s="15" t="str">
        <f t="shared" si="16"/>
        <v>Overtriaged</v>
      </c>
      <c r="X123" s="14">
        <v>2</v>
      </c>
      <c r="Y123" s="14" t="str">
        <f t="shared" si="17"/>
        <v>Correct</v>
      </c>
      <c r="Z123" s="6">
        <v>122</v>
      </c>
      <c r="AA123" s="6" t="s">
        <v>1309</v>
      </c>
      <c r="AB123" s="6" t="s">
        <v>1310</v>
      </c>
      <c r="AC123" s="6">
        <v>1</v>
      </c>
      <c r="AD123" s="6" t="s">
        <v>40</v>
      </c>
      <c r="AE123" s="6" t="s">
        <v>1311</v>
      </c>
      <c r="AF123" s="6" t="s">
        <v>44</v>
      </c>
      <c r="AG123" s="6" t="s">
        <v>44</v>
      </c>
      <c r="AH123" s="6" t="s">
        <v>44</v>
      </c>
      <c r="AI123" s="6" t="s">
        <v>44</v>
      </c>
      <c r="AJ123" s="6" t="s">
        <v>44</v>
      </c>
      <c r="AK123" s="6" t="s">
        <v>3964</v>
      </c>
      <c r="AL123" s="6" t="s">
        <v>5100</v>
      </c>
      <c r="AM123" s="6" t="s">
        <v>1312</v>
      </c>
      <c r="AN123" s="6" t="s">
        <v>1306</v>
      </c>
      <c r="AO123" s="6" t="s">
        <v>1306</v>
      </c>
      <c r="AP123" s="6" t="s">
        <v>1306</v>
      </c>
      <c r="AQ123" s="21" t="s">
        <v>1306</v>
      </c>
      <c r="AR123" s="6" t="s">
        <v>1306</v>
      </c>
      <c r="AS123" s="6" t="s">
        <v>4713</v>
      </c>
      <c r="AT123" s="14">
        <v>2</v>
      </c>
      <c r="AU123" s="14">
        <v>2</v>
      </c>
      <c r="AV123" s="14">
        <v>2</v>
      </c>
      <c r="AW123" s="14">
        <v>2</v>
      </c>
      <c r="AX123" s="14">
        <v>2</v>
      </c>
      <c r="AY123" s="14">
        <v>2</v>
      </c>
      <c r="AZ123" s="14">
        <v>2</v>
      </c>
      <c r="BA123" s="2"/>
    </row>
    <row r="124" spans="1:53" ht="44" customHeight="1" x14ac:dyDescent="0.2">
      <c r="A124" s="6">
        <v>52099986</v>
      </c>
      <c r="B124" s="6"/>
      <c r="C124" s="7" t="s">
        <v>35</v>
      </c>
      <c r="D124" s="6" t="s">
        <v>1313</v>
      </c>
      <c r="E124" s="6">
        <f t="shared" si="9"/>
        <v>167</v>
      </c>
      <c r="F124" s="6" t="s">
        <v>1314</v>
      </c>
      <c r="G124" s="6">
        <f t="shared" si="10"/>
        <v>40</v>
      </c>
      <c r="H124" s="9">
        <f t="shared" si="11"/>
        <v>0.76047904191616766</v>
      </c>
      <c r="I124" s="6" t="s">
        <v>5204</v>
      </c>
      <c r="J124" s="6">
        <v>3</v>
      </c>
      <c r="K124" s="9">
        <f t="shared" si="12"/>
        <v>1.7964071856287425E-2</v>
      </c>
      <c r="L124" s="6">
        <v>5</v>
      </c>
      <c r="M124" s="6">
        <v>2</v>
      </c>
      <c r="N124" s="6">
        <v>2</v>
      </c>
      <c r="O124" s="6" t="str">
        <f t="shared" si="13"/>
        <v>Correct</v>
      </c>
      <c r="P124" s="6"/>
      <c r="Q124" s="6">
        <v>2</v>
      </c>
      <c r="R124" s="6" t="str">
        <f t="shared" si="14"/>
        <v>Correct</v>
      </c>
      <c r="S124" s="6" t="s">
        <v>3789</v>
      </c>
      <c r="T124" s="14">
        <v>1</v>
      </c>
      <c r="U124" s="6" t="str">
        <f t="shared" si="15"/>
        <v>Overtriaged</v>
      </c>
      <c r="V124" s="15">
        <v>1</v>
      </c>
      <c r="W124" s="15" t="str">
        <f t="shared" si="16"/>
        <v>Overtriaged</v>
      </c>
      <c r="X124" s="14">
        <v>2</v>
      </c>
      <c r="Y124" s="14" t="str">
        <f t="shared" si="17"/>
        <v>Correct</v>
      </c>
      <c r="Z124" s="6">
        <v>123</v>
      </c>
      <c r="AA124" s="6" t="s">
        <v>1315</v>
      </c>
      <c r="AB124" s="6" t="s">
        <v>1316</v>
      </c>
      <c r="AC124" s="6">
        <v>1</v>
      </c>
      <c r="AD124" s="6" t="s">
        <v>40</v>
      </c>
      <c r="AE124" s="6" t="s">
        <v>1317</v>
      </c>
      <c r="AF124" s="6" t="s">
        <v>574</v>
      </c>
      <c r="AG124" s="6" t="s">
        <v>1318</v>
      </c>
      <c r="AH124" s="6" t="s">
        <v>1319</v>
      </c>
      <c r="AI124" s="6" t="s">
        <v>3408</v>
      </c>
      <c r="AJ124" s="6" t="s">
        <v>3965</v>
      </c>
      <c r="AK124" s="6" t="s">
        <v>3966</v>
      </c>
      <c r="AL124" s="6" t="s">
        <v>3477</v>
      </c>
      <c r="AM124" s="6" t="s">
        <v>1320</v>
      </c>
      <c r="AN124" s="6" t="s">
        <v>1321</v>
      </c>
      <c r="AO124" s="6" t="s">
        <v>1322</v>
      </c>
      <c r="AP124" s="6" t="s">
        <v>1323</v>
      </c>
      <c r="AQ124" s="21" t="s">
        <v>4457</v>
      </c>
      <c r="AR124" s="6" t="s">
        <v>4714</v>
      </c>
      <c r="AS124" s="6" t="s">
        <v>4715</v>
      </c>
      <c r="AT124" s="14">
        <v>2</v>
      </c>
      <c r="AU124" s="14">
        <v>2</v>
      </c>
      <c r="AV124" s="14">
        <v>2</v>
      </c>
      <c r="AW124" s="14">
        <v>1</v>
      </c>
      <c r="AX124" s="14">
        <v>2</v>
      </c>
      <c r="AY124" s="14">
        <v>2</v>
      </c>
      <c r="AZ124" s="14">
        <v>2</v>
      </c>
      <c r="BA124" s="2"/>
    </row>
    <row r="125" spans="1:53" ht="44" customHeight="1" x14ac:dyDescent="0.2">
      <c r="A125" s="6">
        <v>52129579</v>
      </c>
      <c r="B125" s="6"/>
      <c r="C125" s="7" t="s">
        <v>35</v>
      </c>
      <c r="D125" s="6" t="s">
        <v>1324</v>
      </c>
      <c r="E125" s="6">
        <f t="shared" si="9"/>
        <v>216</v>
      </c>
      <c r="F125" s="6" t="s">
        <v>1325</v>
      </c>
      <c r="G125" s="6">
        <f t="shared" si="10"/>
        <v>48</v>
      </c>
      <c r="H125" s="9">
        <f t="shared" si="11"/>
        <v>0.77777777777777779</v>
      </c>
      <c r="I125" s="6" t="s">
        <v>5205</v>
      </c>
      <c r="J125" s="6">
        <v>2</v>
      </c>
      <c r="K125" s="9">
        <f t="shared" si="12"/>
        <v>9.2592592592592587E-3</v>
      </c>
      <c r="L125" s="6">
        <v>5</v>
      </c>
      <c r="M125" s="6">
        <v>2</v>
      </c>
      <c r="N125" s="6">
        <v>2</v>
      </c>
      <c r="O125" s="6" t="str">
        <f t="shared" si="13"/>
        <v>Correct</v>
      </c>
      <c r="P125" s="6"/>
      <c r="Q125" s="6">
        <v>2</v>
      </c>
      <c r="R125" s="6" t="str">
        <f t="shared" si="14"/>
        <v>Correct</v>
      </c>
      <c r="S125" s="6" t="s">
        <v>3623</v>
      </c>
      <c r="T125" s="14">
        <v>2</v>
      </c>
      <c r="U125" s="6" t="str">
        <f t="shared" si="15"/>
        <v>Correct</v>
      </c>
      <c r="V125" s="15">
        <v>1</v>
      </c>
      <c r="W125" s="15" t="str">
        <f t="shared" si="16"/>
        <v>Overtriaged</v>
      </c>
      <c r="X125" s="14">
        <v>2</v>
      </c>
      <c r="Y125" s="14" t="str">
        <f t="shared" si="17"/>
        <v>Correct</v>
      </c>
      <c r="Z125" s="6">
        <v>124</v>
      </c>
      <c r="AA125" s="6" t="s">
        <v>675</v>
      </c>
      <c r="AB125" s="6" t="s">
        <v>1326</v>
      </c>
      <c r="AC125" s="6">
        <v>1</v>
      </c>
      <c r="AD125" s="6" t="s">
        <v>40</v>
      </c>
      <c r="AE125" s="6" t="s">
        <v>3967</v>
      </c>
      <c r="AF125" s="6" t="s">
        <v>44</v>
      </c>
      <c r="AG125" s="6" t="s">
        <v>44</v>
      </c>
      <c r="AH125" s="6" t="s">
        <v>44</v>
      </c>
      <c r="AI125" s="6" t="s">
        <v>4350</v>
      </c>
      <c r="AJ125" s="6" t="s">
        <v>3968</v>
      </c>
      <c r="AK125" s="6" t="s">
        <v>3969</v>
      </c>
      <c r="AL125" s="6" t="s">
        <v>3480</v>
      </c>
      <c r="AM125" s="6" t="s">
        <v>4716</v>
      </c>
      <c r="AN125" s="6" t="s">
        <v>1324</v>
      </c>
      <c r="AO125" s="6" t="s">
        <v>1324</v>
      </c>
      <c r="AP125" s="6" t="s">
        <v>1324</v>
      </c>
      <c r="AQ125" s="21" t="s">
        <v>4458</v>
      </c>
      <c r="AR125" s="6" t="s">
        <v>4717</v>
      </c>
      <c r="AS125" s="6" t="s">
        <v>4718</v>
      </c>
      <c r="AT125" s="14">
        <v>2</v>
      </c>
      <c r="AU125" s="14">
        <v>2</v>
      </c>
      <c r="AV125" s="14">
        <v>2</v>
      </c>
      <c r="AW125" s="14">
        <v>2</v>
      </c>
      <c r="AX125" s="14">
        <v>2</v>
      </c>
      <c r="AY125" s="14">
        <v>2</v>
      </c>
      <c r="AZ125" s="14">
        <v>2</v>
      </c>
      <c r="BA125" s="2"/>
    </row>
    <row r="126" spans="1:53" ht="44" customHeight="1" x14ac:dyDescent="0.2">
      <c r="A126" s="6">
        <v>52201280</v>
      </c>
      <c r="B126" s="6"/>
      <c r="C126" s="7" t="s">
        <v>35</v>
      </c>
      <c r="D126" s="6" t="s">
        <v>1327</v>
      </c>
      <c r="E126" s="6">
        <f t="shared" si="9"/>
        <v>215</v>
      </c>
      <c r="F126" s="6" t="s">
        <v>1328</v>
      </c>
      <c r="G126" s="6">
        <f t="shared" si="10"/>
        <v>68</v>
      </c>
      <c r="H126" s="9">
        <f t="shared" si="11"/>
        <v>0.68372093023255809</v>
      </c>
      <c r="I126" s="6" t="s">
        <v>5206</v>
      </c>
      <c r="J126" s="6">
        <v>4</v>
      </c>
      <c r="K126" s="9">
        <f t="shared" si="12"/>
        <v>1.8604651162790697E-2</v>
      </c>
      <c r="L126" s="6">
        <v>21</v>
      </c>
      <c r="M126" s="6">
        <v>1</v>
      </c>
      <c r="N126" s="6">
        <v>1</v>
      </c>
      <c r="O126" s="6" t="str">
        <f t="shared" si="13"/>
        <v>Correct</v>
      </c>
      <c r="P126" s="6"/>
      <c r="Q126" s="6">
        <v>1</v>
      </c>
      <c r="R126" s="6" t="str">
        <f t="shared" si="14"/>
        <v>Correct</v>
      </c>
      <c r="S126" s="6" t="s">
        <v>3624</v>
      </c>
      <c r="T126" s="14">
        <v>1</v>
      </c>
      <c r="U126" s="6" t="str">
        <f t="shared" si="15"/>
        <v>Correct</v>
      </c>
      <c r="V126" s="15">
        <v>2</v>
      </c>
      <c r="W126" s="15" t="str">
        <f t="shared" si="16"/>
        <v>Undertriaged</v>
      </c>
      <c r="X126" s="14">
        <v>1</v>
      </c>
      <c r="Y126" s="14" t="str">
        <f t="shared" si="17"/>
        <v>Correct</v>
      </c>
      <c r="Z126" s="6">
        <v>125</v>
      </c>
      <c r="AA126" s="6" t="s">
        <v>1329</v>
      </c>
      <c r="AB126" s="6" t="s">
        <v>1330</v>
      </c>
      <c r="AC126" s="6">
        <v>1</v>
      </c>
      <c r="AD126" s="6" t="s">
        <v>40</v>
      </c>
      <c r="AE126" s="6" t="s">
        <v>1331</v>
      </c>
      <c r="AF126" s="6" t="s">
        <v>3970</v>
      </c>
      <c r="AG126" s="6" t="s">
        <v>1332</v>
      </c>
      <c r="AH126" s="6" t="s">
        <v>1333</v>
      </c>
      <c r="AI126" s="6" t="s">
        <v>4351</v>
      </c>
      <c r="AJ126" s="6" t="s">
        <v>3971</v>
      </c>
      <c r="AK126" s="6" t="s">
        <v>3972</v>
      </c>
      <c r="AL126" s="6" t="s">
        <v>3477</v>
      </c>
      <c r="AM126" s="6" t="s">
        <v>1334</v>
      </c>
      <c r="AN126" s="6" t="s">
        <v>4719</v>
      </c>
      <c r="AO126" s="6" t="s">
        <v>4720</v>
      </c>
      <c r="AP126" s="6" t="s">
        <v>1335</v>
      </c>
      <c r="AQ126" s="21" t="s">
        <v>4459</v>
      </c>
      <c r="AR126" s="6" t="s">
        <v>4721</v>
      </c>
      <c r="AS126" s="6" t="s">
        <v>4722</v>
      </c>
      <c r="AT126" s="14">
        <v>1</v>
      </c>
      <c r="AU126" s="14">
        <v>1</v>
      </c>
      <c r="AV126" s="14">
        <v>1</v>
      </c>
      <c r="AW126" s="14">
        <v>1</v>
      </c>
      <c r="AX126" s="14">
        <v>1</v>
      </c>
      <c r="AY126" s="14">
        <v>1</v>
      </c>
      <c r="AZ126" s="14">
        <v>1</v>
      </c>
      <c r="BA126" s="2"/>
    </row>
    <row r="127" spans="1:53" ht="44" customHeight="1" x14ac:dyDescent="0.2">
      <c r="A127" s="6">
        <v>52191627</v>
      </c>
      <c r="B127" s="6"/>
      <c r="C127" s="7" t="s">
        <v>35</v>
      </c>
      <c r="D127" s="6" t="s">
        <v>1336</v>
      </c>
      <c r="E127" s="6">
        <f t="shared" si="9"/>
        <v>84</v>
      </c>
      <c r="F127" s="6" t="s">
        <v>1337</v>
      </c>
      <c r="G127" s="6">
        <f t="shared" si="10"/>
        <v>30</v>
      </c>
      <c r="H127" s="9">
        <f t="shared" si="11"/>
        <v>0.6428571428571429</v>
      </c>
      <c r="I127" s="6" t="s">
        <v>5207</v>
      </c>
      <c r="J127" s="6">
        <v>6</v>
      </c>
      <c r="K127" s="9">
        <f t="shared" si="12"/>
        <v>7.1428571428571425E-2</v>
      </c>
      <c r="L127" s="6">
        <v>9</v>
      </c>
      <c r="M127" s="6">
        <v>2</v>
      </c>
      <c r="N127" s="6">
        <v>1</v>
      </c>
      <c r="O127" s="6" t="str">
        <f t="shared" si="13"/>
        <v>Overtriaged</v>
      </c>
      <c r="P127" s="6"/>
      <c r="Q127" s="6">
        <v>1</v>
      </c>
      <c r="R127" s="6" t="str">
        <f t="shared" si="14"/>
        <v>Overtriaged</v>
      </c>
      <c r="S127" s="6" t="s">
        <v>3790</v>
      </c>
      <c r="T127" s="14">
        <v>2</v>
      </c>
      <c r="U127" s="6" t="str">
        <f t="shared" si="15"/>
        <v>Correct</v>
      </c>
      <c r="V127" s="15">
        <v>1</v>
      </c>
      <c r="W127" s="15" t="str">
        <f t="shared" si="16"/>
        <v>Overtriaged</v>
      </c>
      <c r="X127" s="14">
        <v>1</v>
      </c>
      <c r="Y127" s="14" t="str">
        <f t="shared" si="17"/>
        <v>Overtriaged</v>
      </c>
      <c r="Z127" s="6">
        <v>126</v>
      </c>
      <c r="AA127" s="6" t="s">
        <v>1338</v>
      </c>
      <c r="AB127" s="6" t="s">
        <v>1339</v>
      </c>
      <c r="AC127" s="6">
        <v>1</v>
      </c>
      <c r="AD127" s="6" t="s">
        <v>40</v>
      </c>
      <c r="AE127" s="6" t="s">
        <v>1340</v>
      </c>
      <c r="AF127" s="6" t="s">
        <v>1001</v>
      </c>
      <c r="AG127" s="6" t="s">
        <v>1341</v>
      </c>
      <c r="AH127" s="6" t="s">
        <v>44</v>
      </c>
      <c r="AI127" s="6" t="s">
        <v>44</v>
      </c>
      <c r="AJ127" s="6" t="s">
        <v>1342</v>
      </c>
      <c r="AK127" s="6" t="s">
        <v>1343</v>
      </c>
      <c r="AL127" s="6" t="s">
        <v>3476</v>
      </c>
      <c r="AM127" s="6" t="s">
        <v>1344</v>
      </c>
      <c r="AN127" s="6" t="s">
        <v>1345</v>
      </c>
      <c r="AO127" s="6" t="s">
        <v>1346</v>
      </c>
      <c r="AP127" s="6" t="s">
        <v>1336</v>
      </c>
      <c r="AQ127" s="21" t="s">
        <v>1336</v>
      </c>
      <c r="AR127" s="6" t="s">
        <v>1347</v>
      </c>
      <c r="AS127" s="6" t="s">
        <v>1348</v>
      </c>
      <c r="AT127" s="14">
        <v>2</v>
      </c>
      <c r="AU127" s="14">
        <v>2</v>
      </c>
      <c r="AV127" s="14">
        <v>1</v>
      </c>
      <c r="AW127" s="14">
        <v>1</v>
      </c>
      <c r="AX127" s="14">
        <v>2</v>
      </c>
      <c r="AY127" s="14">
        <v>2</v>
      </c>
      <c r="AZ127" s="14">
        <v>2</v>
      </c>
      <c r="BA127" s="2"/>
    </row>
    <row r="128" spans="1:53" ht="44" customHeight="1" x14ac:dyDescent="0.2">
      <c r="A128" s="6">
        <v>52235942</v>
      </c>
      <c r="B128" s="6"/>
      <c r="C128" s="7" t="s">
        <v>35</v>
      </c>
      <c r="D128" s="6" t="s">
        <v>1349</v>
      </c>
      <c r="E128" s="6">
        <f t="shared" si="9"/>
        <v>538</v>
      </c>
      <c r="F128" s="6" t="s">
        <v>1350</v>
      </c>
      <c r="G128" s="6">
        <f t="shared" si="10"/>
        <v>63</v>
      </c>
      <c r="H128" s="9">
        <f t="shared" si="11"/>
        <v>0.88289962825278812</v>
      </c>
      <c r="I128" s="6" t="s">
        <v>5208</v>
      </c>
      <c r="J128" s="6">
        <v>9</v>
      </c>
      <c r="K128" s="9">
        <f t="shared" si="12"/>
        <v>1.6728624535315983E-2</v>
      </c>
      <c r="L128" s="6">
        <v>10</v>
      </c>
      <c r="M128" s="6">
        <v>2</v>
      </c>
      <c r="N128" s="6">
        <v>1</v>
      </c>
      <c r="O128" s="6" t="str">
        <f t="shared" si="13"/>
        <v>Overtriaged</v>
      </c>
      <c r="P128" s="6"/>
      <c r="Q128" s="6">
        <v>2</v>
      </c>
      <c r="R128" s="6" t="str">
        <f t="shared" si="14"/>
        <v>Correct</v>
      </c>
      <c r="S128" s="6" t="s">
        <v>3625</v>
      </c>
      <c r="T128" s="14">
        <v>2</v>
      </c>
      <c r="U128" s="6" t="str">
        <f t="shared" si="15"/>
        <v>Correct</v>
      </c>
      <c r="V128" s="15">
        <v>1</v>
      </c>
      <c r="W128" s="15" t="str">
        <f t="shared" si="16"/>
        <v>Overtriaged</v>
      </c>
      <c r="X128" s="14">
        <v>2</v>
      </c>
      <c r="Y128" s="14" t="str">
        <f t="shared" si="17"/>
        <v>Correct</v>
      </c>
      <c r="Z128" s="6">
        <v>127</v>
      </c>
      <c r="AA128" s="6" t="s">
        <v>1351</v>
      </c>
      <c r="AB128" s="6" t="s">
        <v>1352</v>
      </c>
      <c r="AC128" s="6">
        <v>1</v>
      </c>
      <c r="AD128" s="6" t="s">
        <v>40</v>
      </c>
      <c r="AE128" s="6" t="s">
        <v>1353</v>
      </c>
      <c r="AF128" s="6" t="s">
        <v>1354</v>
      </c>
      <c r="AG128" s="6" t="s">
        <v>44</v>
      </c>
      <c r="AH128" s="6" t="s">
        <v>44</v>
      </c>
      <c r="AI128" s="6" t="s">
        <v>1355</v>
      </c>
      <c r="AJ128" s="6" t="s">
        <v>1355</v>
      </c>
      <c r="AK128" s="6" t="s">
        <v>1356</v>
      </c>
      <c r="AL128" s="6" t="s">
        <v>3478</v>
      </c>
      <c r="AM128" s="6" t="s">
        <v>1357</v>
      </c>
      <c r="AN128" s="6" t="s">
        <v>1358</v>
      </c>
      <c r="AO128" s="6" t="s">
        <v>1349</v>
      </c>
      <c r="AP128" s="6" t="s">
        <v>1349</v>
      </c>
      <c r="AQ128" s="21" t="s">
        <v>1359</v>
      </c>
      <c r="AR128" s="6" t="s">
        <v>1359</v>
      </c>
      <c r="AS128" s="6" t="s">
        <v>1360</v>
      </c>
      <c r="AT128" s="14">
        <v>2</v>
      </c>
      <c r="AU128" s="14">
        <v>2</v>
      </c>
      <c r="AV128" s="14">
        <v>2</v>
      </c>
      <c r="AW128" s="14">
        <v>2</v>
      </c>
      <c r="AX128" s="14">
        <v>2</v>
      </c>
      <c r="AY128" s="14">
        <v>2</v>
      </c>
      <c r="AZ128" s="14">
        <v>2</v>
      </c>
      <c r="BA128" s="2"/>
    </row>
    <row r="129" spans="1:53" ht="44" customHeight="1" x14ac:dyDescent="0.2">
      <c r="A129" s="6">
        <v>52235565</v>
      </c>
      <c r="B129" s="6"/>
      <c r="C129" s="7" t="s">
        <v>35</v>
      </c>
      <c r="D129" s="6" t="s">
        <v>1361</v>
      </c>
      <c r="E129" s="6">
        <f t="shared" si="9"/>
        <v>118</v>
      </c>
      <c r="F129" s="6" t="s">
        <v>1362</v>
      </c>
      <c r="G129" s="6">
        <f t="shared" si="10"/>
        <v>28</v>
      </c>
      <c r="H129" s="9">
        <f t="shared" si="11"/>
        <v>0.76271186440677963</v>
      </c>
      <c r="I129" s="6" t="s">
        <v>5209</v>
      </c>
      <c r="J129" s="6">
        <v>3</v>
      </c>
      <c r="K129" s="9">
        <f t="shared" si="12"/>
        <v>2.5423728813559324E-2</v>
      </c>
      <c r="L129" s="6">
        <v>1</v>
      </c>
      <c r="M129" s="6">
        <v>2</v>
      </c>
      <c r="N129" s="6">
        <v>2</v>
      </c>
      <c r="O129" s="6" t="str">
        <f t="shared" si="13"/>
        <v>Correct</v>
      </c>
      <c r="P129" s="6"/>
      <c r="Q129" s="6">
        <v>2</v>
      </c>
      <c r="R129" s="6" t="str">
        <f t="shared" si="14"/>
        <v>Correct</v>
      </c>
      <c r="S129" s="6" t="s">
        <v>3626</v>
      </c>
      <c r="T129" s="14">
        <v>2</v>
      </c>
      <c r="U129" s="6" t="str">
        <f t="shared" si="15"/>
        <v>Correct</v>
      </c>
      <c r="V129" s="15">
        <v>2</v>
      </c>
      <c r="W129" s="15" t="str">
        <f t="shared" si="16"/>
        <v>Correct</v>
      </c>
      <c r="X129" s="14">
        <v>2</v>
      </c>
      <c r="Y129" s="14" t="str">
        <f t="shared" si="17"/>
        <v>Correct</v>
      </c>
      <c r="Z129" s="6">
        <v>128</v>
      </c>
      <c r="AA129" s="6" t="s">
        <v>38</v>
      </c>
      <c r="AB129" s="6" t="s">
        <v>1363</v>
      </c>
      <c r="AC129" s="6">
        <v>1</v>
      </c>
      <c r="AD129" s="6" t="s">
        <v>40</v>
      </c>
      <c r="AE129" s="6" t="s">
        <v>3973</v>
      </c>
      <c r="AF129" s="6" t="s">
        <v>1364</v>
      </c>
      <c r="AG129" s="6" t="s">
        <v>44</v>
      </c>
      <c r="AH129" s="6" t="s">
        <v>44</v>
      </c>
      <c r="AI129" s="6" t="s">
        <v>4352</v>
      </c>
      <c r="AJ129" s="6" t="s">
        <v>3974</v>
      </c>
      <c r="AK129" s="6" t="s">
        <v>3975</v>
      </c>
      <c r="AL129" s="6" t="s">
        <v>3478</v>
      </c>
      <c r="AM129" s="6" t="s">
        <v>4723</v>
      </c>
      <c r="AN129" s="6" t="s">
        <v>1365</v>
      </c>
      <c r="AO129" s="6" t="s">
        <v>1361</v>
      </c>
      <c r="AP129" s="6" t="s">
        <v>1361</v>
      </c>
      <c r="AQ129" s="21" t="s">
        <v>4460</v>
      </c>
      <c r="AR129" s="6" t="s">
        <v>4724</v>
      </c>
      <c r="AS129" s="6" t="s">
        <v>4725</v>
      </c>
      <c r="AT129" s="14">
        <v>2</v>
      </c>
      <c r="AU129" s="14">
        <v>2</v>
      </c>
      <c r="AV129" s="14">
        <v>2</v>
      </c>
      <c r="AW129" s="14">
        <v>2</v>
      </c>
      <c r="AX129" s="14">
        <v>2</v>
      </c>
      <c r="AY129" s="14">
        <v>2</v>
      </c>
      <c r="AZ129" s="14">
        <v>2</v>
      </c>
      <c r="BA129" s="2"/>
    </row>
    <row r="130" spans="1:53" ht="44" customHeight="1" x14ac:dyDescent="0.2">
      <c r="A130" s="6">
        <v>52275366</v>
      </c>
      <c r="B130" s="6"/>
      <c r="C130" s="7" t="s">
        <v>35</v>
      </c>
      <c r="D130" s="6" t="s">
        <v>1366</v>
      </c>
      <c r="E130" s="6">
        <f t="shared" ref="E130:E193" si="18">IF(LEN(TRIM(D130))=0, 0, LEN(TRIM(D130)) - LEN(SUBSTITUTE(D130, " ", "")) + 1)</f>
        <v>84</v>
      </c>
      <c r="F130" s="6" t="s">
        <v>1367</v>
      </c>
      <c r="G130" s="6">
        <f t="shared" ref="G130:G193" si="19">IF(LEN(TRIM(F130))=0, 0, LEN(TRIM(F130)) - LEN(SUBSTITUTE(F130, " ", "")) + 1)</f>
        <v>24</v>
      </c>
      <c r="H130" s="9">
        <f t="shared" ref="H130:H193" si="20">((E130-G130)/E130)</f>
        <v>0.7142857142857143</v>
      </c>
      <c r="I130" s="6" t="s">
        <v>5210</v>
      </c>
      <c r="J130" s="6">
        <v>4</v>
      </c>
      <c r="K130" s="9">
        <f t="shared" ref="K130:K193" si="21">J130/E130</f>
        <v>4.7619047619047616E-2</v>
      </c>
      <c r="L130" s="6">
        <v>5</v>
      </c>
      <c r="M130" s="6">
        <v>2</v>
      </c>
      <c r="N130" s="6">
        <v>1</v>
      </c>
      <c r="O130" s="6" t="str">
        <f t="shared" ref="O130:O193" si="22">IF(N130=M130, "Correct", IF(N130=1, "Overtriaged", "Undertriaged"))</f>
        <v>Overtriaged</v>
      </c>
      <c r="P130" s="6"/>
      <c r="Q130" s="6">
        <v>2</v>
      </c>
      <c r="R130" s="6" t="str">
        <f t="shared" ref="R130:R193" si="23">IF(Q130=M130, "Correct", IF(Q130=1, "Overtriaged", "Undertriaged"))</f>
        <v>Correct</v>
      </c>
      <c r="S130" s="6" t="s">
        <v>3791</v>
      </c>
      <c r="T130" s="14">
        <v>2</v>
      </c>
      <c r="U130" s="6" t="str">
        <f t="shared" ref="U130:U193" si="24">IF(T130=M130, "Correct", IF(T130=1, "Overtriaged", "Undertriaged"))</f>
        <v>Correct</v>
      </c>
      <c r="V130" s="15">
        <v>1</v>
      </c>
      <c r="W130" s="15" t="str">
        <f t="shared" ref="W130:W193" si="25">IF(V130=M130, "Correct", IF(V130=1, "Overtriaged", "Undertriaged"))</f>
        <v>Overtriaged</v>
      </c>
      <c r="X130" s="14">
        <v>2</v>
      </c>
      <c r="Y130" s="14" t="str">
        <f t="shared" si="17"/>
        <v>Correct</v>
      </c>
      <c r="Z130" s="6">
        <v>129</v>
      </c>
      <c r="AA130" s="6" t="s">
        <v>1368</v>
      </c>
      <c r="AB130" s="6" t="s">
        <v>1369</v>
      </c>
      <c r="AC130" s="6">
        <v>1</v>
      </c>
      <c r="AD130" s="6" t="s">
        <v>40</v>
      </c>
      <c r="AE130" s="6" t="s">
        <v>1370</v>
      </c>
      <c r="AF130" s="6" t="s">
        <v>1371</v>
      </c>
      <c r="AG130" s="6" t="s">
        <v>1372</v>
      </c>
      <c r="AH130" s="6" t="s">
        <v>1373</v>
      </c>
      <c r="AI130" s="6" t="s">
        <v>44</v>
      </c>
      <c r="AJ130" s="6" t="s">
        <v>44</v>
      </c>
      <c r="AK130" s="6" t="s">
        <v>1374</v>
      </c>
      <c r="AL130" s="6" t="s">
        <v>5098</v>
      </c>
      <c r="AM130" s="6" t="s">
        <v>1375</v>
      </c>
      <c r="AN130" s="6" t="s">
        <v>1376</v>
      </c>
      <c r="AO130" s="6" t="s">
        <v>1377</v>
      </c>
      <c r="AP130" s="6" t="s">
        <v>1378</v>
      </c>
      <c r="AQ130" s="21" t="s">
        <v>1366</v>
      </c>
      <c r="AR130" s="6" t="s">
        <v>1366</v>
      </c>
      <c r="AS130" s="6" t="s">
        <v>1379</v>
      </c>
      <c r="AT130" s="14">
        <v>2</v>
      </c>
      <c r="AU130" s="14">
        <v>2</v>
      </c>
      <c r="AV130" s="14">
        <v>2</v>
      </c>
      <c r="AW130" s="14">
        <v>2</v>
      </c>
      <c r="AX130" s="14">
        <v>2</v>
      </c>
      <c r="AY130" s="14">
        <v>2</v>
      </c>
      <c r="AZ130" s="14">
        <v>2</v>
      </c>
      <c r="BA130" s="2"/>
    </row>
    <row r="131" spans="1:53" ht="44" customHeight="1" x14ac:dyDescent="0.2">
      <c r="A131" s="6">
        <v>52275629</v>
      </c>
      <c r="B131" s="6"/>
      <c r="C131" s="7" t="s">
        <v>35</v>
      </c>
      <c r="D131" s="6" t="s">
        <v>1380</v>
      </c>
      <c r="E131" s="6">
        <f t="shared" si="18"/>
        <v>85</v>
      </c>
      <c r="F131" s="6" t="s">
        <v>1381</v>
      </c>
      <c r="G131" s="6">
        <f t="shared" si="19"/>
        <v>35</v>
      </c>
      <c r="H131" s="9">
        <f t="shared" si="20"/>
        <v>0.58823529411764708</v>
      </c>
      <c r="I131" s="6" t="s">
        <v>5211</v>
      </c>
      <c r="J131" s="6">
        <v>2</v>
      </c>
      <c r="K131" s="9">
        <f t="shared" si="21"/>
        <v>2.3529411764705882E-2</v>
      </c>
      <c r="L131" s="6">
        <v>1</v>
      </c>
      <c r="M131" s="6">
        <v>2</v>
      </c>
      <c r="N131" s="6">
        <v>1</v>
      </c>
      <c r="O131" s="6" t="str">
        <f t="shared" si="22"/>
        <v>Overtriaged</v>
      </c>
      <c r="P131" s="6"/>
      <c r="Q131" s="6">
        <v>2</v>
      </c>
      <c r="R131" s="6" t="str">
        <f t="shared" si="23"/>
        <v>Correct</v>
      </c>
      <c r="S131" s="6" t="s">
        <v>3792</v>
      </c>
      <c r="T131" s="14">
        <v>2</v>
      </c>
      <c r="U131" s="6" t="str">
        <f t="shared" si="24"/>
        <v>Correct</v>
      </c>
      <c r="V131" s="15">
        <v>2</v>
      </c>
      <c r="W131" s="15" t="str">
        <f t="shared" si="25"/>
        <v>Correct</v>
      </c>
      <c r="X131" s="14">
        <v>2</v>
      </c>
      <c r="Y131" s="14" t="str">
        <f t="shared" ref="Y131:Y194" si="26">IF(X131=M131, "Correct", IF(X131=1, "Overtriaged", "Undertriaged"))</f>
        <v>Correct</v>
      </c>
      <c r="Z131" s="6">
        <v>130</v>
      </c>
      <c r="AA131" s="6" t="s">
        <v>1382</v>
      </c>
      <c r="AB131" s="6" t="s">
        <v>1383</v>
      </c>
      <c r="AC131" s="6">
        <v>1</v>
      </c>
      <c r="AD131" s="6" t="s">
        <v>40</v>
      </c>
      <c r="AE131" s="6" t="s">
        <v>69</v>
      </c>
      <c r="AF131" s="6" t="s">
        <v>70</v>
      </c>
      <c r="AG131" s="6" t="s">
        <v>1384</v>
      </c>
      <c r="AH131" s="6" t="s">
        <v>1385</v>
      </c>
      <c r="AI131" s="6" t="s">
        <v>44</v>
      </c>
      <c r="AJ131" s="6" t="s">
        <v>44</v>
      </c>
      <c r="AK131" s="6" t="s">
        <v>1386</v>
      </c>
      <c r="AL131" s="6" t="s">
        <v>5098</v>
      </c>
      <c r="AM131" s="6" t="s">
        <v>1387</v>
      </c>
      <c r="AN131" s="6" t="s">
        <v>1388</v>
      </c>
      <c r="AO131" s="6" t="s">
        <v>1389</v>
      </c>
      <c r="AP131" s="6" t="s">
        <v>1390</v>
      </c>
      <c r="AQ131" s="21" t="s">
        <v>1380</v>
      </c>
      <c r="AR131" s="6" t="s">
        <v>1380</v>
      </c>
      <c r="AS131" s="6" t="s">
        <v>1391</v>
      </c>
      <c r="AT131" s="14">
        <v>2</v>
      </c>
      <c r="AU131" s="14">
        <v>2</v>
      </c>
      <c r="AV131" s="14">
        <v>2</v>
      </c>
      <c r="AW131" s="14">
        <v>2</v>
      </c>
      <c r="AX131" s="14">
        <v>2</v>
      </c>
      <c r="AY131" s="14">
        <v>2</v>
      </c>
      <c r="AZ131" s="14">
        <v>2</v>
      </c>
      <c r="BA131" s="2"/>
    </row>
    <row r="132" spans="1:53" ht="44" customHeight="1" x14ac:dyDescent="0.2">
      <c r="A132" s="6">
        <v>52401047</v>
      </c>
      <c r="B132" s="6"/>
      <c r="C132" s="7" t="s">
        <v>35</v>
      </c>
      <c r="D132" s="6" t="s">
        <v>1392</v>
      </c>
      <c r="E132" s="6">
        <f t="shared" si="18"/>
        <v>205</v>
      </c>
      <c r="F132" s="6" t="s">
        <v>1393</v>
      </c>
      <c r="G132" s="6">
        <f t="shared" si="19"/>
        <v>33</v>
      </c>
      <c r="H132" s="9">
        <f t="shared" si="20"/>
        <v>0.83902439024390241</v>
      </c>
      <c r="I132" s="6"/>
      <c r="J132" s="6">
        <v>0</v>
      </c>
      <c r="K132" s="9">
        <f t="shared" si="21"/>
        <v>0</v>
      </c>
      <c r="L132" s="6">
        <v>43</v>
      </c>
      <c r="M132" s="6">
        <v>1</v>
      </c>
      <c r="N132" s="6">
        <v>2</v>
      </c>
      <c r="O132" s="6" t="str">
        <f t="shared" si="22"/>
        <v>Undertriaged</v>
      </c>
      <c r="P132" s="6"/>
      <c r="Q132" s="6">
        <v>2</v>
      </c>
      <c r="R132" s="6" t="str">
        <f t="shared" si="23"/>
        <v>Undertriaged</v>
      </c>
      <c r="S132" s="6" t="s">
        <v>3793</v>
      </c>
      <c r="T132" s="14">
        <v>2</v>
      </c>
      <c r="U132" s="6" t="str">
        <f t="shared" si="24"/>
        <v>Undertriaged</v>
      </c>
      <c r="V132" s="15">
        <v>2</v>
      </c>
      <c r="W132" s="15" t="str">
        <f t="shared" si="25"/>
        <v>Undertriaged</v>
      </c>
      <c r="X132" s="14">
        <v>2</v>
      </c>
      <c r="Y132" s="14" t="str">
        <f t="shared" si="26"/>
        <v>Undertriaged</v>
      </c>
      <c r="Z132" s="6">
        <v>131</v>
      </c>
      <c r="AA132" s="6" t="s">
        <v>1394</v>
      </c>
      <c r="AB132" s="6" t="s">
        <v>1395</v>
      </c>
      <c r="AC132" s="6">
        <v>1</v>
      </c>
      <c r="AD132" s="6" t="s">
        <v>40</v>
      </c>
      <c r="AE132" s="6" t="s">
        <v>1396</v>
      </c>
      <c r="AF132" s="6" t="s">
        <v>44</v>
      </c>
      <c r="AG132" s="6" t="s">
        <v>44</v>
      </c>
      <c r="AH132" s="6" t="s">
        <v>1397</v>
      </c>
      <c r="AI132" s="6" t="s">
        <v>3393</v>
      </c>
      <c r="AJ132" s="6" t="s">
        <v>1398</v>
      </c>
      <c r="AK132" s="6" t="s">
        <v>1399</v>
      </c>
      <c r="AL132" s="6" t="s">
        <v>5106</v>
      </c>
      <c r="AM132" s="6" t="s">
        <v>1400</v>
      </c>
      <c r="AN132" s="6" t="s">
        <v>1392</v>
      </c>
      <c r="AO132" s="6" t="s">
        <v>1392</v>
      </c>
      <c r="AP132" s="6" t="s">
        <v>1401</v>
      </c>
      <c r="AQ132" s="21" t="s">
        <v>4461</v>
      </c>
      <c r="AR132" s="6" t="s">
        <v>1402</v>
      </c>
      <c r="AS132" s="6" t="s">
        <v>1403</v>
      </c>
      <c r="AT132" s="14">
        <v>2</v>
      </c>
      <c r="AU132" s="14">
        <v>2</v>
      </c>
      <c r="AV132" s="14">
        <v>2</v>
      </c>
      <c r="AW132" s="14">
        <v>1</v>
      </c>
      <c r="AX132" s="14">
        <v>1</v>
      </c>
      <c r="AY132" s="14">
        <v>1</v>
      </c>
      <c r="AZ132" s="14">
        <v>2</v>
      </c>
      <c r="BA132" s="2"/>
    </row>
    <row r="133" spans="1:53" ht="44" customHeight="1" x14ac:dyDescent="0.2">
      <c r="A133" s="6">
        <v>52429987</v>
      </c>
      <c r="B133" s="6"/>
      <c r="C133" s="7" t="s">
        <v>35</v>
      </c>
      <c r="D133" s="6" t="s">
        <v>1404</v>
      </c>
      <c r="E133" s="6">
        <f t="shared" si="18"/>
        <v>100</v>
      </c>
      <c r="F133" s="6" t="s">
        <v>1405</v>
      </c>
      <c r="G133" s="6">
        <f t="shared" si="19"/>
        <v>23</v>
      </c>
      <c r="H133" s="9">
        <f t="shared" si="20"/>
        <v>0.77</v>
      </c>
      <c r="I133" s="6"/>
      <c r="J133" s="6">
        <v>0</v>
      </c>
      <c r="K133" s="9">
        <f t="shared" si="21"/>
        <v>0</v>
      </c>
      <c r="L133" s="6">
        <v>1</v>
      </c>
      <c r="M133" s="6">
        <v>2</v>
      </c>
      <c r="N133" s="6">
        <v>1</v>
      </c>
      <c r="O133" s="6" t="str">
        <f t="shared" si="22"/>
        <v>Overtriaged</v>
      </c>
      <c r="P133" s="6"/>
      <c r="Q133" s="6">
        <v>2</v>
      </c>
      <c r="R133" s="6" t="str">
        <f t="shared" si="23"/>
        <v>Correct</v>
      </c>
      <c r="S133" s="6" t="s">
        <v>3794</v>
      </c>
      <c r="T133" s="14">
        <v>2</v>
      </c>
      <c r="U133" s="6" t="str">
        <f t="shared" si="24"/>
        <v>Correct</v>
      </c>
      <c r="V133" s="15">
        <v>2</v>
      </c>
      <c r="W133" s="15" t="str">
        <f t="shared" si="25"/>
        <v>Correct</v>
      </c>
      <c r="X133" s="14">
        <v>2</v>
      </c>
      <c r="Y133" s="14" t="str">
        <f t="shared" si="26"/>
        <v>Correct</v>
      </c>
      <c r="Z133" s="6">
        <v>132</v>
      </c>
      <c r="AA133" s="6" t="s">
        <v>1406</v>
      </c>
      <c r="AB133" s="6" t="s">
        <v>1407</v>
      </c>
      <c r="AC133" s="6">
        <v>1</v>
      </c>
      <c r="AD133" s="6" t="s">
        <v>40</v>
      </c>
      <c r="AE133" s="6" t="s">
        <v>3976</v>
      </c>
      <c r="AF133" s="6" t="s">
        <v>1408</v>
      </c>
      <c r="AG133" s="6" t="s">
        <v>1409</v>
      </c>
      <c r="AH133" s="6" t="s">
        <v>44</v>
      </c>
      <c r="AI133" s="6" t="s">
        <v>44</v>
      </c>
      <c r="AJ133" s="6" t="s">
        <v>44</v>
      </c>
      <c r="AK133" s="6" t="s">
        <v>1410</v>
      </c>
      <c r="AL133" s="6" t="s">
        <v>5099</v>
      </c>
      <c r="AM133" s="6" t="s">
        <v>4726</v>
      </c>
      <c r="AN133" s="6" t="s">
        <v>1411</v>
      </c>
      <c r="AO133" s="6" t="s">
        <v>1412</v>
      </c>
      <c r="AP133" s="6" t="s">
        <v>1404</v>
      </c>
      <c r="AQ133" s="21" t="s">
        <v>1404</v>
      </c>
      <c r="AR133" s="6" t="s">
        <v>1404</v>
      </c>
      <c r="AS133" s="6" t="s">
        <v>1413</v>
      </c>
      <c r="AT133" s="14">
        <v>2</v>
      </c>
      <c r="AU133" s="14">
        <v>1</v>
      </c>
      <c r="AV133" s="14">
        <v>2</v>
      </c>
      <c r="AW133" s="14">
        <v>2</v>
      </c>
      <c r="AX133" s="14">
        <v>2</v>
      </c>
      <c r="AY133" s="14">
        <v>2</v>
      </c>
      <c r="AZ133" s="14">
        <v>2</v>
      </c>
      <c r="BA133" s="2"/>
    </row>
    <row r="134" spans="1:53" ht="44" customHeight="1" x14ac:dyDescent="0.2">
      <c r="A134" s="6">
        <v>52432863</v>
      </c>
      <c r="B134" s="6"/>
      <c r="C134" s="7" t="s">
        <v>35</v>
      </c>
      <c r="D134" s="6" t="s">
        <v>1414</v>
      </c>
      <c r="E134" s="6">
        <f t="shared" si="18"/>
        <v>174</v>
      </c>
      <c r="F134" s="6" t="s">
        <v>1415</v>
      </c>
      <c r="G134" s="6">
        <f t="shared" si="19"/>
        <v>22</v>
      </c>
      <c r="H134" s="9">
        <f t="shared" si="20"/>
        <v>0.87356321839080464</v>
      </c>
      <c r="I134" s="6" t="s">
        <v>5212</v>
      </c>
      <c r="J134" s="6">
        <v>2</v>
      </c>
      <c r="K134" s="9">
        <f t="shared" si="21"/>
        <v>1.1494252873563218E-2</v>
      </c>
      <c r="L134" s="6">
        <v>4</v>
      </c>
      <c r="M134" s="6">
        <v>2</v>
      </c>
      <c r="N134" s="6">
        <v>2</v>
      </c>
      <c r="O134" s="6" t="str">
        <f t="shared" si="22"/>
        <v>Correct</v>
      </c>
      <c r="P134" s="6"/>
      <c r="Q134" s="6">
        <v>2</v>
      </c>
      <c r="R134" s="6" t="str">
        <f t="shared" si="23"/>
        <v>Correct</v>
      </c>
      <c r="S134" s="6" t="s">
        <v>3627</v>
      </c>
      <c r="T134" s="14">
        <v>2</v>
      </c>
      <c r="U134" s="6" t="str">
        <f t="shared" si="24"/>
        <v>Correct</v>
      </c>
      <c r="V134" s="15">
        <v>2</v>
      </c>
      <c r="W134" s="15" t="str">
        <f t="shared" si="25"/>
        <v>Correct</v>
      </c>
      <c r="X134" s="14">
        <v>2</v>
      </c>
      <c r="Y134" s="14" t="str">
        <f t="shared" si="26"/>
        <v>Correct</v>
      </c>
      <c r="Z134" s="6">
        <v>133</v>
      </c>
      <c r="AA134" s="6" t="s">
        <v>1416</v>
      </c>
      <c r="AB134" s="6" t="s">
        <v>1417</v>
      </c>
      <c r="AC134" s="6">
        <v>1</v>
      </c>
      <c r="AD134" s="6" t="s">
        <v>40</v>
      </c>
      <c r="AE134" s="6" t="s">
        <v>69</v>
      </c>
      <c r="AF134" s="6" t="s">
        <v>44</v>
      </c>
      <c r="AG134" s="6" t="s">
        <v>44</v>
      </c>
      <c r="AH134" s="6" t="s">
        <v>44</v>
      </c>
      <c r="AI134" s="6" t="s">
        <v>44</v>
      </c>
      <c r="AJ134" s="6" t="s">
        <v>1418</v>
      </c>
      <c r="AK134" s="6" t="s">
        <v>1419</v>
      </c>
      <c r="AL134" s="6" t="s">
        <v>3480</v>
      </c>
      <c r="AM134" s="6" t="s">
        <v>1420</v>
      </c>
      <c r="AN134" s="6" t="s">
        <v>1414</v>
      </c>
      <c r="AO134" s="6" t="s">
        <v>1414</v>
      </c>
      <c r="AP134" s="6" t="s">
        <v>1414</v>
      </c>
      <c r="AQ134" s="21" t="s">
        <v>1414</v>
      </c>
      <c r="AR134" s="6" t="s">
        <v>1421</v>
      </c>
      <c r="AS134" s="6" t="s">
        <v>1422</v>
      </c>
      <c r="AT134" s="14">
        <v>2</v>
      </c>
      <c r="AU134" s="14">
        <v>2</v>
      </c>
      <c r="AV134" s="14">
        <v>2</v>
      </c>
      <c r="AW134" s="14">
        <v>2</v>
      </c>
      <c r="AX134" s="14">
        <v>2</v>
      </c>
      <c r="AY134" s="14">
        <v>2</v>
      </c>
      <c r="AZ134" s="14">
        <v>2</v>
      </c>
      <c r="BA134" s="2"/>
    </row>
    <row r="135" spans="1:53" ht="44" customHeight="1" x14ac:dyDescent="0.2">
      <c r="A135" s="6">
        <v>52489838</v>
      </c>
      <c r="B135" s="6"/>
      <c r="C135" s="7" t="s">
        <v>35</v>
      </c>
      <c r="D135" s="6" t="s">
        <v>1423</v>
      </c>
      <c r="E135" s="6">
        <f t="shared" si="18"/>
        <v>148</v>
      </c>
      <c r="F135" s="6" t="s">
        <v>1424</v>
      </c>
      <c r="G135" s="6">
        <f t="shared" si="19"/>
        <v>33</v>
      </c>
      <c r="H135" s="9">
        <f t="shared" si="20"/>
        <v>0.77702702702702697</v>
      </c>
      <c r="I135" s="6"/>
      <c r="J135" s="6">
        <v>0</v>
      </c>
      <c r="K135" s="9">
        <f t="shared" si="21"/>
        <v>0</v>
      </c>
      <c r="L135" s="6">
        <v>6</v>
      </c>
      <c r="M135" s="6">
        <v>2</v>
      </c>
      <c r="N135" s="6">
        <v>2</v>
      </c>
      <c r="O135" s="6" t="str">
        <f t="shared" si="22"/>
        <v>Correct</v>
      </c>
      <c r="P135" s="6"/>
      <c r="Q135" s="6">
        <v>2</v>
      </c>
      <c r="R135" s="6" t="str">
        <f t="shared" si="23"/>
        <v>Correct</v>
      </c>
      <c r="S135" s="6" t="s">
        <v>3628</v>
      </c>
      <c r="T135" s="14">
        <v>2</v>
      </c>
      <c r="U135" s="6" t="str">
        <f t="shared" si="24"/>
        <v>Correct</v>
      </c>
      <c r="V135" s="15">
        <v>1</v>
      </c>
      <c r="W135" s="15" t="str">
        <f t="shared" si="25"/>
        <v>Overtriaged</v>
      </c>
      <c r="X135" s="14">
        <v>2</v>
      </c>
      <c r="Y135" s="14" t="str">
        <f t="shared" si="26"/>
        <v>Correct</v>
      </c>
      <c r="Z135" s="6">
        <v>134</v>
      </c>
      <c r="AA135" s="6" t="s">
        <v>1425</v>
      </c>
      <c r="AB135" s="6" t="s">
        <v>1426</v>
      </c>
      <c r="AC135" s="6">
        <v>1</v>
      </c>
      <c r="AD135" s="6" t="s">
        <v>40</v>
      </c>
      <c r="AE135" s="6" t="s">
        <v>215</v>
      </c>
      <c r="AF135" s="6" t="s">
        <v>1427</v>
      </c>
      <c r="AG135" s="6" t="s">
        <v>1428</v>
      </c>
      <c r="AH135" s="6" t="s">
        <v>1429</v>
      </c>
      <c r="AI135" s="6" t="s">
        <v>44</v>
      </c>
      <c r="AJ135" s="6" t="s">
        <v>1430</v>
      </c>
      <c r="AK135" s="6" t="s">
        <v>3977</v>
      </c>
      <c r="AL135" s="6" t="s">
        <v>3477</v>
      </c>
      <c r="AM135" s="6" t="s">
        <v>1431</v>
      </c>
      <c r="AN135" s="6" t="s">
        <v>1432</v>
      </c>
      <c r="AO135" s="6" t="s">
        <v>1433</v>
      </c>
      <c r="AP135" s="6" t="s">
        <v>1434</v>
      </c>
      <c r="AQ135" s="21" t="s">
        <v>1423</v>
      </c>
      <c r="AR135" s="6" t="s">
        <v>1435</v>
      </c>
      <c r="AS135" s="6" t="s">
        <v>4727</v>
      </c>
      <c r="AT135" s="14">
        <v>2</v>
      </c>
      <c r="AU135" s="14">
        <v>2</v>
      </c>
      <c r="AV135" s="14">
        <v>2</v>
      </c>
      <c r="AW135" s="14">
        <v>2</v>
      </c>
      <c r="AX135" s="14">
        <v>2</v>
      </c>
      <c r="AY135" s="14">
        <v>2</v>
      </c>
      <c r="AZ135" s="14">
        <v>2</v>
      </c>
      <c r="BA135" s="2"/>
    </row>
    <row r="136" spans="1:53" ht="44" customHeight="1" x14ac:dyDescent="0.2">
      <c r="A136" s="6">
        <v>52495865</v>
      </c>
      <c r="B136" s="6"/>
      <c r="C136" s="7" t="s">
        <v>35</v>
      </c>
      <c r="D136" s="6" t="s">
        <v>1436</v>
      </c>
      <c r="E136" s="6">
        <f t="shared" si="18"/>
        <v>210</v>
      </c>
      <c r="F136" s="6" t="s">
        <v>1437</v>
      </c>
      <c r="G136" s="6">
        <f t="shared" si="19"/>
        <v>47</v>
      </c>
      <c r="H136" s="9">
        <f t="shared" si="20"/>
        <v>0.77619047619047621</v>
      </c>
      <c r="I136" s="6" t="s">
        <v>5213</v>
      </c>
      <c r="J136" s="6">
        <v>5</v>
      </c>
      <c r="K136" s="9">
        <f t="shared" si="21"/>
        <v>2.3809523809523808E-2</v>
      </c>
      <c r="L136" s="6">
        <v>1</v>
      </c>
      <c r="M136" s="6">
        <v>2</v>
      </c>
      <c r="N136" s="6">
        <v>2</v>
      </c>
      <c r="O136" s="6" t="str">
        <f t="shared" si="22"/>
        <v>Correct</v>
      </c>
      <c r="P136" s="6"/>
      <c r="Q136" s="6">
        <v>2</v>
      </c>
      <c r="R136" s="6" t="str">
        <f t="shared" si="23"/>
        <v>Correct</v>
      </c>
      <c r="S136" s="6" t="s">
        <v>3629</v>
      </c>
      <c r="T136" s="14">
        <v>2</v>
      </c>
      <c r="U136" s="6" t="str">
        <f t="shared" si="24"/>
        <v>Correct</v>
      </c>
      <c r="V136" s="15">
        <v>2</v>
      </c>
      <c r="W136" s="15" t="str">
        <f t="shared" si="25"/>
        <v>Correct</v>
      </c>
      <c r="X136" s="14">
        <v>2</v>
      </c>
      <c r="Y136" s="14" t="str">
        <f t="shared" si="26"/>
        <v>Correct</v>
      </c>
      <c r="Z136" s="6">
        <v>135</v>
      </c>
      <c r="AA136" s="6" t="s">
        <v>1438</v>
      </c>
      <c r="AB136" s="6" t="s">
        <v>1439</v>
      </c>
      <c r="AC136" s="6">
        <v>1</v>
      </c>
      <c r="AD136" s="6" t="s">
        <v>40</v>
      </c>
      <c r="AE136" s="6" t="s">
        <v>69</v>
      </c>
      <c r="AF136" s="6" t="s">
        <v>1440</v>
      </c>
      <c r="AG136" s="6" t="s">
        <v>1441</v>
      </c>
      <c r="AH136" s="6" t="s">
        <v>44</v>
      </c>
      <c r="AI136" s="6" t="s">
        <v>1442</v>
      </c>
      <c r="AJ136" s="6" t="s">
        <v>1442</v>
      </c>
      <c r="AK136" s="6" t="s">
        <v>3978</v>
      </c>
      <c r="AL136" s="6" t="s">
        <v>3476</v>
      </c>
      <c r="AM136" s="6" t="s">
        <v>1443</v>
      </c>
      <c r="AN136" s="6" t="s">
        <v>1444</v>
      </c>
      <c r="AO136" s="6" t="s">
        <v>1445</v>
      </c>
      <c r="AP136" s="6" t="s">
        <v>1436</v>
      </c>
      <c r="AQ136" s="21" t="s">
        <v>1446</v>
      </c>
      <c r="AR136" s="6" t="s">
        <v>1446</v>
      </c>
      <c r="AS136" s="6" t="s">
        <v>4728</v>
      </c>
      <c r="AT136" s="14">
        <v>2</v>
      </c>
      <c r="AU136" s="14">
        <v>2</v>
      </c>
      <c r="AV136" s="14">
        <v>2</v>
      </c>
      <c r="AW136" s="14">
        <v>2</v>
      </c>
      <c r="AX136" s="14">
        <v>2</v>
      </c>
      <c r="AY136" s="14">
        <v>2</v>
      </c>
      <c r="AZ136" s="14">
        <v>2</v>
      </c>
      <c r="BA136" s="2"/>
    </row>
    <row r="137" spans="1:53" ht="44" customHeight="1" x14ac:dyDescent="0.2">
      <c r="A137" s="6">
        <v>52628068</v>
      </c>
      <c r="B137" s="6"/>
      <c r="C137" s="7" t="s">
        <v>35</v>
      </c>
      <c r="D137" s="6" t="s">
        <v>1447</v>
      </c>
      <c r="E137" s="6">
        <f t="shared" si="18"/>
        <v>283</v>
      </c>
      <c r="F137" s="6" t="s">
        <v>1448</v>
      </c>
      <c r="G137" s="6">
        <f t="shared" si="19"/>
        <v>56</v>
      </c>
      <c r="H137" s="9">
        <f t="shared" si="20"/>
        <v>0.80212014134275622</v>
      </c>
      <c r="I137" s="6" t="s">
        <v>5214</v>
      </c>
      <c r="J137" s="6">
        <v>1</v>
      </c>
      <c r="K137" s="9">
        <f t="shared" si="21"/>
        <v>3.5335689045936395E-3</v>
      </c>
      <c r="L137" s="6">
        <v>1</v>
      </c>
      <c r="M137" s="6">
        <v>2</v>
      </c>
      <c r="N137" s="6">
        <v>2</v>
      </c>
      <c r="O137" s="6" t="str">
        <f t="shared" si="22"/>
        <v>Correct</v>
      </c>
      <c r="P137" s="6"/>
      <c r="Q137" s="6">
        <v>2</v>
      </c>
      <c r="R137" s="6" t="str">
        <f t="shared" si="23"/>
        <v>Correct</v>
      </c>
      <c r="S137" s="6" t="s">
        <v>3630</v>
      </c>
      <c r="T137" s="14">
        <v>2</v>
      </c>
      <c r="U137" s="6" t="str">
        <f t="shared" si="24"/>
        <v>Correct</v>
      </c>
      <c r="V137" s="15">
        <v>2</v>
      </c>
      <c r="W137" s="15" t="str">
        <f t="shared" si="25"/>
        <v>Correct</v>
      </c>
      <c r="X137" s="14">
        <v>2</v>
      </c>
      <c r="Y137" s="14" t="str">
        <f t="shared" si="26"/>
        <v>Correct</v>
      </c>
      <c r="Z137" s="6">
        <v>136</v>
      </c>
      <c r="AA137" s="6" t="s">
        <v>1449</v>
      </c>
      <c r="AB137" s="6" t="s">
        <v>1450</v>
      </c>
      <c r="AC137" s="6">
        <v>1</v>
      </c>
      <c r="AD137" s="6" t="s">
        <v>40</v>
      </c>
      <c r="AE137" s="6" t="s">
        <v>1451</v>
      </c>
      <c r="AF137" s="6" t="s">
        <v>1452</v>
      </c>
      <c r="AG137" s="6" t="s">
        <v>1453</v>
      </c>
      <c r="AH137" s="6" t="s">
        <v>1454</v>
      </c>
      <c r="AI137" s="6" t="s">
        <v>4322</v>
      </c>
      <c r="AJ137" s="6" t="s">
        <v>1455</v>
      </c>
      <c r="AK137" s="6" t="s">
        <v>3979</v>
      </c>
      <c r="AL137" s="6" t="s">
        <v>3477</v>
      </c>
      <c r="AM137" s="6" t="s">
        <v>1456</v>
      </c>
      <c r="AN137" s="6" t="s">
        <v>1457</v>
      </c>
      <c r="AO137" s="6" t="s">
        <v>1458</v>
      </c>
      <c r="AP137" s="6" t="s">
        <v>1459</v>
      </c>
      <c r="AQ137" s="21" t="s">
        <v>4462</v>
      </c>
      <c r="AR137" s="6" t="s">
        <v>1460</v>
      </c>
      <c r="AS137" s="6" t="s">
        <v>4729</v>
      </c>
      <c r="AT137" s="14">
        <v>2</v>
      </c>
      <c r="AU137" s="14">
        <v>2</v>
      </c>
      <c r="AV137" s="14">
        <v>2</v>
      </c>
      <c r="AW137" s="14">
        <v>2</v>
      </c>
      <c r="AX137" s="14">
        <v>2</v>
      </c>
      <c r="AY137" s="14">
        <v>2</v>
      </c>
      <c r="AZ137" s="14">
        <v>2</v>
      </c>
      <c r="BA137" s="2"/>
    </row>
    <row r="138" spans="1:53" ht="44" customHeight="1" x14ac:dyDescent="0.2">
      <c r="A138" s="6">
        <v>52709457</v>
      </c>
      <c r="B138" s="6"/>
      <c r="C138" s="7" t="s">
        <v>35</v>
      </c>
      <c r="D138" s="6" t="s">
        <v>1461</v>
      </c>
      <c r="E138" s="6">
        <f t="shared" si="18"/>
        <v>87</v>
      </c>
      <c r="F138" s="6" t="s">
        <v>1462</v>
      </c>
      <c r="G138" s="6">
        <f t="shared" si="19"/>
        <v>24</v>
      </c>
      <c r="H138" s="9">
        <f t="shared" si="20"/>
        <v>0.72413793103448276</v>
      </c>
      <c r="I138" s="6" t="s">
        <v>5215</v>
      </c>
      <c r="J138" s="6">
        <v>2</v>
      </c>
      <c r="K138" s="9">
        <f t="shared" si="21"/>
        <v>2.2988505747126436E-2</v>
      </c>
      <c r="L138" s="6">
        <v>1</v>
      </c>
      <c r="M138" s="6">
        <v>2</v>
      </c>
      <c r="N138" s="6">
        <v>1</v>
      </c>
      <c r="O138" s="6" t="str">
        <f t="shared" si="22"/>
        <v>Overtriaged</v>
      </c>
      <c r="P138" s="6"/>
      <c r="Q138" s="6">
        <v>2</v>
      </c>
      <c r="R138" s="6" t="str">
        <f t="shared" si="23"/>
        <v>Correct</v>
      </c>
      <c r="S138" s="6" t="s">
        <v>3631</v>
      </c>
      <c r="T138" s="14">
        <v>2</v>
      </c>
      <c r="U138" s="6" t="str">
        <f t="shared" si="24"/>
        <v>Correct</v>
      </c>
      <c r="V138" s="15">
        <v>2</v>
      </c>
      <c r="W138" s="15" t="str">
        <f t="shared" si="25"/>
        <v>Correct</v>
      </c>
      <c r="X138" s="14">
        <v>2</v>
      </c>
      <c r="Y138" s="14" t="str">
        <f t="shared" si="26"/>
        <v>Correct</v>
      </c>
      <c r="Z138" s="6">
        <v>137</v>
      </c>
      <c r="AA138" s="6" t="s">
        <v>1463</v>
      </c>
      <c r="AB138" s="6" t="s">
        <v>1464</v>
      </c>
      <c r="AC138" s="6">
        <v>1</v>
      </c>
      <c r="AD138" s="6" t="s">
        <v>40</v>
      </c>
      <c r="AE138" s="6" t="s">
        <v>1465</v>
      </c>
      <c r="AF138" s="6" t="s">
        <v>44</v>
      </c>
      <c r="AG138" s="6" t="s">
        <v>44</v>
      </c>
      <c r="AH138" s="6" t="s">
        <v>44</v>
      </c>
      <c r="AI138" s="6" t="s">
        <v>4323</v>
      </c>
      <c r="AJ138" s="6" t="s">
        <v>1466</v>
      </c>
      <c r="AK138" s="6" t="s">
        <v>1467</v>
      </c>
      <c r="AL138" s="6" t="s">
        <v>3480</v>
      </c>
      <c r="AM138" s="6" t="s">
        <v>1468</v>
      </c>
      <c r="AN138" s="6" t="s">
        <v>1461</v>
      </c>
      <c r="AO138" s="6" t="s">
        <v>1461</v>
      </c>
      <c r="AP138" s="6" t="s">
        <v>1461</v>
      </c>
      <c r="AQ138" s="21" t="s">
        <v>1469</v>
      </c>
      <c r="AR138" s="6" t="s">
        <v>4730</v>
      </c>
      <c r="AS138" s="6" t="s">
        <v>1470</v>
      </c>
      <c r="AT138" s="14">
        <v>2</v>
      </c>
      <c r="AU138" s="14">
        <v>2</v>
      </c>
      <c r="AV138" s="14">
        <v>2</v>
      </c>
      <c r="AW138" s="14">
        <v>2</v>
      </c>
      <c r="AX138" s="14">
        <v>2</v>
      </c>
      <c r="AY138" s="14">
        <v>2</v>
      </c>
      <c r="AZ138" s="14">
        <v>2</v>
      </c>
      <c r="BA138" s="2"/>
    </row>
    <row r="139" spans="1:53" ht="44" customHeight="1" x14ac:dyDescent="0.2">
      <c r="A139" s="6">
        <v>52787059</v>
      </c>
      <c r="B139" s="6"/>
      <c r="C139" s="7" t="s">
        <v>35</v>
      </c>
      <c r="D139" s="6" t="s">
        <v>1471</v>
      </c>
      <c r="E139" s="6">
        <f t="shared" si="18"/>
        <v>155</v>
      </c>
      <c r="F139" s="6" t="s">
        <v>1473</v>
      </c>
      <c r="G139" s="6">
        <f t="shared" si="19"/>
        <v>26</v>
      </c>
      <c r="H139" s="9">
        <f t="shared" si="20"/>
        <v>0.83225806451612905</v>
      </c>
      <c r="I139" s="6" t="s">
        <v>5216</v>
      </c>
      <c r="J139" s="6">
        <v>6</v>
      </c>
      <c r="K139" s="9">
        <f t="shared" si="21"/>
        <v>3.870967741935484E-2</v>
      </c>
      <c r="L139" s="6">
        <v>1</v>
      </c>
      <c r="M139" s="6">
        <v>2</v>
      </c>
      <c r="N139" s="6">
        <v>2</v>
      </c>
      <c r="O139" s="6" t="str">
        <f t="shared" si="22"/>
        <v>Correct</v>
      </c>
      <c r="P139" s="6"/>
      <c r="Q139" s="6">
        <v>2</v>
      </c>
      <c r="R139" s="6" t="str">
        <f t="shared" si="23"/>
        <v>Correct</v>
      </c>
      <c r="S139" s="6" t="s">
        <v>1472</v>
      </c>
      <c r="T139" s="14">
        <v>2</v>
      </c>
      <c r="U139" s="6" t="str">
        <f t="shared" si="24"/>
        <v>Correct</v>
      </c>
      <c r="V139" s="15">
        <v>2</v>
      </c>
      <c r="W139" s="15" t="str">
        <f t="shared" si="25"/>
        <v>Correct</v>
      </c>
      <c r="X139" s="14">
        <v>2</v>
      </c>
      <c r="Y139" s="14" t="str">
        <f t="shared" si="26"/>
        <v>Correct</v>
      </c>
      <c r="Z139" s="6">
        <v>138</v>
      </c>
      <c r="AA139" s="6" t="s">
        <v>1474</v>
      </c>
      <c r="AB139" s="6" t="s">
        <v>1475</v>
      </c>
      <c r="AC139" s="6">
        <v>1</v>
      </c>
      <c r="AD139" s="6" t="s">
        <v>40</v>
      </c>
      <c r="AE139" s="6" t="s">
        <v>1476</v>
      </c>
      <c r="AF139" s="6" t="s">
        <v>1477</v>
      </c>
      <c r="AG139" s="6" t="s">
        <v>1478</v>
      </c>
      <c r="AH139" s="6" t="s">
        <v>44</v>
      </c>
      <c r="AI139" s="6" t="s">
        <v>44</v>
      </c>
      <c r="AJ139" s="6" t="s">
        <v>44</v>
      </c>
      <c r="AK139" s="6" t="s">
        <v>3980</v>
      </c>
      <c r="AL139" s="6" t="s">
        <v>5099</v>
      </c>
      <c r="AM139" s="6" t="s">
        <v>1479</v>
      </c>
      <c r="AN139" s="6" t="s">
        <v>1480</v>
      </c>
      <c r="AO139" s="6" t="s">
        <v>1481</v>
      </c>
      <c r="AP139" s="6" t="s">
        <v>1471</v>
      </c>
      <c r="AQ139" s="21" t="s">
        <v>1471</v>
      </c>
      <c r="AR139" s="6" t="s">
        <v>1471</v>
      </c>
      <c r="AS139" s="6" t="s">
        <v>4731</v>
      </c>
      <c r="AT139" s="14">
        <v>2</v>
      </c>
      <c r="AU139" s="14">
        <v>2</v>
      </c>
      <c r="AV139" s="14">
        <v>2</v>
      </c>
      <c r="AW139" s="14">
        <v>2</v>
      </c>
      <c r="AX139" s="14">
        <v>2</v>
      </c>
      <c r="AY139" s="14">
        <v>2</v>
      </c>
      <c r="AZ139" s="14">
        <v>2</v>
      </c>
      <c r="BA139" s="2"/>
    </row>
    <row r="140" spans="1:53" ht="44" customHeight="1" x14ac:dyDescent="0.2">
      <c r="A140" s="6">
        <v>52792551</v>
      </c>
      <c r="B140" s="6"/>
      <c r="C140" s="7" t="s">
        <v>35</v>
      </c>
      <c r="D140" s="6" t="s">
        <v>1482</v>
      </c>
      <c r="E140" s="6">
        <f t="shared" si="18"/>
        <v>52</v>
      </c>
      <c r="F140" s="6" t="s">
        <v>1483</v>
      </c>
      <c r="G140" s="6">
        <f t="shared" si="19"/>
        <v>10</v>
      </c>
      <c r="H140" s="9">
        <f t="shared" si="20"/>
        <v>0.80769230769230771</v>
      </c>
      <c r="I140" s="6" t="s">
        <v>5217</v>
      </c>
      <c r="J140" s="6">
        <v>1</v>
      </c>
      <c r="K140" s="9">
        <f t="shared" si="21"/>
        <v>1.9230769230769232E-2</v>
      </c>
      <c r="L140" s="6">
        <v>10</v>
      </c>
      <c r="M140" s="6">
        <v>2</v>
      </c>
      <c r="N140" s="6">
        <v>1</v>
      </c>
      <c r="O140" s="6" t="str">
        <f t="shared" si="22"/>
        <v>Overtriaged</v>
      </c>
      <c r="P140" s="6"/>
      <c r="Q140" s="6">
        <v>2</v>
      </c>
      <c r="R140" s="6" t="str">
        <f t="shared" si="23"/>
        <v>Correct</v>
      </c>
      <c r="S140" s="6" t="s">
        <v>3632</v>
      </c>
      <c r="T140" s="14">
        <v>2</v>
      </c>
      <c r="U140" s="6" t="str">
        <f t="shared" si="24"/>
        <v>Correct</v>
      </c>
      <c r="V140" s="15">
        <v>1</v>
      </c>
      <c r="W140" s="15" t="str">
        <f t="shared" si="25"/>
        <v>Overtriaged</v>
      </c>
      <c r="X140" s="14">
        <v>2</v>
      </c>
      <c r="Y140" s="14" t="str">
        <f t="shared" si="26"/>
        <v>Correct</v>
      </c>
      <c r="Z140" s="6">
        <v>139</v>
      </c>
      <c r="AA140" s="6" t="s">
        <v>1484</v>
      </c>
      <c r="AB140" s="6" t="s">
        <v>1485</v>
      </c>
      <c r="AC140" s="6">
        <v>1</v>
      </c>
      <c r="AD140" s="6" t="s">
        <v>40</v>
      </c>
      <c r="AE140" s="6" t="s">
        <v>1486</v>
      </c>
      <c r="AF140" s="6" t="s">
        <v>44</v>
      </c>
      <c r="AG140" s="6" t="s">
        <v>44</v>
      </c>
      <c r="AH140" s="6" t="s">
        <v>44</v>
      </c>
      <c r="AI140" s="6" t="s">
        <v>4324</v>
      </c>
      <c r="AJ140" s="6" t="s">
        <v>3410</v>
      </c>
      <c r="AK140" s="6" t="s">
        <v>1487</v>
      </c>
      <c r="AL140" s="6" t="s">
        <v>3480</v>
      </c>
      <c r="AM140" s="6" t="s">
        <v>1488</v>
      </c>
      <c r="AN140" s="6" t="s">
        <v>1482</v>
      </c>
      <c r="AO140" s="6" t="s">
        <v>1482</v>
      </c>
      <c r="AP140" s="6" t="s">
        <v>1482</v>
      </c>
      <c r="AQ140" s="21" t="s">
        <v>4463</v>
      </c>
      <c r="AR140" s="6" t="s">
        <v>4732</v>
      </c>
      <c r="AS140" s="6" t="s">
        <v>1489</v>
      </c>
      <c r="AT140" s="14">
        <v>2</v>
      </c>
      <c r="AU140" s="14">
        <v>2</v>
      </c>
      <c r="AV140" s="14">
        <v>2</v>
      </c>
      <c r="AW140" s="14">
        <v>2</v>
      </c>
      <c r="AX140" s="14">
        <v>2</v>
      </c>
      <c r="AY140" s="14">
        <v>2</v>
      </c>
      <c r="AZ140" s="14">
        <v>2</v>
      </c>
      <c r="BA140" s="2"/>
    </row>
    <row r="141" spans="1:53" ht="44" customHeight="1" x14ac:dyDescent="0.2">
      <c r="A141" s="6">
        <v>52816667</v>
      </c>
      <c r="B141" s="6"/>
      <c r="C141" s="7" t="s">
        <v>35</v>
      </c>
      <c r="D141" s="6" t="s">
        <v>1490</v>
      </c>
      <c r="E141" s="6">
        <f t="shared" si="18"/>
        <v>109</v>
      </c>
      <c r="F141" s="6" t="s">
        <v>1491</v>
      </c>
      <c r="G141" s="6">
        <f t="shared" si="19"/>
        <v>43</v>
      </c>
      <c r="H141" s="9">
        <f t="shared" si="20"/>
        <v>0.60550458715596334</v>
      </c>
      <c r="I141" s="6" t="s">
        <v>5218</v>
      </c>
      <c r="J141" s="6">
        <v>3</v>
      </c>
      <c r="K141" s="9">
        <f t="shared" si="21"/>
        <v>2.7522935779816515E-2</v>
      </c>
      <c r="L141" s="6">
        <v>1</v>
      </c>
      <c r="M141" s="6">
        <v>2</v>
      </c>
      <c r="N141" s="6">
        <v>2</v>
      </c>
      <c r="O141" s="6" t="str">
        <f t="shared" si="22"/>
        <v>Correct</v>
      </c>
      <c r="P141" s="6"/>
      <c r="Q141" s="6">
        <v>2</v>
      </c>
      <c r="R141" s="6" t="str">
        <f t="shared" si="23"/>
        <v>Correct</v>
      </c>
      <c r="S141" s="6" t="s">
        <v>3633</v>
      </c>
      <c r="T141" s="14">
        <v>2</v>
      </c>
      <c r="U141" s="6" t="str">
        <f t="shared" si="24"/>
        <v>Correct</v>
      </c>
      <c r="V141" s="15">
        <v>1</v>
      </c>
      <c r="W141" s="15" t="str">
        <f t="shared" si="25"/>
        <v>Overtriaged</v>
      </c>
      <c r="X141" s="14">
        <v>2</v>
      </c>
      <c r="Y141" s="14" t="str">
        <f t="shared" si="26"/>
        <v>Correct</v>
      </c>
      <c r="Z141" s="6">
        <v>140</v>
      </c>
      <c r="AA141" s="6" t="s">
        <v>1492</v>
      </c>
      <c r="AB141" s="6" t="s">
        <v>1493</v>
      </c>
      <c r="AC141" s="6">
        <v>1</v>
      </c>
      <c r="AD141" s="6" t="s">
        <v>40</v>
      </c>
      <c r="AE141" s="6" t="s">
        <v>561</v>
      </c>
      <c r="AF141" s="6" t="s">
        <v>833</v>
      </c>
      <c r="AG141" s="6" t="s">
        <v>1494</v>
      </c>
      <c r="AH141" s="6" t="s">
        <v>44</v>
      </c>
      <c r="AI141" s="6" t="s">
        <v>3411</v>
      </c>
      <c r="AJ141" s="6" t="s">
        <v>1495</v>
      </c>
      <c r="AK141" s="6" t="s">
        <v>1496</v>
      </c>
      <c r="AL141" s="6" t="s">
        <v>3476</v>
      </c>
      <c r="AM141" s="6" t="s">
        <v>1497</v>
      </c>
      <c r="AN141" s="6" t="s">
        <v>1498</v>
      </c>
      <c r="AO141" s="6" t="s">
        <v>1499</v>
      </c>
      <c r="AP141" s="6" t="s">
        <v>1490</v>
      </c>
      <c r="AQ141" s="21" t="s">
        <v>4464</v>
      </c>
      <c r="AR141" s="6" t="s">
        <v>1500</v>
      </c>
      <c r="AS141" s="6" t="s">
        <v>1501</v>
      </c>
      <c r="AT141" s="14">
        <v>2</v>
      </c>
      <c r="AU141" s="14">
        <v>2</v>
      </c>
      <c r="AV141" s="14">
        <v>2</v>
      </c>
      <c r="AW141" s="14">
        <v>2</v>
      </c>
      <c r="AX141" s="14">
        <v>2</v>
      </c>
      <c r="AY141" s="14">
        <v>2</v>
      </c>
      <c r="AZ141" s="14">
        <v>2</v>
      </c>
      <c r="BA141" s="2"/>
    </row>
    <row r="142" spans="1:53" ht="44" customHeight="1" x14ac:dyDescent="0.2">
      <c r="A142" s="6">
        <v>52816429</v>
      </c>
      <c r="B142" s="6"/>
      <c r="C142" s="7" t="s">
        <v>35</v>
      </c>
      <c r="D142" s="6" t="s">
        <v>1502</v>
      </c>
      <c r="E142" s="6">
        <f t="shared" si="18"/>
        <v>318</v>
      </c>
      <c r="F142" s="6" t="s">
        <v>1503</v>
      </c>
      <c r="G142" s="6">
        <f t="shared" si="19"/>
        <v>51</v>
      </c>
      <c r="H142" s="9">
        <f t="shared" si="20"/>
        <v>0.839622641509434</v>
      </c>
      <c r="I142" s="6" t="s">
        <v>5219</v>
      </c>
      <c r="J142" s="6">
        <v>6</v>
      </c>
      <c r="K142" s="9">
        <f t="shared" si="21"/>
        <v>1.8867924528301886E-2</v>
      </c>
      <c r="L142" s="6">
        <v>1</v>
      </c>
      <c r="M142" s="6">
        <v>2</v>
      </c>
      <c r="N142" s="6">
        <v>2</v>
      </c>
      <c r="O142" s="6" t="str">
        <f t="shared" si="22"/>
        <v>Correct</v>
      </c>
      <c r="P142" s="6"/>
      <c r="Q142" s="6">
        <v>2</v>
      </c>
      <c r="R142" s="6" t="str">
        <f t="shared" si="23"/>
        <v>Correct</v>
      </c>
      <c r="S142" s="6" t="s">
        <v>3634</v>
      </c>
      <c r="T142" s="14">
        <v>2</v>
      </c>
      <c r="U142" s="6" t="str">
        <f t="shared" si="24"/>
        <v>Correct</v>
      </c>
      <c r="V142" s="15">
        <v>2</v>
      </c>
      <c r="W142" s="15" t="str">
        <f t="shared" si="25"/>
        <v>Correct</v>
      </c>
      <c r="X142" s="14">
        <v>2</v>
      </c>
      <c r="Y142" s="14" t="str">
        <f t="shared" si="26"/>
        <v>Correct</v>
      </c>
      <c r="Z142" s="6">
        <v>141</v>
      </c>
      <c r="AA142" s="6" t="s">
        <v>1504</v>
      </c>
      <c r="AB142" s="6" t="s">
        <v>1505</v>
      </c>
      <c r="AC142" s="6">
        <v>1</v>
      </c>
      <c r="AD142" s="6" t="s">
        <v>40</v>
      </c>
      <c r="AE142" s="6" t="s">
        <v>1506</v>
      </c>
      <c r="AF142" s="6" t="s">
        <v>1507</v>
      </c>
      <c r="AG142" s="6" t="s">
        <v>1508</v>
      </c>
      <c r="AH142" s="6" t="s">
        <v>44</v>
      </c>
      <c r="AI142" s="6" t="s">
        <v>44</v>
      </c>
      <c r="AJ142" s="6" t="s">
        <v>44</v>
      </c>
      <c r="AK142" s="6" t="s">
        <v>1509</v>
      </c>
      <c r="AL142" s="6" t="s">
        <v>5099</v>
      </c>
      <c r="AM142" s="6" t="s">
        <v>1510</v>
      </c>
      <c r="AN142" s="6" t="s">
        <v>1511</v>
      </c>
      <c r="AO142" s="6" t="s">
        <v>1512</v>
      </c>
      <c r="AP142" s="6" t="s">
        <v>1502</v>
      </c>
      <c r="AQ142" s="21" t="s">
        <v>1502</v>
      </c>
      <c r="AR142" s="6" t="s">
        <v>1502</v>
      </c>
      <c r="AS142" s="6" t="s">
        <v>1513</v>
      </c>
      <c r="AT142" s="14">
        <v>2</v>
      </c>
      <c r="AU142" s="14">
        <v>2</v>
      </c>
      <c r="AV142" s="14">
        <v>2</v>
      </c>
      <c r="AW142" s="14">
        <v>2</v>
      </c>
      <c r="AX142" s="14">
        <v>2</v>
      </c>
      <c r="AY142" s="14">
        <v>2</v>
      </c>
      <c r="AZ142" s="14">
        <v>2</v>
      </c>
      <c r="BA142" s="2"/>
    </row>
    <row r="143" spans="1:53" ht="44" customHeight="1" x14ac:dyDescent="0.2">
      <c r="A143" s="6">
        <v>52891678</v>
      </c>
      <c r="B143" s="6"/>
      <c r="C143" s="7" t="s">
        <v>35</v>
      </c>
      <c r="D143" s="6" t="s">
        <v>1514</v>
      </c>
      <c r="E143" s="6">
        <f t="shared" si="18"/>
        <v>84</v>
      </c>
      <c r="F143" s="6" t="s">
        <v>1515</v>
      </c>
      <c r="G143" s="6">
        <f t="shared" si="19"/>
        <v>29</v>
      </c>
      <c r="H143" s="9">
        <f t="shared" si="20"/>
        <v>0.65476190476190477</v>
      </c>
      <c r="I143" s="6"/>
      <c r="J143" s="6">
        <v>0</v>
      </c>
      <c r="K143" s="9">
        <f t="shared" si="21"/>
        <v>0</v>
      </c>
      <c r="L143" s="6">
        <v>10</v>
      </c>
      <c r="M143" s="6">
        <v>2</v>
      </c>
      <c r="N143" s="6">
        <v>1</v>
      </c>
      <c r="O143" s="6" t="str">
        <f t="shared" si="22"/>
        <v>Overtriaged</v>
      </c>
      <c r="P143" s="6"/>
      <c r="Q143" s="6">
        <v>1</v>
      </c>
      <c r="R143" s="6" t="str">
        <f t="shared" si="23"/>
        <v>Overtriaged</v>
      </c>
      <c r="S143" s="6" t="s">
        <v>3635</v>
      </c>
      <c r="T143" s="14">
        <v>1</v>
      </c>
      <c r="U143" s="6" t="str">
        <f t="shared" si="24"/>
        <v>Overtriaged</v>
      </c>
      <c r="V143" s="15">
        <v>2</v>
      </c>
      <c r="W143" s="15" t="str">
        <f t="shared" si="25"/>
        <v>Correct</v>
      </c>
      <c r="X143" s="14">
        <v>1</v>
      </c>
      <c r="Y143" s="14" t="str">
        <f t="shared" si="26"/>
        <v>Overtriaged</v>
      </c>
      <c r="Z143" s="6">
        <v>142</v>
      </c>
      <c r="AA143" s="6" t="s">
        <v>1516</v>
      </c>
      <c r="AB143" s="6" t="s">
        <v>1517</v>
      </c>
      <c r="AC143" s="6">
        <v>1</v>
      </c>
      <c r="AD143" s="6" t="s">
        <v>40</v>
      </c>
      <c r="AE143" s="6" t="s">
        <v>1078</v>
      </c>
      <c r="AF143" s="6" t="s">
        <v>1518</v>
      </c>
      <c r="AG143" s="6" t="s">
        <v>1519</v>
      </c>
      <c r="AH143" s="6" t="s">
        <v>3981</v>
      </c>
      <c r="AI143" s="6" t="s">
        <v>44</v>
      </c>
      <c r="AJ143" s="6" t="s">
        <v>44</v>
      </c>
      <c r="AK143" s="6" t="s">
        <v>1520</v>
      </c>
      <c r="AL143" s="6" t="s">
        <v>5098</v>
      </c>
      <c r="AM143" s="6" t="s">
        <v>1521</v>
      </c>
      <c r="AN143" s="6" t="s">
        <v>1522</v>
      </c>
      <c r="AO143" s="6" t="s">
        <v>4733</v>
      </c>
      <c r="AP143" s="6" t="s">
        <v>4734</v>
      </c>
      <c r="AQ143" s="21" t="s">
        <v>1514</v>
      </c>
      <c r="AR143" s="6" t="s">
        <v>1514</v>
      </c>
      <c r="AS143" s="6" t="s">
        <v>1523</v>
      </c>
      <c r="AT143" s="14">
        <v>1</v>
      </c>
      <c r="AU143" s="14">
        <v>1</v>
      </c>
      <c r="AV143" s="14">
        <v>1</v>
      </c>
      <c r="AW143" s="14">
        <v>1</v>
      </c>
      <c r="AX143" s="14">
        <v>1</v>
      </c>
      <c r="AY143" s="14">
        <v>1</v>
      </c>
      <c r="AZ143" s="14">
        <v>2</v>
      </c>
      <c r="BA143" s="2"/>
    </row>
    <row r="144" spans="1:53" ht="44" customHeight="1" x14ac:dyDescent="0.2">
      <c r="A144" s="6">
        <v>52889689</v>
      </c>
      <c r="B144" s="6"/>
      <c r="C144" s="7" t="s">
        <v>35</v>
      </c>
      <c r="D144" s="6" t="s">
        <v>1524</v>
      </c>
      <c r="E144" s="6">
        <f t="shared" si="18"/>
        <v>137</v>
      </c>
      <c r="F144" s="6" t="s">
        <v>1525</v>
      </c>
      <c r="G144" s="6">
        <f t="shared" si="19"/>
        <v>29</v>
      </c>
      <c r="H144" s="9">
        <f t="shared" si="20"/>
        <v>0.78832116788321172</v>
      </c>
      <c r="I144" s="6" t="s">
        <v>5220</v>
      </c>
      <c r="J144" s="6">
        <v>3</v>
      </c>
      <c r="K144" s="9">
        <f t="shared" si="21"/>
        <v>2.1897810218978103E-2</v>
      </c>
      <c r="L144" s="6">
        <v>9</v>
      </c>
      <c r="M144" s="6">
        <v>2</v>
      </c>
      <c r="N144" s="6">
        <v>1</v>
      </c>
      <c r="O144" s="6" t="str">
        <f t="shared" si="22"/>
        <v>Overtriaged</v>
      </c>
      <c r="P144" s="6"/>
      <c r="Q144" s="6">
        <v>1</v>
      </c>
      <c r="R144" s="6" t="str">
        <f t="shared" si="23"/>
        <v>Overtriaged</v>
      </c>
      <c r="S144" s="6" t="s">
        <v>3795</v>
      </c>
      <c r="T144" s="14">
        <v>1</v>
      </c>
      <c r="U144" s="6" t="str">
        <f t="shared" si="24"/>
        <v>Overtriaged</v>
      </c>
      <c r="V144" s="15">
        <v>2</v>
      </c>
      <c r="W144" s="15" t="str">
        <f t="shared" si="25"/>
        <v>Correct</v>
      </c>
      <c r="X144" s="14">
        <v>1</v>
      </c>
      <c r="Y144" s="14" t="str">
        <f t="shared" si="26"/>
        <v>Overtriaged</v>
      </c>
      <c r="Z144" s="6">
        <v>143</v>
      </c>
      <c r="AA144" s="6" t="s">
        <v>1526</v>
      </c>
      <c r="AB144" s="6" t="s">
        <v>1527</v>
      </c>
      <c r="AC144" s="6">
        <v>1</v>
      </c>
      <c r="AD144" s="6" t="s">
        <v>40</v>
      </c>
      <c r="AE144" s="6" t="s">
        <v>971</v>
      </c>
      <c r="AF144" s="6" t="s">
        <v>1528</v>
      </c>
      <c r="AG144" s="6" t="s">
        <v>1529</v>
      </c>
      <c r="AH144" s="6" t="s">
        <v>44</v>
      </c>
      <c r="AI144" s="6" t="s">
        <v>3378</v>
      </c>
      <c r="AJ144" s="6" t="s">
        <v>494</v>
      </c>
      <c r="AK144" s="6" t="s">
        <v>1530</v>
      </c>
      <c r="AL144" s="6" t="s">
        <v>3476</v>
      </c>
      <c r="AM144" s="6" t="s">
        <v>1531</v>
      </c>
      <c r="AN144" s="6" t="s">
        <v>1532</v>
      </c>
      <c r="AO144" s="6" t="s">
        <v>1533</v>
      </c>
      <c r="AP144" s="6" t="s">
        <v>1524</v>
      </c>
      <c r="AQ144" s="21" t="s">
        <v>4465</v>
      </c>
      <c r="AR144" s="6" t="s">
        <v>1534</v>
      </c>
      <c r="AS144" s="6" t="s">
        <v>1535</v>
      </c>
      <c r="AT144" s="14">
        <v>1</v>
      </c>
      <c r="AU144" s="14">
        <v>1</v>
      </c>
      <c r="AV144" s="14">
        <v>1</v>
      </c>
      <c r="AW144" s="14">
        <v>1</v>
      </c>
      <c r="AX144" s="14">
        <v>1</v>
      </c>
      <c r="AY144" s="14">
        <v>2</v>
      </c>
      <c r="AZ144" s="14">
        <v>1</v>
      </c>
      <c r="BA144" s="2"/>
    </row>
    <row r="145" spans="1:53" ht="44" customHeight="1" x14ac:dyDescent="0.2">
      <c r="A145" s="6">
        <v>52951080</v>
      </c>
      <c r="B145" s="6"/>
      <c r="C145" s="7" t="s">
        <v>35</v>
      </c>
      <c r="D145" s="6" t="s">
        <v>1536</v>
      </c>
      <c r="E145" s="6">
        <f t="shared" si="18"/>
        <v>164</v>
      </c>
      <c r="F145" s="6" t="s">
        <v>1537</v>
      </c>
      <c r="G145" s="6">
        <f t="shared" si="19"/>
        <v>38</v>
      </c>
      <c r="H145" s="9">
        <f t="shared" si="20"/>
        <v>0.76829268292682928</v>
      </c>
      <c r="I145" s="6" t="s">
        <v>5221</v>
      </c>
      <c r="J145" s="6">
        <v>3</v>
      </c>
      <c r="K145" s="9">
        <f t="shared" si="21"/>
        <v>1.8292682926829267E-2</v>
      </c>
      <c r="L145" s="6">
        <v>1</v>
      </c>
      <c r="M145" s="6">
        <v>2</v>
      </c>
      <c r="N145" s="6">
        <v>2</v>
      </c>
      <c r="O145" s="6" t="str">
        <f t="shared" si="22"/>
        <v>Correct</v>
      </c>
      <c r="P145" s="6"/>
      <c r="Q145" s="6">
        <v>2</v>
      </c>
      <c r="R145" s="6" t="str">
        <f t="shared" si="23"/>
        <v>Correct</v>
      </c>
      <c r="S145" s="6" t="s">
        <v>3636</v>
      </c>
      <c r="T145" s="14">
        <v>2</v>
      </c>
      <c r="U145" s="6" t="str">
        <f t="shared" si="24"/>
        <v>Correct</v>
      </c>
      <c r="V145" s="15">
        <v>1</v>
      </c>
      <c r="W145" s="15" t="str">
        <f t="shared" si="25"/>
        <v>Overtriaged</v>
      </c>
      <c r="X145" s="14">
        <v>2</v>
      </c>
      <c r="Y145" s="14" t="str">
        <f t="shared" si="26"/>
        <v>Correct</v>
      </c>
      <c r="Z145" s="6">
        <v>144</v>
      </c>
      <c r="AA145" s="6" t="s">
        <v>1538</v>
      </c>
      <c r="AB145" s="6" t="s">
        <v>1539</v>
      </c>
      <c r="AC145" s="6">
        <v>1</v>
      </c>
      <c r="AD145" s="6" t="s">
        <v>40</v>
      </c>
      <c r="AE145" s="6" t="s">
        <v>1540</v>
      </c>
      <c r="AF145" s="6" t="s">
        <v>1541</v>
      </c>
      <c r="AG145" s="6" t="s">
        <v>1542</v>
      </c>
      <c r="AH145" s="6" t="s">
        <v>1543</v>
      </c>
      <c r="AI145" s="6" t="s">
        <v>44</v>
      </c>
      <c r="AJ145" s="6" t="s">
        <v>1801</v>
      </c>
      <c r="AK145" s="6" t="s">
        <v>3982</v>
      </c>
      <c r="AL145" s="6" t="s">
        <v>3477</v>
      </c>
      <c r="AM145" s="6" t="s">
        <v>1544</v>
      </c>
      <c r="AN145" s="6" t="s">
        <v>1545</v>
      </c>
      <c r="AO145" s="6" t="s">
        <v>1546</v>
      </c>
      <c r="AP145" s="6" t="s">
        <v>1547</v>
      </c>
      <c r="AQ145" s="21" t="s">
        <v>1536</v>
      </c>
      <c r="AR145" s="6" t="s">
        <v>4735</v>
      </c>
      <c r="AS145" s="6" t="s">
        <v>4736</v>
      </c>
      <c r="AT145" s="14">
        <v>2</v>
      </c>
      <c r="AU145" s="14">
        <v>2</v>
      </c>
      <c r="AV145" s="14">
        <v>2</v>
      </c>
      <c r="AW145" s="14">
        <v>2</v>
      </c>
      <c r="AX145" s="14">
        <v>2</v>
      </c>
      <c r="AY145" s="14">
        <v>2</v>
      </c>
      <c r="AZ145" s="14">
        <v>2</v>
      </c>
      <c r="BA145" s="2"/>
    </row>
    <row r="146" spans="1:53" ht="44" customHeight="1" x14ac:dyDescent="0.2">
      <c r="A146" s="6">
        <v>53081789</v>
      </c>
      <c r="B146" s="6"/>
      <c r="C146" s="7" t="s">
        <v>35</v>
      </c>
      <c r="D146" s="6" t="s">
        <v>1548</v>
      </c>
      <c r="E146" s="6">
        <f t="shared" si="18"/>
        <v>203</v>
      </c>
      <c r="F146" s="6" t="s">
        <v>1549</v>
      </c>
      <c r="G146" s="6">
        <f t="shared" si="19"/>
        <v>40</v>
      </c>
      <c r="H146" s="9">
        <f t="shared" si="20"/>
        <v>0.80295566502463056</v>
      </c>
      <c r="I146" s="6" t="s">
        <v>5222</v>
      </c>
      <c r="J146" s="6">
        <v>6</v>
      </c>
      <c r="K146" s="9">
        <f t="shared" si="21"/>
        <v>2.9556650246305417E-2</v>
      </c>
      <c r="L146" s="6">
        <v>1</v>
      </c>
      <c r="M146" s="6">
        <v>2</v>
      </c>
      <c r="N146" s="6">
        <v>2</v>
      </c>
      <c r="O146" s="6" t="str">
        <f t="shared" si="22"/>
        <v>Correct</v>
      </c>
      <c r="P146" s="6"/>
      <c r="Q146" s="6">
        <v>2</v>
      </c>
      <c r="R146" s="6" t="str">
        <f t="shared" si="23"/>
        <v>Correct</v>
      </c>
      <c r="S146" s="6" t="s">
        <v>3637</v>
      </c>
      <c r="T146" s="14">
        <v>2</v>
      </c>
      <c r="U146" s="6" t="str">
        <f t="shared" si="24"/>
        <v>Correct</v>
      </c>
      <c r="V146" s="15">
        <v>1</v>
      </c>
      <c r="W146" s="15" t="str">
        <f t="shared" si="25"/>
        <v>Overtriaged</v>
      </c>
      <c r="X146" s="14">
        <v>2</v>
      </c>
      <c r="Y146" s="14" t="str">
        <f t="shared" si="26"/>
        <v>Correct</v>
      </c>
      <c r="Z146" s="6">
        <v>145</v>
      </c>
      <c r="AA146" s="6" t="s">
        <v>1550</v>
      </c>
      <c r="AB146" s="6" t="s">
        <v>1551</v>
      </c>
      <c r="AC146" s="6">
        <v>1</v>
      </c>
      <c r="AD146" s="6" t="s">
        <v>40</v>
      </c>
      <c r="AE146" s="6" t="s">
        <v>3983</v>
      </c>
      <c r="AF146" s="6" t="s">
        <v>1552</v>
      </c>
      <c r="AG146" s="6" t="s">
        <v>1553</v>
      </c>
      <c r="AH146" s="6" t="s">
        <v>44</v>
      </c>
      <c r="AI146" s="6" t="s">
        <v>44</v>
      </c>
      <c r="AJ146" s="6" t="s">
        <v>3984</v>
      </c>
      <c r="AK146" s="6" t="s">
        <v>3985</v>
      </c>
      <c r="AL146" s="6" t="s">
        <v>3476</v>
      </c>
      <c r="AM146" s="6" t="s">
        <v>4737</v>
      </c>
      <c r="AN146" s="6" t="s">
        <v>1554</v>
      </c>
      <c r="AO146" s="6" t="s">
        <v>1555</v>
      </c>
      <c r="AP146" s="6" t="s">
        <v>1548</v>
      </c>
      <c r="AQ146" s="21" t="s">
        <v>1548</v>
      </c>
      <c r="AR146" s="6" t="s">
        <v>4738</v>
      </c>
      <c r="AS146" s="6" t="s">
        <v>4739</v>
      </c>
      <c r="AT146" s="14">
        <v>2</v>
      </c>
      <c r="AU146" s="14">
        <v>2</v>
      </c>
      <c r="AV146" s="14">
        <v>2</v>
      </c>
      <c r="AW146" s="14">
        <v>2</v>
      </c>
      <c r="AX146" s="14">
        <v>2</v>
      </c>
      <c r="AY146" s="14">
        <v>2</v>
      </c>
      <c r="AZ146" s="14">
        <v>2</v>
      </c>
      <c r="BA146" s="2"/>
    </row>
    <row r="147" spans="1:53" ht="44" customHeight="1" x14ac:dyDescent="0.2">
      <c r="A147" s="6">
        <v>53155368</v>
      </c>
      <c r="B147" s="6"/>
      <c r="C147" s="7" t="s">
        <v>35</v>
      </c>
      <c r="D147" s="6" t="s">
        <v>1556</v>
      </c>
      <c r="E147" s="6">
        <f t="shared" si="18"/>
        <v>185</v>
      </c>
      <c r="F147" s="6" t="s">
        <v>1557</v>
      </c>
      <c r="G147" s="6">
        <f t="shared" si="19"/>
        <v>41</v>
      </c>
      <c r="H147" s="9">
        <f t="shared" si="20"/>
        <v>0.77837837837837842</v>
      </c>
      <c r="I147" s="6"/>
      <c r="J147" s="6">
        <v>0</v>
      </c>
      <c r="K147" s="9">
        <f t="shared" si="21"/>
        <v>0</v>
      </c>
      <c r="L147" s="6">
        <v>5</v>
      </c>
      <c r="M147" s="6">
        <v>2</v>
      </c>
      <c r="N147" s="6">
        <v>2</v>
      </c>
      <c r="O147" s="6" t="str">
        <f t="shared" si="22"/>
        <v>Correct</v>
      </c>
      <c r="P147" s="6"/>
      <c r="Q147" s="6">
        <v>2</v>
      </c>
      <c r="R147" s="6" t="str">
        <f t="shared" si="23"/>
        <v>Correct</v>
      </c>
      <c r="S147" s="6" t="s">
        <v>3638</v>
      </c>
      <c r="T147" s="14">
        <v>2</v>
      </c>
      <c r="U147" s="6" t="str">
        <f t="shared" si="24"/>
        <v>Correct</v>
      </c>
      <c r="V147" s="15">
        <v>1</v>
      </c>
      <c r="W147" s="15" t="str">
        <f t="shared" si="25"/>
        <v>Overtriaged</v>
      </c>
      <c r="X147" s="14">
        <v>2</v>
      </c>
      <c r="Y147" s="14" t="str">
        <f t="shared" si="26"/>
        <v>Correct</v>
      </c>
      <c r="Z147" s="6">
        <v>146</v>
      </c>
      <c r="AA147" s="6" t="s">
        <v>1558</v>
      </c>
      <c r="AB147" s="6" t="s">
        <v>1559</v>
      </c>
      <c r="AC147" s="6">
        <v>1</v>
      </c>
      <c r="AD147" s="6" t="s">
        <v>40</v>
      </c>
      <c r="AE147" s="6" t="s">
        <v>1560</v>
      </c>
      <c r="AF147" s="6" t="s">
        <v>44</v>
      </c>
      <c r="AG147" s="6" t="s">
        <v>44</v>
      </c>
      <c r="AH147" s="6" t="s">
        <v>44</v>
      </c>
      <c r="AI147" s="6" t="s">
        <v>4353</v>
      </c>
      <c r="AJ147" s="6" t="s">
        <v>3986</v>
      </c>
      <c r="AK147" s="6" t="s">
        <v>3987</v>
      </c>
      <c r="AL147" s="6" t="s">
        <v>3480</v>
      </c>
      <c r="AM147" s="6" t="s">
        <v>1561</v>
      </c>
      <c r="AN147" s="6" t="s">
        <v>1556</v>
      </c>
      <c r="AO147" s="6" t="s">
        <v>1556</v>
      </c>
      <c r="AP147" s="6" t="s">
        <v>1556</v>
      </c>
      <c r="AQ147" s="21" t="s">
        <v>4466</v>
      </c>
      <c r="AR147" s="6" t="s">
        <v>4740</v>
      </c>
      <c r="AS147" s="6" t="s">
        <v>1562</v>
      </c>
      <c r="AT147" s="14">
        <v>2</v>
      </c>
      <c r="AU147" s="14">
        <v>2</v>
      </c>
      <c r="AV147" s="14">
        <v>2</v>
      </c>
      <c r="AW147" s="14">
        <v>2</v>
      </c>
      <c r="AX147" s="14">
        <v>2</v>
      </c>
      <c r="AY147" s="14">
        <v>2</v>
      </c>
      <c r="AZ147" s="14">
        <v>2</v>
      </c>
      <c r="BA147" s="2"/>
    </row>
    <row r="148" spans="1:53" ht="44" customHeight="1" x14ac:dyDescent="0.2">
      <c r="A148" s="6">
        <v>53197942</v>
      </c>
      <c r="B148" s="6"/>
      <c r="C148" s="7" t="s">
        <v>35</v>
      </c>
      <c r="D148" s="6" t="s">
        <v>1563</v>
      </c>
      <c r="E148" s="6">
        <f t="shared" si="18"/>
        <v>134</v>
      </c>
      <c r="F148" s="6" t="s">
        <v>1564</v>
      </c>
      <c r="G148" s="6">
        <f t="shared" si="19"/>
        <v>7</v>
      </c>
      <c r="H148" s="9">
        <f t="shared" si="20"/>
        <v>0.94776119402985071</v>
      </c>
      <c r="I148" s="6" t="s">
        <v>5223</v>
      </c>
      <c r="J148" s="6">
        <v>2</v>
      </c>
      <c r="K148" s="9">
        <f t="shared" si="21"/>
        <v>1.4925373134328358E-2</v>
      </c>
      <c r="L148" s="6">
        <v>5</v>
      </c>
      <c r="M148" s="6">
        <v>2</v>
      </c>
      <c r="N148" s="6">
        <v>1</v>
      </c>
      <c r="O148" s="6" t="str">
        <f t="shared" si="22"/>
        <v>Overtriaged</v>
      </c>
      <c r="P148" s="6"/>
      <c r="Q148" s="6">
        <v>1</v>
      </c>
      <c r="R148" s="6" t="str">
        <f t="shared" si="23"/>
        <v>Overtriaged</v>
      </c>
      <c r="S148" s="6" t="s">
        <v>3796</v>
      </c>
      <c r="T148" s="14">
        <v>2</v>
      </c>
      <c r="U148" s="6" t="str">
        <f t="shared" si="24"/>
        <v>Correct</v>
      </c>
      <c r="V148" s="15">
        <v>1</v>
      </c>
      <c r="W148" s="15" t="str">
        <f t="shared" si="25"/>
        <v>Overtriaged</v>
      </c>
      <c r="X148" s="14">
        <v>1</v>
      </c>
      <c r="Y148" s="14" t="str">
        <f t="shared" si="26"/>
        <v>Overtriaged</v>
      </c>
      <c r="Z148" s="6">
        <v>147</v>
      </c>
      <c r="AA148" s="6" t="s">
        <v>1565</v>
      </c>
      <c r="AB148" s="6" t="s">
        <v>1566</v>
      </c>
      <c r="AC148" s="6">
        <v>1</v>
      </c>
      <c r="AD148" s="6" t="s">
        <v>40</v>
      </c>
      <c r="AE148" s="6" t="s">
        <v>1567</v>
      </c>
      <c r="AF148" s="6" t="s">
        <v>44</v>
      </c>
      <c r="AG148" s="6" t="s">
        <v>44</v>
      </c>
      <c r="AH148" s="6" t="s">
        <v>44</v>
      </c>
      <c r="AI148" s="6" t="s">
        <v>44</v>
      </c>
      <c r="AJ148" s="6" t="s">
        <v>44</v>
      </c>
      <c r="AK148" s="6" t="s">
        <v>3988</v>
      </c>
      <c r="AL148" s="6" t="s">
        <v>5100</v>
      </c>
      <c r="AM148" s="6" t="s">
        <v>1568</v>
      </c>
      <c r="AN148" s="6" t="s">
        <v>1563</v>
      </c>
      <c r="AO148" s="6" t="s">
        <v>1563</v>
      </c>
      <c r="AP148" s="6" t="s">
        <v>1563</v>
      </c>
      <c r="AQ148" s="21" t="s">
        <v>1563</v>
      </c>
      <c r="AR148" s="6" t="s">
        <v>1563</v>
      </c>
      <c r="AS148" s="6" t="s">
        <v>4741</v>
      </c>
      <c r="AT148" s="14">
        <v>1</v>
      </c>
      <c r="AU148" s="14">
        <v>1</v>
      </c>
      <c r="AV148" s="14">
        <v>1</v>
      </c>
      <c r="AW148" s="14">
        <v>1</v>
      </c>
      <c r="AX148" s="14">
        <v>1</v>
      </c>
      <c r="AY148" s="14">
        <v>1</v>
      </c>
      <c r="AZ148" s="14">
        <v>2</v>
      </c>
      <c r="BA148" s="2"/>
    </row>
    <row r="149" spans="1:53" ht="44" customHeight="1" x14ac:dyDescent="0.2">
      <c r="A149" s="6">
        <v>53236499</v>
      </c>
      <c r="B149" s="6"/>
      <c r="C149" s="7" t="s">
        <v>35</v>
      </c>
      <c r="D149" s="6" t="s">
        <v>1569</v>
      </c>
      <c r="E149" s="6">
        <f t="shared" si="18"/>
        <v>115</v>
      </c>
      <c r="F149" s="6" t="s">
        <v>1571</v>
      </c>
      <c r="G149" s="6">
        <f t="shared" si="19"/>
        <v>31</v>
      </c>
      <c r="H149" s="9">
        <f t="shared" si="20"/>
        <v>0.73043478260869565</v>
      </c>
      <c r="I149" s="6" t="s">
        <v>5224</v>
      </c>
      <c r="J149" s="6">
        <v>7</v>
      </c>
      <c r="K149" s="9">
        <f t="shared" si="21"/>
        <v>6.0869565217391307E-2</v>
      </c>
      <c r="L149" s="6">
        <v>17</v>
      </c>
      <c r="M149" s="6">
        <v>1</v>
      </c>
      <c r="N149" s="6">
        <v>1</v>
      </c>
      <c r="O149" s="6" t="str">
        <f t="shared" si="22"/>
        <v>Correct</v>
      </c>
      <c r="P149" s="6"/>
      <c r="Q149" s="6">
        <v>1</v>
      </c>
      <c r="R149" s="6" t="str">
        <f t="shared" si="23"/>
        <v>Correct</v>
      </c>
      <c r="S149" s="6" t="s">
        <v>1570</v>
      </c>
      <c r="T149" s="14">
        <v>1</v>
      </c>
      <c r="U149" s="6" t="str">
        <f t="shared" si="24"/>
        <v>Correct</v>
      </c>
      <c r="V149" s="15">
        <v>1</v>
      </c>
      <c r="W149" s="15" t="str">
        <f t="shared" si="25"/>
        <v>Correct</v>
      </c>
      <c r="X149" s="14">
        <v>1</v>
      </c>
      <c r="Y149" s="14" t="str">
        <f t="shared" si="26"/>
        <v>Correct</v>
      </c>
      <c r="Z149" s="6">
        <v>148</v>
      </c>
      <c r="AA149" s="6" t="s">
        <v>930</v>
      </c>
      <c r="AB149" s="6" t="s">
        <v>1572</v>
      </c>
      <c r="AC149" s="6">
        <v>2</v>
      </c>
      <c r="AD149" s="6" t="s">
        <v>40</v>
      </c>
      <c r="AE149" s="6" t="s">
        <v>1573</v>
      </c>
      <c r="AF149" s="6" t="s">
        <v>1574</v>
      </c>
      <c r="AG149" s="6" t="s">
        <v>44</v>
      </c>
      <c r="AH149" s="6" t="s">
        <v>44</v>
      </c>
      <c r="AI149" s="6" t="s">
        <v>44</v>
      </c>
      <c r="AJ149" s="6" t="s">
        <v>44</v>
      </c>
      <c r="AK149" s="6" t="s">
        <v>3989</v>
      </c>
      <c r="AL149" s="6" t="s">
        <v>5103</v>
      </c>
      <c r="AM149" s="6" t="s">
        <v>1575</v>
      </c>
      <c r="AN149" s="6" t="s">
        <v>1576</v>
      </c>
      <c r="AO149" s="6" t="s">
        <v>1569</v>
      </c>
      <c r="AP149" s="6" t="s">
        <v>1569</v>
      </c>
      <c r="AQ149" s="21" t="s">
        <v>1569</v>
      </c>
      <c r="AR149" s="6" t="s">
        <v>1569</v>
      </c>
      <c r="AS149" s="6" t="s">
        <v>4742</v>
      </c>
      <c r="AT149" s="14">
        <v>1</v>
      </c>
      <c r="AU149" s="14">
        <v>1</v>
      </c>
      <c r="AV149" s="14">
        <v>1</v>
      </c>
      <c r="AW149" s="14">
        <v>1</v>
      </c>
      <c r="AX149" s="14">
        <v>1</v>
      </c>
      <c r="AY149" s="14">
        <v>1</v>
      </c>
      <c r="AZ149" s="14">
        <v>1</v>
      </c>
      <c r="BA149" s="2"/>
    </row>
    <row r="150" spans="1:53" ht="44" customHeight="1" x14ac:dyDescent="0.2">
      <c r="A150" s="6">
        <v>53259870</v>
      </c>
      <c r="B150" s="6"/>
      <c r="C150" s="7" t="s">
        <v>35</v>
      </c>
      <c r="D150" s="6" t="s">
        <v>1577</v>
      </c>
      <c r="E150" s="6">
        <f t="shared" si="18"/>
        <v>154</v>
      </c>
      <c r="F150" s="6" t="s">
        <v>1578</v>
      </c>
      <c r="G150" s="6">
        <f t="shared" si="19"/>
        <v>46</v>
      </c>
      <c r="H150" s="9">
        <f t="shared" si="20"/>
        <v>0.70129870129870131</v>
      </c>
      <c r="I150" s="6" t="s">
        <v>5225</v>
      </c>
      <c r="J150" s="6">
        <v>4</v>
      </c>
      <c r="K150" s="9">
        <f t="shared" si="21"/>
        <v>2.5974025974025976E-2</v>
      </c>
      <c r="L150" s="6">
        <v>1</v>
      </c>
      <c r="M150" s="6">
        <v>2</v>
      </c>
      <c r="N150" s="6">
        <v>1</v>
      </c>
      <c r="O150" s="6" t="str">
        <f t="shared" si="22"/>
        <v>Overtriaged</v>
      </c>
      <c r="P150" s="6"/>
      <c r="Q150" s="6">
        <v>2</v>
      </c>
      <c r="R150" s="6" t="str">
        <f t="shared" si="23"/>
        <v>Correct</v>
      </c>
      <c r="S150" s="6" t="s">
        <v>3797</v>
      </c>
      <c r="T150" s="14">
        <v>2</v>
      </c>
      <c r="U150" s="6" t="str">
        <f t="shared" si="24"/>
        <v>Correct</v>
      </c>
      <c r="V150" s="15">
        <v>2</v>
      </c>
      <c r="W150" s="15" t="str">
        <f t="shared" si="25"/>
        <v>Correct</v>
      </c>
      <c r="X150" s="14">
        <v>2</v>
      </c>
      <c r="Y150" s="14" t="str">
        <f t="shared" si="26"/>
        <v>Correct</v>
      </c>
      <c r="Z150" s="6">
        <v>149</v>
      </c>
      <c r="AA150" s="6" t="s">
        <v>1579</v>
      </c>
      <c r="AB150" s="6" t="s">
        <v>1580</v>
      </c>
      <c r="AC150" s="6">
        <v>2</v>
      </c>
      <c r="AD150" s="6" t="s">
        <v>120</v>
      </c>
      <c r="AE150" s="6" t="s">
        <v>1581</v>
      </c>
      <c r="AF150" s="6" t="s">
        <v>1582</v>
      </c>
      <c r="AG150" s="6" t="s">
        <v>1583</v>
      </c>
      <c r="AH150" s="6" t="s">
        <v>44</v>
      </c>
      <c r="AI150" s="6" t="s">
        <v>3412</v>
      </c>
      <c r="AJ150" s="6" t="s">
        <v>1584</v>
      </c>
      <c r="AK150" s="6" t="s">
        <v>3990</v>
      </c>
      <c r="AL150" s="6" t="s">
        <v>3476</v>
      </c>
      <c r="AM150" s="6" t="s">
        <v>1585</v>
      </c>
      <c r="AN150" s="6" t="s">
        <v>1586</v>
      </c>
      <c r="AO150" s="6" t="s">
        <v>1587</v>
      </c>
      <c r="AP150" s="6" t="s">
        <v>1577</v>
      </c>
      <c r="AQ150" s="21" t="s">
        <v>4467</v>
      </c>
      <c r="AR150" s="6" t="s">
        <v>1588</v>
      </c>
      <c r="AS150" s="6" t="s">
        <v>4743</v>
      </c>
      <c r="AT150" s="14">
        <v>2</v>
      </c>
      <c r="AU150" s="14">
        <v>2</v>
      </c>
      <c r="AV150" s="14">
        <v>2</v>
      </c>
      <c r="AW150" s="14">
        <v>2</v>
      </c>
      <c r="AX150" s="14">
        <v>2</v>
      </c>
      <c r="AY150" s="14">
        <v>2</v>
      </c>
      <c r="AZ150" s="14">
        <v>2</v>
      </c>
      <c r="BA150" s="2"/>
    </row>
    <row r="151" spans="1:53" ht="44" customHeight="1" x14ac:dyDescent="0.2">
      <c r="A151" s="6">
        <v>53259887</v>
      </c>
      <c r="B151" s="6"/>
      <c r="C151" s="7" t="s">
        <v>35</v>
      </c>
      <c r="D151" s="6" t="s">
        <v>1589</v>
      </c>
      <c r="E151" s="6">
        <f t="shared" si="18"/>
        <v>199</v>
      </c>
      <c r="F151" s="6" t="s">
        <v>1590</v>
      </c>
      <c r="G151" s="6">
        <f t="shared" si="19"/>
        <v>56</v>
      </c>
      <c r="H151" s="9">
        <f t="shared" si="20"/>
        <v>0.71859296482412061</v>
      </c>
      <c r="I151" s="6"/>
      <c r="J151" s="6">
        <v>0</v>
      </c>
      <c r="K151" s="9">
        <f t="shared" si="21"/>
        <v>0</v>
      </c>
      <c r="L151" s="6">
        <v>5</v>
      </c>
      <c r="M151" s="6">
        <v>2</v>
      </c>
      <c r="N151" s="6">
        <v>1</v>
      </c>
      <c r="O151" s="6" t="str">
        <f t="shared" si="22"/>
        <v>Overtriaged</v>
      </c>
      <c r="P151" s="6"/>
      <c r="Q151" s="6">
        <v>2</v>
      </c>
      <c r="R151" s="6" t="str">
        <f t="shared" si="23"/>
        <v>Correct</v>
      </c>
      <c r="S151" s="6" t="s">
        <v>3639</v>
      </c>
      <c r="T151" s="14">
        <v>2</v>
      </c>
      <c r="U151" s="6" t="str">
        <f t="shared" si="24"/>
        <v>Correct</v>
      </c>
      <c r="V151" s="15">
        <v>2</v>
      </c>
      <c r="W151" s="15" t="str">
        <f t="shared" si="25"/>
        <v>Correct</v>
      </c>
      <c r="X151" s="14">
        <v>2</v>
      </c>
      <c r="Y151" s="14" t="str">
        <f t="shared" si="26"/>
        <v>Correct</v>
      </c>
      <c r="Z151" s="6">
        <v>150</v>
      </c>
      <c r="AA151" s="6" t="s">
        <v>1591</v>
      </c>
      <c r="AB151" s="6" t="s">
        <v>1592</v>
      </c>
      <c r="AC151" s="6">
        <v>3</v>
      </c>
      <c r="AD151" s="6" t="s">
        <v>120</v>
      </c>
      <c r="AE151" s="6" t="s">
        <v>1593</v>
      </c>
      <c r="AF151" s="6" t="s">
        <v>44</v>
      </c>
      <c r="AG151" s="6" t="s">
        <v>44</v>
      </c>
      <c r="AH151" s="6" t="s">
        <v>44</v>
      </c>
      <c r="AI151" s="6" t="s">
        <v>44</v>
      </c>
      <c r="AJ151" s="6" t="s">
        <v>1594</v>
      </c>
      <c r="AK151" s="6" t="s">
        <v>3991</v>
      </c>
      <c r="AL151" s="6" t="s">
        <v>3480</v>
      </c>
      <c r="AM151" s="6" t="s">
        <v>1595</v>
      </c>
      <c r="AN151" s="6" t="s">
        <v>1589</v>
      </c>
      <c r="AO151" s="6" t="s">
        <v>1589</v>
      </c>
      <c r="AP151" s="6" t="s">
        <v>1589</v>
      </c>
      <c r="AQ151" s="21" t="s">
        <v>1589</v>
      </c>
      <c r="AR151" s="6" t="s">
        <v>4744</v>
      </c>
      <c r="AS151" s="6" t="s">
        <v>4745</v>
      </c>
      <c r="AT151" s="14">
        <v>2</v>
      </c>
      <c r="AU151" s="14">
        <v>2</v>
      </c>
      <c r="AV151" s="14">
        <v>2</v>
      </c>
      <c r="AW151" s="14">
        <v>2</v>
      </c>
      <c r="AX151" s="14">
        <v>2</v>
      </c>
      <c r="AY151" s="14">
        <v>2</v>
      </c>
      <c r="AZ151" s="14">
        <v>2</v>
      </c>
      <c r="BA151" s="2"/>
    </row>
    <row r="152" spans="1:53" ht="44" customHeight="1" x14ac:dyDescent="0.2">
      <c r="A152" s="6">
        <v>53270119</v>
      </c>
      <c r="B152" s="6"/>
      <c r="C152" s="7" t="s">
        <v>35</v>
      </c>
      <c r="D152" s="6" t="s">
        <v>1596</v>
      </c>
      <c r="E152" s="6">
        <f t="shared" si="18"/>
        <v>399</v>
      </c>
      <c r="F152" s="6" t="s">
        <v>1597</v>
      </c>
      <c r="G152" s="6">
        <f t="shared" si="19"/>
        <v>47</v>
      </c>
      <c r="H152" s="9">
        <f t="shared" si="20"/>
        <v>0.8822055137844611</v>
      </c>
      <c r="I152" s="6" t="s">
        <v>5226</v>
      </c>
      <c r="J152" s="6">
        <v>3</v>
      </c>
      <c r="K152" s="9">
        <f t="shared" si="21"/>
        <v>7.5187969924812026E-3</v>
      </c>
      <c r="L152" s="6">
        <v>1</v>
      </c>
      <c r="M152" s="6">
        <v>2</v>
      </c>
      <c r="N152" s="6">
        <v>2</v>
      </c>
      <c r="O152" s="6" t="str">
        <f t="shared" si="22"/>
        <v>Correct</v>
      </c>
      <c r="P152" s="6"/>
      <c r="Q152" s="6">
        <v>2</v>
      </c>
      <c r="R152" s="6" t="str">
        <f t="shared" si="23"/>
        <v>Correct</v>
      </c>
      <c r="S152" s="6" t="s">
        <v>3640</v>
      </c>
      <c r="T152" s="14">
        <v>2</v>
      </c>
      <c r="U152" s="6" t="str">
        <f t="shared" si="24"/>
        <v>Correct</v>
      </c>
      <c r="V152" s="15">
        <v>1</v>
      </c>
      <c r="W152" s="15" t="str">
        <f t="shared" si="25"/>
        <v>Overtriaged</v>
      </c>
      <c r="X152" s="14">
        <v>2</v>
      </c>
      <c r="Y152" s="14" t="str">
        <f t="shared" si="26"/>
        <v>Correct</v>
      </c>
      <c r="Z152" s="6">
        <v>151</v>
      </c>
      <c r="AA152" s="6" t="s">
        <v>1598</v>
      </c>
      <c r="AB152" s="6" t="s">
        <v>1599</v>
      </c>
      <c r="AC152" s="6">
        <v>2</v>
      </c>
      <c r="AD152" s="6" t="s">
        <v>40</v>
      </c>
      <c r="AE152" s="6" t="s">
        <v>1600</v>
      </c>
      <c r="AF152" s="6" t="s">
        <v>1601</v>
      </c>
      <c r="AG152" s="6" t="s">
        <v>1602</v>
      </c>
      <c r="AH152" s="6" t="s">
        <v>44</v>
      </c>
      <c r="AI152" s="6" t="s">
        <v>44</v>
      </c>
      <c r="AJ152" s="6" t="s">
        <v>44</v>
      </c>
      <c r="AK152" s="6" t="s">
        <v>3992</v>
      </c>
      <c r="AL152" s="6" t="s">
        <v>5099</v>
      </c>
      <c r="AM152" s="6" t="s">
        <v>1603</v>
      </c>
      <c r="AN152" s="6" t="s">
        <v>1604</v>
      </c>
      <c r="AO152" s="6" t="s">
        <v>1605</v>
      </c>
      <c r="AP152" s="6" t="s">
        <v>1596</v>
      </c>
      <c r="AQ152" s="21" t="s">
        <v>1596</v>
      </c>
      <c r="AR152" s="6" t="s">
        <v>1596</v>
      </c>
      <c r="AS152" s="6" t="s">
        <v>4746</v>
      </c>
      <c r="AT152" s="14">
        <v>2</v>
      </c>
      <c r="AU152" s="14">
        <v>2</v>
      </c>
      <c r="AV152" s="14">
        <v>2</v>
      </c>
      <c r="AW152" s="14">
        <v>2</v>
      </c>
      <c r="AX152" s="14">
        <v>2</v>
      </c>
      <c r="AY152" s="14">
        <v>2</v>
      </c>
      <c r="AZ152" s="14">
        <v>2</v>
      </c>
      <c r="BA152" s="2"/>
    </row>
    <row r="153" spans="1:53" ht="44" customHeight="1" x14ac:dyDescent="0.2">
      <c r="A153" s="6">
        <v>53271021</v>
      </c>
      <c r="B153" s="6"/>
      <c r="C153" s="7" t="s">
        <v>35</v>
      </c>
      <c r="D153" s="6" t="s">
        <v>1606</v>
      </c>
      <c r="E153" s="6">
        <f t="shared" si="18"/>
        <v>277</v>
      </c>
      <c r="F153" s="6" t="s">
        <v>1607</v>
      </c>
      <c r="G153" s="6">
        <f t="shared" si="19"/>
        <v>46</v>
      </c>
      <c r="H153" s="9">
        <f t="shared" si="20"/>
        <v>0.83393501805054149</v>
      </c>
      <c r="I153" s="6" t="s">
        <v>5227</v>
      </c>
      <c r="J153" s="6">
        <v>2</v>
      </c>
      <c r="K153" s="9">
        <f t="shared" si="21"/>
        <v>7.2202166064981952E-3</v>
      </c>
      <c r="L153" s="6">
        <v>2</v>
      </c>
      <c r="M153" s="6">
        <v>2</v>
      </c>
      <c r="N153" s="6">
        <v>2</v>
      </c>
      <c r="O153" s="6" t="str">
        <f t="shared" si="22"/>
        <v>Correct</v>
      </c>
      <c r="P153" s="6"/>
      <c r="Q153" s="6">
        <v>2</v>
      </c>
      <c r="R153" s="6" t="str">
        <f t="shared" si="23"/>
        <v>Correct</v>
      </c>
      <c r="S153" s="6" t="s">
        <v>3641</v>
      </c>
      <c r="T153" s="14">
        <v>2</v>
      </c>
      <c r="U153" s="6" t="str">
        <f t="shared" si="24"/>
        <v>Correct</v>
      </c>
      <c r="V153" s="15">
        <v>2</v>
      </c>
      <c r="W153" s="15" t="str">
        <f t="shared" si="25"/>
        <v>Correct</v>
      </c>
      <c r="X153" s="14">
        <v>2</v>
      </c>
      <c r="Y153" s="14" t="str">
        <f t="shared" si="26"/>
        <v>Correct</v>
      </c>
      <c r="Z153" s="6">
        <v>152</v>
      </c>
      <c r="AA153" s="6" t="s">
        <v>1608</v>
      </c>
      <c r="AB153" s="6" t="s">
        <v>1609</v>
      </c>
      <c r="AC153" s="6">
        <v>1</v>
      </c>
      <c r="AD153" s="6" t="s">
        <v>40</v>
      </c>
      <c r="AE153" s="6" t="s">
        <v>3993</v>
      </c>
      <c r="AF153" s="6" t="s">
        <v>1610</v>
      </c>
      <c r="AG153" s="6" t="s">
        <v>1611</v>
      </c>
      <c r="AH153" s="6" t="s">
        <v>44</v>
      </c>
      <c r="AI153" s="6" t="s">
        <v>3413</v>
      </c>
      <c r="AJ153" s="6" t="s">
        <v>1612</v>
      </c>
      <c r="AK153" s="6" t="s">
        <v>1613</v>
      </c>
      <c r="AL153" s="6" t="s">
        <v>3476</v>
      </c>
      <c r="AM153" s="6" t="s">
        <v>4747</v>
      </c>
      <c r="AN153" s="6" t="s">
        <v>1614</v>
      </c>
      <c r="AO153" s="6" t="s">
        <v>1615</v>
      </c>
      <c r="AP153" s="6" t="s">
        <v>1606</v>
      </c>
      <c r="AQ153" s="21" t="s">
        <v>4468</v>
      </c>
      <c r="AR153" s="6" t="s">
        <v>1616</v>
      </c>
      <c r="AS153" s="6" t="s">
        <v>1617</v>
      </c>
      <c r="AT153" s="14">
        <v>2</v>
      </c>
      <c r="AU153" s="14">
        <v>2</v>
      </c>
      <c r="AV153" s="14">
        <v>2</v>
      </c>
      <c r="AW153" s="14">
        <v>2</v>
      </c>
      <c r="AX153" s="14">
        <v>2</v>
      </c>
      <c r="AY153" s="14">
        <v>2</v>
      </c>
      <c r="AZ153" s="14">
        <v>2</v>
      </c>
      <c r="BA153" s="2"/>
    </row>
    <row r="154" spans="1:53" ht="44" customHeight="1" x14ac:dyDescent="0.2">
      <c r="A154" s="6">
        <v>53456443</v>
      </c>
      <c r="B154" s="6"/>
      <c r="C154" s="7" t="s">
        <v>35</v>
      </c>
      <c r="D154" s="6" t="s">
        <v>1618</v>
      </c>
      <c r="E154" s="6">
        <f t="shared" si="18"/>
        <v>234</v>
      </c>
      <c r="F154" s="6" t="s">
        <v>1619</v>
      </c>
      <c r="G154" s="6">
        <f t="shared" si="19"/>
        <v>48</v>
      </c>
      <c r="H154" s="9">
        <f t="shared" si="20"/>
        <v>0.79487179487179482</v>
      </c>
      <c r="I154" s="6" t="s">
        <v>5228</v>
      </c>
      <c r="J154" s="6">
        <v>4</v>
      </c>
      <c r="K154" s="9">
        <f t="shared" si="21"/>
        <v>1.7094017094017096E-2</v>
      </c>
      <c r="L154" s="6">
        <v>5</v>
      </c>
      <c r="M154" s="6">
        <v>2</v>
      </c>
      <c r="N154" s="6">
        <v>2</v>
      </c>
      <c r="O154" s="6" t="str">
        <f t="shared" si="22"/>
        <v>Correct</v>
      </c>
      <c r="P154" s="6"/>
      <c r="Q154" s="6">
        <v>2</v>
      </c>
      <c r="R154" s="6" t="str">
        <f t="shared" si="23"/>
        <v>Correct</v>
      </c>
      <c r="S154" s="6" t="s">
        <v>3798</v>
      </c>
      <c r="T154" s="14">
        <v>2</v>
      </c>
      <c r="U154" s="6" t="str">
        <f t="shared" si="24"/>
        <v>Correct</v>
      </c>
      <c r="V154" s="15">
        <v>1</v>
      </c>
      <c r="W154" s="15" t="str">
        <f t="shared" si="25"/>
        <v>Overtriaged</v>
      </c>
      <c r="X154" s="14">
        <v>2</v>
      </c>
      <c r="Y154" s="14" t="str">
        <f t="shared" si="26"/>
        <v>Correct</v>
      </c>
      <c r="Z154" s="6">
        <v>153</v>
      </c>
      <c r="AA154" s="6" t="s">
        <v>1620</v>
      </c>
      <c r="AB154" s="6" t="s">
        <v>1621</v>
      </c>
      <c r="AC154" s="6">
        <v>1</v>
      </c>
      <c r="AD154" s="6" t="s">
        <v>40</v>
      </c>
      <c r="AE154" s="6" t="s">
        <v>1622</v>
      </c>
      <c r="AF154" s="6" t="s">
        <v>3994</v>
      </c>
      <c r="AG154" s="6" t="s">
        <v>1623</v>
      </c>
      <c r="AH154" s="6" t="s">
        <v>44</v>
      </c>
      <c r="AI154" s="6" t="s">
        <v>3414</v>
      </c>
      <c r="AJ154" s="6" t="s">
        <v>3995</v>
      </c>
      <c r="AK154" s="6" t="s">
        <v>1624</v>
      </c>
      <c r="AL154" s="6" t="s">
        <v>3476</v>
      </c>
      <c r="AM154" s="6" t="s">
        <v>1625</v>
      </c>
      <c r="AN154" s="6" t="s">
        <v>4748</v>
      </c>
      <c r="AO154" s="6" t="s">
        <v>1626</v>
      </c>
      <c r="AP154" s="6" t="s">
        <v>1618</v>
      </c>
      <c r="AQ154" s="21" t="s">
        <v>4469</v>
      </c>
      <c r="AR154" s="6" t="s">
        <v>4749</v>
      </c>
      <c r="AS154" s="6" t="s">
        <v>1627</v>
      </c>
      <c r="AT154" s="14">
        <v>2</v>
      </c>
      <c r="AU154" s="14">
        <v>2</v>
      </c>
      <c r="AV154" s="14">
        <v>2</v>
      </c>
      <c r="AW154" s="14">
        <v>2</v>
      </c>
      <c r="AX154" s="14">
        <v>2</v>
      </c>
      <c r="AY154" s="14">
        <v>2</v>
      </c>
      <c r="AZ154" s="14">
        <v>2</v>
      </c>
      <c r="BA154" s="2"/>
    </row>
    <row r="155" spans="1:53" ht="44" customHeight="1" x14ac:dyDescent="0.2">
      <c r="A155" s="6">
        <v>53523811</v>
      </c>
      <c r="B155" s="6"/>
      <c r="C155" s="7" t="s">
        <v>35</v>
      </c>
      <c r="D155" s="6" t="s">
        <v>1628</v>
      </c>
      <c r="E155" s="6">
        <f t="shared" si="18"/>
        <v>136</v>
      </c>
      <c r="F155" s="6" t="s">
        <v>1629</v>
      </c>
      <c r="G155" s="6">
        <f t="shared" si="19"/>
        <v>29</v>
      </c>
      <c r="H155" s="9">
        <f t="shared" si="20"/>
        <v>0.78676470588235292</v>
      </c>
      <c r="I155" s="6" t="s">
        <v>5229</v>
      </c>
      <c r="J155" s="6">
        <v>5</v>
      </c>
      <c r="K155" s="9">
        <f t="shared" si="21"/>
        <v>3.6764705882352942E-2</v>
      </c>
      <c r="L155" s="6">
        <v>1</v>
      </c>
      <c r="M155" s="6">
        <v>2</v>
      </c>
      <c r="N155" s="6">
        <v>2</v>
      </c>
      <c r="O155" s="6" t="str">
        <f t="shared" si="22"/>
        <v>Correct</v>
      </c>
      <c r="P155" s="6"/>
      <c r="Q155" s="6">
        <v>2</v>
      </c>
      <c r="R155" s="6" t="str">
        <f t="shared" si="23"/>
        <v>Correct</v>
      </c>
      <c r="S155" s="6" t="s">
        <v>3642</v>
      </c>
      <c r="T155" s="14">
        <v>2</v>
      </c>
      <c r="U155" s="6" t="str">
        <f t="shared" si="24"/>
        <v>Correct</v>
      </c>
      <c r="V155" s="15">
        <v>1</v>
      </c>
      <c r="W155" s="15" t="str">
        <f t="shared" si="25"/>
        <v>Overtriaged</v>
      </c>
      <c r="X155" s="14">
        <v>2</v>
      </c>
      <c r="Y155" s="14" t="str">
        <f t="shared" si="26"/>
        <v>Correct</v>
      </c>
      <c r="Z155" s="6">
        <v>154</v>
      </c>
      <c r="AA155" s="6" t="s">
        <v>38</v>
      </c>
      <c r="AB155" s="6" t="s">
        <v>1630</v>
      </c>
      <c r="AC155" s="6">
        <v>1</v>
      </c>
      <c r="AD155" s="6" t="s">
        <v>40</v>
      </c>
      <c r="AE155" s="6" t="s">
        <v>241</v>
      </c>
      <c r="AF155" s="6" t="s">
        <v>1631</v>
      </c>
      <c r="AG155" s="6" t="s">
        <v>44</v>
      </c>
      <c r="AH155" s="6" t="s">
        <v>44</v>
      </c>
      <c r="AI155" s="6" t="s">
        <v>44</v>
      </c>
      <c r="AJ155" s="6" t="s">
        <v>1632</v>
      </c>
      <c r="AK155" s="6" t="s">
        <v>1633</v>
      </c>
      <c r="AL155" s="6" t="s">
        <v>3478</v>
      </c>
      <c r="AM155" s="6" t="s">
        <v>1634</v>
      </c>
      <c r="AN155" s="6" t="s">
        <v>1635</v>
      </c>
      <c r="AO155" s="6" t="s">
        <v>1628</v>
      </c>
      <c r="AP155" s="6" t="s">
        <v>1628</v>
      </c>
      <c r="AQ155" s="21" t="s">
        <v>1628</v>
      </c>
      <c r="AR155" s="6" t="s">
        <v>1636</v>
      </c>
      <c r="AS155" s="6" t="s">
        <v>1637</v>
      </c>
      <c r="AT155" s="14">
        <v>2</v>
      </c>
      <c r="AU155" s="14">
        <v>2</v>
      </c>
      <c r="AV155" s="14">
        <v>2</v>
      </c>
      <c r="AW155" s="14">
        <v>2</v>
      </c>
      <c r="AX155" s="14">
        <v>2</v>
      </c>
      <c r="AY155" s="14">
        <v>2</v>
      </c>
      <c r="AZ155" s="14">
        <v>2</v>
      </c>
      <c r="BA155" s="2"/>
    </row>
    <row r="156" spans="1:53" ht="44" customHeight="1" x14ac:dyDescent="0.2">
      <c r="A156" s="6">
        <v>53526907</v>
      </c>
      <c r="B156" s="6"/>
      <c r="C156" s="7" t="s">
        <v>35</v>
      </c>
      <c r="D156" s="6" t="s">
        <v>1638</v>
      </c>
      <c r="E156" s="6">
        <f t="shared" si="18"/>
        <v>202</v>
      </c>
      <c r="F156" s="6" t="s">
        <v>1639</v>
      </c>
      <c r="G156" s="6">
        <f t="shared" si="19"/>
        <v>52</v>
      </c>
      <c r="H156" s="9">
        <f t="shared" si="20"/>
        <v>0.74257425742574257</v>
      </c>
      <c r="I156" s="6" t="s">
        <v>5230</v>
      </c>
      <c r="J156" s="6">
        <v>8</v>
      </c>
      <c r="K156" s="9">
        <f t="shared" si="21"/>
        <v>3.9603960396039604E-2</v>
      </c>
      <c r="L156" s="6">
        <v>17</v>
      </c>
      <c r="M156" s="6">
        <v>1</v>
      </c>
      <c r="N156" s="6">
        <v>2</v>
      </c>
      <c r="O156" s="6" t="str">
        <f t="shared" si="22"/>
        <v>Undertriaged</v>
      </c>
      <c r="P156" s="6"/>
      <c r="Q156" s="6">
        <v>2</v>
      </c>
      <c r="R156" s="6" t="str">
        <f t="shared" si="23"/>
        <v>Undertriaged</v>
      </c>
      <c r="S156" s="6" t="s">
        <v>3643</v>
      </c>
      <c r="T156" s="14">
        <v>2</v>
      </c>
      <c r="U156" s="6" t="str">
        <f t="shared" si="24"/>
        <v>Undertriaged</v>
      </c>
      <c r="V156" s="15">
        <v>2</v>
      </c>
      <c r="W156" s="15" t="str">
        <f t="shared" si="25"/>
        <v>Undertriaged</v>
      </c>
      <c r="X156" s="14">
        <v>2</v>
      </c>
      <c r="Y156" s="14" t="str">
        <f t="shared" si="26"/>
        <v>Undertriaged</v>
      </c>
      <c r="Z156" s="6">
        <v>155</v>
      </c>
      <c r="AA156" s="6" t="s">
        <v>1640</v>
      </c>
      <c r="AB156" s="6" t="s">
        <v>1641</v>
      </c>
      <c r="AC156" s="6">
        <v>2</v>
      </c>
      <c r="AD156" s="6" t="s">
        <v>40</v>
      </c>
      <c r="AE156" s="6" t="s">
        <v>3996</v>
      </c>
      <c r="AF156" s="6" t="s">
        <v>1642</v>
      </c>
      <c r="AG156" s="6" t="s">
        <v>1643</v>
      </c>
      <c r="AH156" s="6" t="s">
        <v>44</v>
      </c>
      <c r="AI156" s="6" t="s">
        <v>4354</v>
      </c>
      <c r="AJ156" s="6" t="s">
        <v>1644</v>
      </c>
      <c r="AK156" s="6" t="s">
        <v>3997</v>
      </c>
      <c r="AL156" s="6" t="s">
        <v>3476</v>
      </c>
      <c r="AM156" s="6" t="s">
        <v>1645</v>
      </c>
      <c r="AN156" s="6" t="s">
        <v>1646</v>
      </c>
      <c r="AO156" s="6" t="s">
        <v>1647</v>
      </c>
      <c r="AP156" s="6" t="s">
        <v>1638</v>
      </c>
      <c r="AQ156" s="21" t="s">
        <v>4470</v>
      </c>
      <c r="AR156" s="6" t="s">
        <v>1648</v>
      </c>
      <c r="AS156" s="6" t="s">
        <v>4750</v>
      </c>
      <c r="AT156" s="14">
        <v>2</v>
      </c>
      <c r="AU156" s="14">
        <v>2</v>
      </c>
      <c r="AV156" s="14">
        <v>2</v>
      </c>
      <c r="AW156" s="14">
        <v>2</v>
      </c>
      <c r="AX156" s="14">
        <v>2</v>
      </c>
      <c r="AY156" s="14">
        <v>2</v>
      </c>
      <c r="AZ156" s="14">
        <v>2</v>
      </c>
      <c r="BA156" s="2"/>
    </row>
    <row r="157" spans="1:53" ht="44" customHeight="1" x14ac:dyDescent="0.2">
      <c r="A157" s="6">
        <v>53565152</v>
      </c>
      <c r="B157" s="6"/>
      <c r="C157" s="7" t="s">
        <v>35</v>
      </c>
      <c r="D157" s="6" t="s">
        <v>1649</v>
      </c>
      <c r="E157" s="6">
        <f t="shared" si="18"/>
        <v>151</v>
      </c>
      <c r="F157" s="6" t="s">
        <v>1650</v>
      </c>
      <c r="G157" s="6">
        <f t="shared" si="19"/>
        <v>29</v>
      </c>
      <c r="H157" s="9">
        <f t="shared" si="20"/>
        <v>0.80794701986754969</v>
      </c>
      <c r="I157" s="6"/>
      <c r="J157" s="6">
        <v>0</v>
      </c>
      <c r="K157" s="9">
        <f t="shared" si="21"/>
        <v>0</v>
      </c>
      <c r="L157" s="6">
        <v>2</v>
      </c>
      <c r="M157" s="6">
        <v>2</v>
      </c>
      <c r="N157" s="6">
        <v>2</v>
      </c>
      <c r="O157" s="6" t="str">
        <f t="shared" si="22"/>
        <v>Correct</v>
      </c>
      <c r="P157" s="6"/>
      <c r="Q157" s="6">
        <v>2</v>
      </c>
      <c r="R157" s="6" t="str">
        <f t="shared" si="23"/>
        <v>Correct</v>
      </c>
      <c r="S157" s="6" t="s">
        <v>3644</v>
      </c>
      <c r="T157" s="14">
        <v>2</v>
      </c>
      <c r="U157" s="6" t="str">
        <f t="shared" si="24"/>
        <v>Correct</v>
      </c>
      <c r="V157" s="15">
        <v>2</v>
      </c>
      <c r="W157" s="15" t="str">
        <f t="shared" si="25"/>
        <v>Correct</v>
      </c>
      <c r="X157" s="14">
        <v>2</v>
      </c>
      <c r="Y157" s="14" t="str">
        <f t="shared" si="26"/>
        <v>Correct</v>
      </c>
      <c r="Z157" s="6">
        <v>156</v>
      </c>
      <c r="AA157" s="6" t="s">
        <v>1651</v>
      </c>
      <c r="AB157" s="6" t="s">
        <v>1652</v>
      </c>
      <c r="AC157" s="6">
        <v>1</v>
      </c>
      <c r="AD157" s="6" t="s">
        <v>40</v>
      </c>
      <c r="AE157" s="6" t="s">
        <v>3998</v>
      </c>
      <c r="AF157" s="6" t="s">
        <v>972</v>
      </c>
      <c r="AG157" s="6" t="s">
        <v>1653</v>
      </c>
      <c r="AH157" s="6" t="s">
        <v>44</v>
      </c>
      <c r="AI157" s="6" t="s">
        <v>4355</v>
      </c>
      <c r="AJ157" s="6" t="s">
        <v>3999</v>
      </c>
      <c r="AK157" s="6" t="s">
        <v>1654</v>
      </c>
      <c r="AL157" s="6" t="s">
        <v>3476</v>
      </c>
      <c r="AM157" s="6" t="s">
        <v>4751</v>
      </c>
      <c r="AN157" s="6" t="s">
        <v>1655</v>
      </c>
      <c r="AO157" s="6" t="s">
        <v>1656</v>
      </c>
      <c r="AP157" s="6" t="s">
        <v>1649</v>
      </c>
      <c r="AQ157" s="21" t="s">
        <v>4471</v>
      </c>
      <c r="AR157" s="6" t="s">
        <v>4752</v>
      </c>
      <c r="AS157" s="6" t="s">
        <v>1657</v>
      </c>
      <c r="AT157" s="14">
        <v>2</v>
      </c>
      <c r="AU157" s="14">
        <v>2</v>
      </c>
      <c r="AV157" s="14">
        <v>2</v>
      </c>
      <c r="AW157" s="14">
        <v>2</v>
      </c>
      <c r="AX157" s="14">
        <v>2</v>
      </c>
      <c r="AY157" s="14">
        <v>2</v>
      </c>
      <c r="AZ157" s="14">
        <v>2</v>
      </c>
      <c r="BA157" s="2"/>
    </row>
    <row r="158" spans="1:53" ht="44" customHeight="1" x14ac:dyDescent="0.2">
      <c r="A158" s="6">
        <v>53676912</v>
      </c>
      <c r="B158" s="6"/>
      <c r="C158" s="7" t="s">
        <v>35</v>
      </c>
      <c r="D158" s="6" t="s">
        <v>1658</v>
      </c>
      <c r="E158" s="6">
        <f t="shared" si="18"/>
        <v>269</v>
      </c>
      <c r="F158" s="6" t="s">
        <v>1659</v>
      </c>
      <c r="G158" s="6">
        <f t="shared" si="19"/>
        <v>50</v>
      </c>
      <c r="H158" s="9">
        <f t="shared" si="20"/>
        <v>0.81412639405204457</v>
      </c>
      <c r="I158" s="6" t="s">
        <v>5231</v>
      </c>
      <c r="J158" s="6">
        <v>3</v>
      </c>
      <c r="K158" s="9">
        <f t="shared" si="21"/>
        <v>1.1152416356877323E-2</v>
      </c>
      <c r="L158" s="6">
        <v>1</v>
      </c>
      <c r="M158" s="6">
        <v>2</v>
      </c>
      <c r="N158" s="6">
        <v>2</v>
      </c>
      <c r="O158" s="6" t="str">
        <f t="shared" si="22"/>
        <v>Correct</v>
      </c>
      <c r="P158" s="6"/>
      <c r="Q158" s="6">
        <v>2</v>
      </c>
      <c r="R158" s="6" t="str">
        <f t="shared" si="23"/>
        <v>Correct</v>
      </c>
      <c r="S158" s="6" t="s">
        <v>3645</v>
      </c>
      <c r="T158" s="14">
        <v>2</v>
      </c>
      <c r="U158" s="6" t="str">
        <f t="shared" si="24"/>
        <v>Correct</v>
      </c>
      <c r="V158" s="15">
        <v>1</v>
      </c>
      <c r="W158" s="15" t="str">
        <f t="shared" si="25"/>
        <v>Overtriaged</v>
      </c>
      <c r="X158" s="14">
        <v>2</v>
      </c>
      <c r="Y158" s="14" t="str">
        <f t="shared" si="26"/>
        <v>Correct</v>
      </c>
      <c r="Z158" s="6">
        <v>157</v>
      </c>
      <c r="AA158" s="6" t="s">
        <v>1660</v>
      </c>
      <c r="AB158" s="6" t="s">
        <v>1661</v>
      </c>
      <c r="AC158" s="6">
        <v>2</v>
      </c>
      <c r="AD158" s="6" t="s">
        <v>40</v>
      </c>
      <c r="AE158" s="6" t="s">
        <v>109</v>
      </c>
      <c r="AF158" s="6" t="s">
        <v>4000</v>
      </c>
      <c r="AG158" s="6" t="s">
        <v>44</v>
      </c>
      <c r="AH158" s="6" t="s">
        <v>1663</v>
      </c>
      <c r="AI158" s="6" t="s">
        <v>44</v>
      </c>
      <c r="AJ158" s="6" t="s">
        <v>44</v>
      </c>
      <c r="AK158" s="6" t="s">
        <v>4001</v>
      </c>
      <c r="AL158" s="6" t="s">
        <v>5107</v>
      </c>
      <c r="AM158" s="6" t="s">
        <v>4753</v>
      </c>
      <c r="AN158" s="6" t="s">
        <v>4754</v>
      </c>
      <c r="AO158" s="6" t="s">
        <v>1658</v>
      </c>
      <c r="AP158" s="6" t="s">
        <v>1664</v>
      </c>
      <c r="AQ158" s="21" t="s">
        <v>1658</v>
      </c>
      <c r="AR158" s="6" t="s">
        <v>1658</v>
      </c>
      <c r="AS158" s="6" t="s">
        <v>4755</v>
      </c>
      <c r="AT158" s="14">
        <v>2</v>
      </c>
      <c r="AU158" s="14">
        <v>2</v>
      </c>
      <c r="AV158" s="14">
        <v>2</v>
      </c>
      <c r="AW158" s="14">
        <v>2</v>
      </c>
      <c r="AX158" s="14">
        <v>2</v>
      </c>
      <c r="AY158" s="14">
        <v>2</v>
      </c>
      <c r="AZ158" s="14">
        <v>2</v>
      </c>
      <c r="BA158" s="2"/>
    </row>
    <row r="159" spans="1:53" ht="44" customHeight="1" x14ac:dyDescent="0.2">
      <c r="A159" s="6">
        <v>53676562</v>
      </c>
      <c r="B159" s="6"/>
      <c r="C159" s="7" t="s">
        <v>35</v>
      </c>
      <c r="D159" s="6" t="s">
        <v>1665</v>
      </c>
      <c r="E159" s="6">
        <f t="shared" si="18"/>
        <v>432</v>
      </c>
      <c r="F159" s="6" t="s">
        <v>1666</v>
      </c>
      <c r="G159" s="6">
        <f t="shared" si="19"/>
        <v>46</v>
      </c>
      <c r="H159" s="9">
        <f t="shared" si="20"/>
        <v>0.89351851851851849</v>
      </c>
      <c r="I159" s="6" t="s">
        <v>5232</v>
      </c>
      <c r="J159" s="6">
        <v>8</v>
      </c>
      <c r="K159" s="9">
        <f t="shared" si="21"/>
        <v>1.8518518518518517E-2</v>
      </c>
      <c r="L159" s="6">
        <v>1</v>
      </c>
      <c r="M159" s="6">
        <v>2</v>
      </c>
      <c r="N159" s="6">
        <v>2</v>
      </c>
      <c r="O159" s="6" t="str">
        <f t="shared" si="22"/>
        <v>Correct</v>
      </c>
      <c r="P159" s="6"/>
      <c r="Q159" s="6">
        <v>2</v>
      </c>
      <c r="R159" s="6" t="str">
        <f t="shared" si="23"/>
        <v>Correct</v>
      </c>
      <c r="S159" s="6" t="s">
        <v>3646</v>
      </c>
      <c r="T159" s="14">
        <v>2</v>
      </c>
      <c r="U159" s="6" t="str">
        <f t="shared" si="24"/>
        <v>Correct</v>
      </c>
      <c r="V159" s="15">
        <v>2</v>
      </c>
      <c r="W159" s="15" t="str">
        <f t="shared" si="25"/>
        <v>Correct</v>
      </c>
      <c r="X159" s="14">
        <v>2</v>
      </c>
      <c r="Y159" s="14" t="str">
        <f t="shared" si="26"/>
        <v>Correct</v>
      </c>
      <c r="Z159" s="6">
        <v>158</v>
      </c>
      <c r="AA159" s="6" t="s">
        <v>1667</v>
      </c>
      <c r="AB159" s="6" t="s">
        <v>1668</v>
      </c>
      <c r="AC159" s="6">
        <v>2</v>
      </c>
      <c r="AD159" s="6" t="s">
        <v>120</v>
      </c>
      <c r="AE159" s="6" t="s">
        <v>1669</v>
      </c>
      <c r="AF159" s="6" t="s">
        <v>1670</v>
      </c>
      <c r="AG159" s="6" t="s">
        <v>1671</v>
      </c>
      <c r="AH159" s="6" t="s">
        <v>44</v>
      </c>
      <c r="AI159" s="6" t="s">
        <v>3415</v>
      </c>
      <c r="AJ159" s="6" t="s">
        <v>1672</v>
      </c>
      <c r="AK159" s="6" t="s">
        <v>4002</v>
      </c>
      <c r="AL159" s="6" t="s">
        <v>3476</v>
      </c>
      <c r="AM159" s="6" t="s">
        <v>1673</v>
      </c>
      <c r="AN159" s="6" t="s">
        <v>1674</v>
      </c>
      <c r="AO159" s="6" t="s">
        <v>1675</v>
      </c>
      <c r="AP159" s="6" t="s">
        <v>1665</v>
      </c>
      <c r="AQ159" s="21" t="s">
        <v>4472</v>
      </c>
      <c r="AR159" s="6" t="s">
        <v>1676</v>
      </c>
      <c r="AS159" s="6" t="s">
        <v>4756</v>
      </c>
      <c r="AT159" s="14">
        <v>2</v>
      </c>
      <c r="AU159" s="14">
        <v>2</v>
      </c>
      <c r="AV159" s="14">
        <v>2</v>
      </c>
      <c r="AW159" s="14">
        <v>2</v>
      </c>
      <c r="AX159" s="14">
        <v>2</v>
      </c>
      <c r="AY159" s="14">
        <v>2</v>
      </c>
      <c r="AZ159" s="14">
        <v>2</v>
      </c>
      <c r="BA159" s="2"/>
    </row>
    <row r="160" spans="1:53" ht="44" customHeight="1" x14ac:dyDescent="0.2">
      <c r="A160" s="6">
        <v>53704302</v>
      </c>
      <c r="B160" s="6"/>
      <c r="C160" s="7" t="s">
        <v>35</v>
      </c>
      <c r="D160" s="6" t="s">
        <v>1677</v>
      </c>
      <c r="E160" s="6">
        <f t="shared" si="18"/>
        <v>71</v>
      </c>
      <c r="F160" s="6" t="s">
        <v>1678</v>
      </c>
      <c r="G160" s="6">
        <f t="shared" si="19"/>
        <v>30</v>
      </c>
      <c r="H160" s="9">
        <f t="shared" si="20"/>
        <v>0.57746478873239437</v>
      </c>
      <c r="I160" s="6" t="s">
        <v>5233</v>
      </c>
      <c r="J160" s="6">
        <v>5</v>
      </c>
      <c r="K160" s="9">
        <f t="shared" si="21"/>
        <v>7.0422535211267609E-2</v>
      </c>
      <c r="L160" s="6">
        <v>1</v>
      </c>
      <c r="M160" s="6">
        <v>2</v>
      </c>
      <c r="N160" s="6">
        <v>2</v>
      </c>
      <c r="O160" s="6" t="str">
        <f t="shared" si="22"/>
        <v>Correct</v>
      </c>
      <c r="P160" s="6"/>
      <c r="Q160" s="6">
        <v>2</v>
      </c>
      <c r="R160" s="6" t="str">
        <f t="shared" si="23"/>
        <v>Correct</v>
      </c>
      <c r="S160" s="6" t="s">
        <v>3647</v>
      </c>
      <c r="T160" s="14">
        <v>2</v>
      </c>
      <c r="U160" s="6" t="str">
        <f t="shared" si="24"/>
        <v>Correct</v>
      </c>
      <c r="V160" s="15">
        <v>1</v>
      </c>
      <c r="W160" s="15" t="str">
        <f t="shared" si="25"/>
        <v>Overtriaged</v>
      </c>
      <c r="X160" s="14">
        <v>2</v>
      </c>
      <c r="Y160" s="14" t="str">
        <f t="shared" si="26"/>
        <v>Correct</v>
      </c>
      <c r="Z160" s="6">
        <v>159</v>
      </c>
      <c r="AA160" s="6" t="s">
        <v>1679</v>
      </c>
      <c r="AB160" s="6" t="s">
        <v>1680</v>
      </c>
      <c r="AC160" s="6">
        <v>1</v>
      </c>
      <c r="AD160" s="6" t="s">
        <v>40</v>
      </c>
      <c r="AE160" s="6" t="s">
        <v>1681</v>
      </c>
      <c r="AF160" s="6" t="s">
        <v>1682</v>
      </c>
      <c r="AG160" s="6" t="s">
        <v>1683</v>
      </c>
      <c r="AH160" s="6" t="s">
        <v>44</v>
      </c>
      <c r="AI160" s="6" t="s">
        <v>44</v>
      </c>
      <c r="AJ160" s="6" t="s">
        <v>2975</v>
      </c>
      <c r="AK160" s="6" t="s">
        <v>1684</v>
      </c>
      <c r="AL160" s="6" t="s">
        <v>3476</v>
      </c>
      <c r="AM160" s="6" t="s">
        <v>1685</v>
      </c>
      <c r="AN160" s="6" t="s">
        <v>1686</v>
      </c>
      <c r="AO160" s="6" t="s">
        <v>1687</v>
      </c>
      <c r="AP160" s="6" t="s">
        <v>1677</v>
      </c>
      <c r="AQ160" s="21" t="s">
        <v>1677</v>
      </c>
      <c r="AR160" s="6" t="s">
        <v>4757</v>
      </c>
      <c r="AS160" s="6" t="s">
        <v>1688</v>
      </c>
      <c r="AT160" s="14">
        <v>2</v>
      </c>
      <c r="AU160" s="14">
        <v>2</v>
      </c>
      <c r="AV160" s="14">
        <v>2</v>
      </c>
      <c r="AW160" s="14">
        <v>2</v>
      </c>
      <c r="AX160" s="14">
        <v>2</v>
      </c>
      <c r="AY160" s="14">
        <v>2</v>
      </c>
      <c r="AZ160" s="14">
        <v>2</v>
      </c>
      <c r="BA160" s="2"/>
    </row>
    <row r="161" spans="1:53" ht="44" customHeight="1" x14ac:dyDescent="0.2">
      <c r="A161" s="6">
        <v>53739439</v>
      </c>
      <c r="B161" s="6"/>
      <c r="C161" s="7" t="s">
        <v>35</v>
      </c>
      <c r="D161" s="6" t="s">
        <v>1689</v>
      </c>
      <c r="E161" s="6">
        <f t="shared" si="18"/>
        <v>126</v>
      </c>
      <c r="F161" s="6" t="s">
        <v>1690</v>
      </c>
      <c r="G161" s="6">
        <f t="shared" si="19"/>
        <v>26</v>
      </c>
      <c r="H161" s="9">
        <f t="shared" si="20"/>
        <v>0.79365079365079361</v>
      </c>
      <c r="I161" s="6" t="s">
        <v>5234</v>
      </c>
      <c r="J161" s="6">
        <v>6</v>
      </c>
      <c r="K161" s="9">
        <f t="shared" si="21"/>
        <v>4.7619047619047616E-2</v>
      </c>
      <c r="L161" s="6">
        <v>10</v>
      </c>
      <c r="M161" s="6">
        <v>2</v>
      </c>
      <c r="N161" s="6">
        <v>2</v>
      </c>
      <c r="O161" s="6" t="str">
        <f t="shared" si="22"/>
        <v>Correct</v>
      </c>
      <c r="P161" s="6"/>
      <c r="Q161" s="6">
        <v>2</v>
      </c>
      <c r="R161" s="6" t="str">
        <f t="shared" si="23"/>
        <v>Correct</v>
      </c>
      <c r="S161" s="6" t="s">
        <v>3648</v>
      </c>
      <c r="T161" s="14">
        <v>2</v>
      </c>
      <c r="U161" s="6" t="str">
        <f t="shared" si="24"/>
        <v>Correct</v>
      </c>
      <c r="V161" s="15">
        <v>2</v>
      </c>
      <c r="W161" s="15" t="str">
        <f t="shared" si="25"/>
        <v>Correct</v>
      </c>
      <c r="X161" s="14">
        <v>2</v>
      </c>
      <c r="Y161" s="14" t="str">
        <f t="shared" si="26"/>
        <v>Correct</v>
      </c>
      <c r="Z161" s="6">
        <v>160</v>
      </c>
      <c r="AA161" s="6" t="s">
        <v>1691</v>
      </c>
      <c r="AB161" s="6" t="s">
        <v>1692</v>
      </c>
      <c r="AC161" s="6">
        <v>1</v>
      </c>
      <c r="AD161" s="6" t="s">
        <v>40</v>
      </c>
      <c r="AE161" s="6" t="s">
        <v>1693</v>
      </c>
      <c r="AF161" s="6" t="s">
        <v>1694</v>
      </c>
      <c r="AG161" s="6" t="s">
        <v>1695</v>
      </c>
      <c r="AH161" s="6" t="s">
        <v>44</v>
      </c>
      <c r="AI161" s="6" t="s">
        <v>44</v>
      </c>
      <c r="AJ161" s="6" t="s">
        <v>44</v>
      </c>
      <c r="AK161" s="6" t="s">
        <v>4003</v>
      </c>
      <c r="AL161" s="6" t="s">
        <v>5099</v>
      </c>
      <c r="AM161" s="6" t="s">
        <v>1696</v>
      </c>
      <c r="AN161" s="6" t="s">
        <v>1697</v>
      </c>
      <c r="AO161" s="6" t="s">
        <v>1698</v>
      </c>
      <c r="AP161" s="6" t="s">
        <v>1689</v>
      </c>
      <c r="AQ161" s="21" t="s">
        <v>1689</v>
      </c>
      <c r="AR161" s="6" t="s">
        <v>1689</v>
      </c>
      <c r="AS161" s="6" t="s">
        <v>4758</v>
      </c>
      <c r="AT161" s="14">
        <v>2</v>
      </c>
      <c r="AU161" s="14">
        <v>2</v>
      </c>
      <c r="AV161" s="14">
        <v>2</v>
      </c>
      <c r="AW161" s="14">
        <v>2</v>
      </c>
      <c r="AX161" s="14">
        <v>2</v>
      </c>
      <c r="AY161" s="14">
        <v>2</v>
      </c>
      <c r="AZ161" s="14">
        <v>2</v>
      </c>
      <c r="BA161" s="2"/>
    </row>
    <row r="162" spans="1:53" ht="44" customHeight="1" x14ac:dyDescent="0.2">
      <c r="A162" s="6">
        <v>53820018</v>
      </c>
      <c r="B162" s="6"/>
      <c r="C162" s="7" t="s">
        <v>35</v>
      </c>
      <c r="D162" s="6" t="s">
        <v>1699</v>
      </c>
      <c r="E162" s="6">
        <f t="shared" si="18"/>
        <v>145</v>
      </c>
      <c r="F162" s="6" t="s">
        <v>1700</v>
      </c>
      <c r="G162" s="6">
        <f t="shared" si="19"/>
        <v>49</v>
      </c>
      <c r="H162" s="9">
        <f t="shared" si="20"/>
        <v>0.66206896551724137</v>
      </c>
      <c r="I162" s="6"/>
      <c r="J162" s="6">
        <v>0</v>
      </c>
      <c r="K162" s="9">
        <f t="shared" si="21"/>
        <v>0</v>
      </c>
      <c r="L162" s="6">
        <v>5</v>
      </c>
      <c r="M162" s="6">
        <v>2</v>
      </c>
      <c r="N162" s="6">
        <v>2</v>
      </c>
      <c r="O162" s="6" t="str">
        <f t="shared" si="22"/>
        <v>Correct</v>
      </c>
      <c r="P162" s="6"/>
      <c r="Q162" s="6">
        <v>2</v>
      </c>
      <c r="R162" s="6" t="str">
        <f t="shared" si="23"/>
        <v>Correct</v>
      </c>
      <c r="S162" s="6" t="s">
        <v>3649</v>
      </c>
      <c r="T162" s="14">
        <v>2</v>
      </c>
      <c r="U162" s="6" t="str">
        <f t="shared" si="24"/>
        <v>Correct</v>
      </c>
      <c r="V162" s="15">
        <v>2</v>
      </c>
      <c r="W162" s="15" t="str">
        <f t="shared" si="25"/>
        <v>Correct</v>
      </c>
      <c r="X162" s="14">
        <v>2</v>
      </c>
      <c r="Y162" s="14" t="str">
        <f t="shared" si="26"/>
        <v>Correct</v>
      </c>
      <c r="Z162" s="6">
        <v>161</v>
      </c>
      <c r="AA162" s="6" t="s">
        <v>1211</v>
      </c>
      <c r="AB162" s="6" t="s">
        <v>1701</v>
      </c>
      <c r="AC162" s="6">
        <v>1</v>
      </c>
      <c r="AD162" s="6" t="s">
        <v>40</v>
      </c>
      <c r="AE162" s="6" t="s">
        <v>1702</v>
      </c>
      <c r="AF162" s="6" t="s">
        <v>1703</v>
      </c>
      <c r="AG162" s="6" t="s">
        <v>1704</v>
      </c>
      <c r="AH162" s="6" t="s">
        <v>44</v>
      </c>
      <c r="AI162" s="6" t="s">
        <v>3416</v>
      </c>
      <c r="AJ162" s="6" t="s">
        <v>1705</v>
      </c>
      <c r="AK162" s="6" t="s">
        <v>4004</v>
      </c>
      <c r="AL162" s="6" t="s">
        <v>3476</v>
      </c>
      <c r="AM162" s="6" t="s">
        <v>1706</v>
      </c>
      <c r="AN162" s="6" t="s">
        <v>1707</v>
      </c>
      <c r="AO162" s="6" t="s">
        <v>1708</v>
      </c>
      <c r="AP162" s="6" t="s">
        <v>1699</v>
      </c>
      <c r="AQ162" s="21" t="s">
        <v>4473</v>
      </c>
      <c r="AR162" s="6" t="s">
        <v>1709</v>
      </c>
      <c r="AS162" s="6" t="s">
        <v>4759</v>
      </c>
      <c r="AT162" s="14">
        <v>2</v>
      </c>
      <c r="AU162" s="14">
        <v>2</v>
      </c>
      <c r="AV162" s="14">
        <v>2</v>
      </c>
      <c r="AW162" s="14">
        <v>2</v>
      </c>
      <c r="AX162" s="14">
        <v>2</v>
      </c>
      <c r="AY162" s="14">
        <v>2</v>
      </c>
      <c r="AZ162" s="14">
        <v>2</v>
      </c>
      <c r="BA162" s="2"/>
    </row>
    <row r="163" spans="1:53" ht="44" customHeight="1" x14ac:dyDescent="0.2">
      <c r="A163" s="6">
        <v>53833551</v>
      </c>
      <c r="B163" s="6"/>
      <c r="C163" s="7" t="s">
        <v>35</v>
      </c>
      <c r="D163" s="6" t="s">
        <v>1710</v>
      </c>
      <c r="E163" s="6">
        <f t="shared" si="18"/>
        <v>163</v>
      </c>
      <c r="F163" s="6" t="s">
        <v>1712</v>
      </c>
      <c r="G163" s="6">
        <f t="shared" si="19"/>
        <v>32</v>
      </c>
      <c r="H163" s="9">
        <f t="shared" si="20"/>
        <v>0.80368098159509205</v>
      </c>
      <c r="I163" s="6"/>
      <c r="J163" s="6">
        <v>0</v>
      </c>
      <c r="K163" s="9">
        <f t="shared" si="21"/>
        <v>0</v>
      </c>
      <c r="L163" s="6">
        <v>1</v>
      </c>
      <c r="M163" s="6">
        <v>2</v>
      </c>
      <c r="N163" s="6">
        <v>2</v>
      </c>
      <c r="O163" s="6" t="str">
        <f t="shared" si="22"/>
        <v>Correct</v>
      </c>
      <c r="P163" s="6"/>
      <c r="Q163" s="6">
        <v>2</v>
      </c>
      <c r="R163" s="6" t="str">
        <f t="shared" si="23"/>
        <v>Correct</v>
      </c>
      <c r="S163" s="6" t="s">
        <v>1711</v>
      </c>
      <c r="T163" s="14">
        <v>2</v>
      </c>
      <c r="U163" s="6" t="str">
        <f t="shared" si="24"/>
        <v>Correct</v>
      </c>
      <c r="V163" s="15">
        <v>2</v>
      </c>
      <c r="W163" s="15" t="str">
        <f t="shared" si="25"/>
        <v>Correct</v>
      </c>
      <c r="X163" s="14">
        <v>2</v>
      </c>
      <c r="Y163" s="14" t="str">
        <f t="shared" si="26"/>
        <v>Correct</v>
      </c>
      <c r="Z163" s="6">
        <v>162</v>
      </c>
      <c r="AA163" s="6" t="s">
        <v>1713</v>
      </c>
      <c r="AB163" s="6" t="s">
        <v>1714</v>
      </c>
      <c r="AC163" s="6">
        <v>1</v>
      </c>
      <c r="AD163" s="6" t="s">
        <v>40</v>
      </c>
      <c r="AE163" s="6" t="s">
        <v>1715</v>
      </c>
      <c r="AF163" s="6" t="s">
        <v>1716</v>
      </c>
      <c r="AG163" s="6" t="s">
        <v>4005</v>
      </c>
      <c r="AH163" s="6" t="s">
        <v>4006</v>
      </c>
      <c r="AI163" s="6" t="s">
        <v>44</v>
      </c>
      <c r="AJ163" s="6" t="s">
        <v>1717</v>
      </c>
      <c r="AK163" s="6" t="s">
        <v>4007</v>
      </c>
      <c r="AL163" s="6" t="s">
        <v>3477</v>
      </c>
      <c r="AM163" s="6" t="s">
        <v>1718</v>
      </c>
      <c r="AN163" s="6" t="s">
        <v>1719</v>
      </c>
      <c r="AO163" s="6" t="s">
        <v>1710</v>
      </c>
      <c r="AP163" s="6" t="s">
        <v>4760</v>
      </c>
      <c r="AQ163" s="21" t="s">
        <v>1710</v>
      </c>
      <c r="AR163" s="6" t="s">
        <v>1720</v>
      </c>
      <c r="AS163" s="6" t="s">
        <v>4761</v>
      </c>
      <c r="AT163" s="14">
        <v>2</v>
      </c>
      <c r="AU163" s="14">
        <v>2</v>
      </c>
      <c r="AV163" s="14">
        <v>2</v>
      </c>
      <c r="AW163" s="14">
        <v>2</v>
      </c>
      <c r="AX163" s="14">
        <v>2</v>
      </c>
      <c r="AY163" s="14">
        <v>2</v>
      </c>
      <c r="AZ163" s="14">
        <v>2</v>
      </c>
      <c r="BA163" s="2"/>
    </row>
    <row r="164" spans="1:53" ht="44" customHeight="1" x14ac:dyDescent="0.2">
      <c r="A164" s="6">
        <v>53937354</v>
      </c>
      <c r="B164" s="6"/>
      <c r="C164" s="7" t="s">
        <v>35</v>
      </c>
      <c r="D164" s="6" t="s">
        <v>1721</v>
      </c>
      <c r="E164" s="6">
        <f t="shared" si="18"/>
        <v>138</v>
      </c>
      <c r="F164" s="6" t="s">
        <v>1722</v>
      </c>
      <c r="G164" s="6">
        <f t="shared" si="19"/>
        <v>34</v>
      </c>
      <c r="H164" s="9">
        <f t="shared" si="20"/>
        <v>0.75362318840579712</v>
      </c>
      <c r="I164" s="6"/>
      <c r="J164" s="6">
        <v>0</v>
      </c>
      <c r="K164" s="9">
        <f t="shared" si="21"/>
        <v>0</v>
      </c>
      <c r="L164" s="6">
        <v>9</v>
      </c>
      <c r="M164" s="6">
        <v>2</v>
      </c>
      <c r="N164" s="6">
        <v>1</v>
      </c>
      <c r="O164" s="6" t="str">
        <f t="shared" si="22"/>
        <v>Overtriaged</v>
      </c>
      <c r="P164" s="6"/>
      <c r="Q164" s="6">
        <v>1</v>
      </c>
      <c r="R164" s="6" t="str">
        <f t="shared" si="23"/>
        <v>Overtriaged</v>
      </c>
      <c r="S164" s="6" t="s">
        <v>3799</v>
      </c>
      <c r="T164" s="14">
        <v>1</v>
      </c>
      <c r="U164" s="6" t="str">
        <f t="shared" si="24"/>
        <v>Overtriaged</v>
      </c>
      <c r="V164" s="15">
        <v>2</v>
      </c>
      <c r="W164" s="15" t="str">
        <f t="shared" si="25"/>
        <v>Correct</v>
      </c>
      <c r="X164" s="14">
        <v>2</v>
      </c>
      <c r="Y164" s="14" t="str">
        <f t="shared" si="26"/>
        <v>Correct</v>
      </c>
      <c r="Z164" s="6">
        <v>163</v>
      </c>
      <c r="AA164" s="6" t="s">
        <v>1723</v>
      </c>
      <c r="AB164" s="6" t="s">
        <v>1724</v>
      </c>
      <c r="AC164" s="6">
        <v>1</v>
      </c>
      <c r="AD164" s="6" t="s">
        <v>40</v>
      </c>
      <c r="AE164" s="6" t="s">
        <v>4008</v>
      </c>
      <c r="AF164" s="6" t="s">
        <v>1725</v>
      </c>
      <c r="AG164" s="6" t="s">
        <v>1726</v>
      </c>
      <c r="AH164" s="6" t="s">
        <v>1727</v>
      </c>
      <c r="AI164" s="6" t="s">
        <v>3417</v>
      </c>
      <c r="AJ164" s="6" t="s">
        <v>4009</v>
      </c>
      <c r="AK164" s="6" t="s">
        <v>1728</v>
      </c>
      <c r="AL164" s="6" t="s">
        <v>3477</v>
      </c>
      <c r="AM164" s="6" t="s">
        <v>4762</v>
      </c>
      <c r="AN164" s="6" t="s">
        <v>1729</v>
      </c>
      <c r="AO164" s="6" t="s">
        <v>1730</v>
      </c>
      <c r="AP164" s="6" t="s">
        <v>1731</v>
      </c>
      <c r="AQ164" s="21" t="s">
        <v>4474</v>
      </c>
      <c r="AR164" s="6" t="s">
        <v>4763</v>
      </c>
      <c r="AS164" s="6" t="s">
        <v>1732</v>
      </c>
      <c r="AT164" s="14">
        <v>2</v>
      </c>
      <c r="AU164" s="14">
        <v>1</v>
      </c>
      <c r="AV164" s="14">
        <v>1</v>
      </c>
      <c r="AW164" s="14">
        <v>1</v>
      </c>
      <c r="AX164" s="14">
        <v>2</v>
      </c>
      <c r="AY164" s="14">
        <v>1</v>
      </c>
      <c r="AZ164" s="14">
        <v>2</v>
      </c>
      <c r="BA164" s="2"/>
    </row>
    <row r="165" spans="1:53" ht="44" customHeight="1" x14ac:dyDescent="0.2">
      <c r="A165" s="6">
        <v>53987216</v>
      </c>
      <c r="B165" s="6"/>
      <c r="C165" s="7" t="s">
        <v>35</v>
      </c>
      <c r="D165" s="6" t="s">
        <v>1733</v>
      </c>
      <c r="E165" s="6">
        <f t="shared" si="18"/>
        <v>145</v>
      </c>
      <c r="F165" s="6" t="s">
        <v>1734</v>
      </c>
      <c r="G165" s="6">
        <f t="shared" si="19"/>
        <v>44</v>
      </c>
      <c r="H165" s="9">
        <f t="shared" si="20"/>
        <v>0.69655172413793098</v>
      </c>
      <c r="I165" s="6" t="s">
        <v>5235</v>
      </c>
      <c r="J165" s="6">
        <v>3</v>
      </c>
      <c r="K165" s="9">
        <f t="shared" si="21"/>
        <v>2.0689655172413793E-2</v>
      </c>
      <c r="L165" s="6">
        <v>5</v>
      </c>
      <c r="M165" s="6">
        <v>2</v>
      </c>
      <c r="N165" s="6">
        <v>2</v>
      </c>
      <c r="O165" s="6" t="str">
        <f t="shared" si="22"/>
        <v>Correct</v>
      </c>
      <c r="P165" s="6"/>
      <c r="Q165" s="6">
        <v>2</v>
      </c>
      <c r="R165" s="6" t="str">
        <f t="shared" si="23"/>
        <v>Correct</v>
      </c>
      <c r="S165" s="6" t="s">
        <v>3650</v>
      </c>
      <c r="T165" s="14">
        <v>2</v>
      </c>
      <c r="U165" s="6" t="str">
        <f t="shared" si="24"/>
        <v>Correct</v>
      </c>
      <c r="V165" s="15">
        <v>2</v>
      </c>
      <c r="W165" s="15" t="str">
        <f t="shared" si="25"/>
        <v>Correct</v>
      </c>
      <c r="X165" s="14">
        <v>2</v>
      </c>
      <c r="Y165" s="14" t="str">
        <f t="shared" si="26"/>
        <v>Correct</v>
      </c>
      <c r="Z165" s="6">
        <v>164</v>
      </c>
      <c r="AA165" s="6" t="s">
        <v>892</v>
      </c>
      <c r="AB165" s="6" t="s">
        <v>1735</v>
      </c>
      <c r="AC165" s="6">
        <v>1</v>
      </c>
      <c r="AD165" s="6" t="s">
        <v>40</v>
      </c>
      <c r="AE165" s="6" t="s">
        <v>408</v>
      </c>
      <c r="AF165" s="6" t="s">
        <v>44</v>
      </c>
      <c r="AG165" s="6" t="s">
        <v>1736</v>
      </c>
      <c r="AH165" s="6" t="s">
        <v>44</v>
      </c>
      <c r="AI165" s="6" t="s">
        <v>44</v>
      </c>
      <c r="AJ165" s="6" t="s">
        <v>1737</v>
      </c>
      <c r="AK165" s="6" t="s">
        <v>4010</v>
      </c>
      <c r="AL165" s="6" t="s">
        <v>3479</v>
      </c>
      <c r="AM165" s="6" t="s">
        <v>1738</v>
      </c>
      <c r="AN165" s="6" t="s">
        <v>1733</v>
      </c>
      <c r="AO165" s="6" t="s">
        <v>1739</v>
      </c>
      <c r="AP165" s="6" t="s">
        <v>1733</v>
      </c>
      <c r="AQ165" s="21" t="s">
        <v>1733</v>
      </c>
      <c r="AR165" s="6" t="s">
        <v>1740</v>
      </c>
      <c r="AS165" s="6" t="s">
        <v>4764</v>
      </c>
      <c r="AT165" s="14">
        <v>2</v>
      </c>
      <c r="AU165" s="14">
        <v>2</v>
      </c>
      <c r="AV165" s="14">
        <v>2</v>
      </c>
      <c r="AW165" s="14">
        <v>2</v>
      </c>
      <c r="AX165" s="14">
        <v>2</v>
      </c>
      <c r="AY165" s="14">
        <v>2</v>
      </c>
      <c r="AZ165" s="14">
        <v>2</v>
      </c>
      <c r="BA165" s="2"/>
    </row>
    <row r="166" spans="1:53" ht="44" customHeight="1" x14ac:dyDescent="0.2">
      <c r="A166" s="6">
        <v>54123500</v>
      </c>
      <c r="B166" s="6"/>
      <c r="C166" s="7" t="s">
        <v>35</v>
      </c>
      <c r="D166" s="6" t="s">
        <v>1741</v>
      </c>
      <c r="E166" s="6">
        <f t="shared" si="18"/>
        <v>279</v>
      </c>
      <c r="F166" s="6" t="s">
        <v>1742</v>
      </c>
      <c r="G166" s="6">
        <f t="shared" si="19"/>
        <v>39</v>
      </c>
      <c r="H166" s="9">
        <f t="shared" si="20"/>
        <v>0.86021505376344087</v>
      </c>
      <c r="I166" s="6" t="s">
        <v>5236</v>
      </c>
      <c r="J166" s="6">
        <v>3</v>
      </c>
      <c r="K166" s="9">
        <f t="shared" si="21"/>
        <v>1.0752688172043012E-2</v>
      </c>
      <c r="L166" s="6">
        <v>1</v>
      </c>
      <c r="M166" s="6">
        <v>2</v>
      </c>
      <c r="N166" s="6">
        <v>2</v>
      </c>
      <c r="O166" s="6" t="str">
        <f t="shared" si="22"/>
        <v>Correct</v>
      </c>
      <c r="P166" s="6"/>
      <c r="Q166" s="6">
        <v>2</v>
      </c>
      <c r="R166" s="6" t="str">
        <f t="shared" si="23"/>
        <v>Correct</v>
      </c>
      <c r="S166" s="6" t="s">
        <v>3651</v>
      </c>
      <c r="T166" s="14">
        <v>2</v>
      </c>
      <c r="U166" s="6" t="str">
        <f t="shared" si="24"/>
        <v>Correct</v>
      </c>
      <c r="V166" s="15">
        <v>2</v>
      </c>
      <c r="W166" s="15" t="str">
        <f t="shared" si="25"/>
        <v>Correct</v>
      </c>
      <c r="X166" s="14">
        <v>2</v>
      </c>
      <c r="Y166" s="14" t="str">
        <f t="shared" si="26"/>
        <v>Correct</v>
      </c>
      <c r="Z166" s="6">
        <v>165</v>
      </c>
      <c r="AA166" s="6" t="s">
        <v>1743</v>
      </c>
      <c r="AB166" s="6" t="s">
        <v>1744</v>
      </c>
      <c r="AC166" s="6">
        <v>1</v>
      </c>
      <c r="AD166" s="6" t="s">
        <v>40</v>
      </c>
      <c r="AE166" s="6" t="s">
        <v>1745</v>
      </c>
      <c r="AF166" s="6" t="s">
        <v>4011</v>
      </c>
      <c r="AG166" s="6" t="s">
        <v>1746</v>
      </c>
      <c r="AH166" s="6" t="s">
        <v>44</v>
      </c>
      <c r="AI166" s="6" t="s">
        <v>3418</v>
      </c>
      <c r="AJ166" s="6" t="s">
        <v>4012</v>
      </c>
      <c r="AK166" s="6" t="s">
        <v>1747</v>
      </c>
      <c r="AL166" s="6" t="s">
        <v>3476</v>
      </c>
      <c r="AM166" s="6" t="s">
        <v>1748</v>
      </c>
      <c r="AN166" s="6" t="s">
        <v>4765</v>
      </c>
      <c r="AO166" s="6" t="s">
        <v>1749</v>
      </c>
      <c r="AP166" s="6" t="s">
        <v>1741</v>
      </c>
      <c r="AQ166" s="21" t="s">
        <v>4475</v>
      </c>
      <c r="AR166" s="6" t="s">
        <v>4766</v>
      </c>
      <c r="AS166" s="6" t="s">
        <v>1750</v>
      </c>
      <c r="AT166" s="14">
        <v>2</v>
      </c>
      <c r="AU166" s="14">
        <v>2</v>
      </c>
      <c r="AV166" s="14">
        <v>2</v>
      </c>
      <c r="AW166" s="14">
        <v>2</v>
      </c>
      <c r="AX166" s="14">
        <v>2</v>
      </c>
      <c r="AY166" s="14">
        <v>2</v>
      </c>
      <c r="AZ166" s="14">
        <v>2</v>
      </c>
      <c r="BA166" s="2"/>
    </row>
    <row r="167" spans="1:53" ht="44" customHeight="1" x14ac:dyDescent="0.2">
      <c r="A167" s="6">
        <v>54125017</v>
      </c>
      <c r="B167" s="6"/>
      <c r="C167" s="7" t="s">
        <v>35</v>
      </c>
      <c r="D167" s="6" t="s">
        <v>1751</v>
      </c>
      <c r="E167" s="6">
        <f t="shared" si="18"/>
        <v>359</v>
      </c>
      <c r="F167" s="6" t="s">
        <v>1752</v>
      </c>
      <c r="G167" s="6">
        <f t="shared" si="19"/>
        <v>50</v>
      </c>
      <c r="H167" s="9">
        <f t="shared" si="20"/>
        <v>0.8607242339832869</v>
      </c>
      <c r="I167" s="6" t="s">
        <v>5237</v>
      </c>
      <c r="J167" s="6">
        <v>5</v>
      </c>
      <c r="K167" s="9">
        <f t="shared" si="21"/>
        <v>1.3927576601671309E-2</v>
      </c>
      <c r="L167" s="6">
        <v>1</v>
      </c>
      <c r="M167" s="6">
        <v>2</v>
      </c>
      <c r="N167" s="6">
        <v>2</v>
      </c>
      <c r="O167" s="6" t="str">
        <f t="shared" si="22"/>
        <v>Correct</v>
      </c>
      <c r="P167" s="6"/>
      <c r="Q167" s="6">
        <v>2</v>
      </c>
      <c r="R167" s="6" t="str">
        <f t="shared" si="23"/>
        <v>Correct</v>
      </c>
      <c r="S167" s="6" t="s">
        <v>3652</v>
      </c>
      <c r="T167" s="14">
        <v>2</v>
      </c>
      <c r="U167" s="6" t="str">
        <f t="shared" si="24"/>
        <v>Correct</v>
      </c>
      <c r="V167" s="15">
        <v>2</v>
      </c>
      <c r="W167" s="15" t="str">
        <f t="shared" si="25"/>
        <v>Correct</v>
      </c>
      <c r="X167" s="14">
        <v>2</v>
      </c>
      <c r="Y167" s="14" t="str">
        <f t="shared" si="26"/>
        <v>Correct</v>
      </c>
      <c r="Z167" s="6">
        <v>166</v>
      </c>
      <c r="AA167" s="6" t="s">
        <v>1753</v>
      </c>
      <c r="AB167" s="6" t="s">
        <v>1754</v>
      </c>
      <c r="AC167" s="6">
        <v>1</v>
      </c>
      <c r="AD167" s="6" t="s">
        <v>40</v>
      </c>
      <c r="AE167" s="6" t="s">
        <v>1755</v>
      </c>
      <c r="AF167" s="6" t="s">
        <v>4013</v>
      </c>
      <c r="AG167" s="6" t="s">
        <v>1756</v>
      </c>
      <c r="AH167" s="6" t="s">
        <v>4014</v>
      </c>
      <c r="AI167" s="6" t="s">
        <v>4356</v>
      </c>
      <c r="AJ167" s="6" t="s">
        <v>1757</v>
      </c>
      <c r="AK167" s="6" t="s">
        <v>4015</v>
      </c>
      <c r="AL167" s="6" t="s">
        <v>3477</v>
      </c>
      <c r="AM167" s="6" t="s">
        <v>1758</v>
      </c>
      <c r="AN167" s="6" t="s">
        <v>4767</v>
      </c>
      <c r="AO167" s="6" t="s">
        <v>1759</v>
      </c>
      <c r="AP167" s="6" t="s">
        <v>4768</v>
      </c>
      <c r="AQ167" s="21" t="s">
        <v>4476</v>
      </c>
      <c r="AR167" s="6" t="s">
        <v>1760</v>
      </c>
      <c r="AS167" s="6" t="s">
        <v>4769</v>
      </c>
      <c r="AT167" s="14">
        <v>2</v>
      </c>
      <c r="AU167" s="14">
        <v>2</v>
      </c>
      <c r="AV167" s="14">
        <v>2</v>
      </c>
      <c r="AW167" s="14">
        <v>2</v>
      </c>
      <c r="AX167" s="14">
        <v>2</v>
      </c>
      <c r="AY167" s="14">
        <v>2</v>
      </c>
      <c r="AZ167" s="14">
        <v>2</v>
      </c>
      <c r="BA167" s="2"/>
    </row>
    <row r="168" spans="1:53" ht="44" customHeight="1" x14ac:dyDescent="0.2">
      <c r="A168" s="6">
        <v>54148007</v>
      </c>
      <c r="B168" s="6"/>
      <c r="C168" s="7" t="s">
        <v>35</v>
      </c>
      <c r="D168" s="6" t="s">
        <v>1761</v>
      </c>
      <c r="E168" s="6">
        <f t="shared" si="18"/>
        <v>108</v>
      </c>
      <c r="F168" s="6" t="s">
        <v>1762</v>
      </c>
      <c r="G168" s="6">
        <f t="shared" si="19"/>
        <v>27</v>
      </c>
      <c r="H168" s="9">
        <f t="shared" si="20"/>
        <v>0.75</v>
      </c>
      <c r="I168" s="6"/>
      <c r="J168" s="6">
        <v>0</v>
      </c>
      <c r="K168" s="9">
        <f t="shared" si="21"/>
        <v>0</v>
      </c>
      <c r="L168" s="6">
        <v>1</v>
      </c>
      <c r="M168" s="6">
        <v>2</v>
      </c>
      <c r="N168" s="6">
        <v>2</v>
      </c>
      <c r="O168" s="6" t="str">
        <f t="shared" si="22"/>
        <v>Correct</v>
      </c>
      <c r="P168" s="6"/>
      <c r="Q168" s="6">
        <v>2</v>
      </c>
      <c r="R168" s="6" t="str">
        <f t="shared" si="23"/>
        <v>Correct</v>
      </c>
      <c r="S168" s="6" t="s">
        <v>3653</v>
      </c>
      <c r="T168" s="14">
        <v>2</v>
      </c>
      <c r="U168" s="6" t="str">
        <f t="shared" si="24"/>
        <v>Correct</v>
      </c>
      <c r="V168" s="15">
        <v>1</v>
      </c>
      <c r="W168" s="15" t="str">
        <f t="shared" si="25"/>
        <v>Overtriaged</v>
      </c>
      <c r="X168" s="14">
        <v>2</v>
      </c>
      <c r="Y168" s="14" t="str">
        <f t="shared" si="26"/>
        <v>Correct</v>
      </c>
      <c r="Z168" s="6">
        <v>167</v>
      </c>
      <c r="AA168" s="6" t="s">
        <v>38</v>
      </c>
      <c r="AB168" s="6" t="s">
        <v>1763</v>
      </c>
      <c r="AC168" s="6">
        <v>1</v>
      </c>
      <c r="AD168" s="6" t="s">
        <v>40</v>
      </c>
      <c r="AE168" s="6" t="s">
        <v>1174</v>
      </c>
      <c r="AF168" s="6" t="s">
        <v>1764</v>
      </c>
      <c r="AG168" s="6" t="s">
        <v>1662</v>
      </c>
      <c r="AH168" s="6" t="s">
        <v>44</v>
      </c>
      <c r="AI168" s="6" t="s">
        <v>3419</v>
      </c>
      <c r="AJ168" s="6" t="s">
        <v>4016</v>
      </c>
      <c r="AK168" s="6" t="s">
        <v>1765</v>
      </c>
      <c r="AL168" s="6" t="s">
        <v>3476</v>
      </c>
      <c r="AM168" s="6" t="s">
        <v>1766</v>
      </c>
      <c r="AN168" s="6" t="s">
        <v>1767</v>
      </c>
      <c r="AO168" s="6" t="s">
        <v>1768</v>
      </c>
      <c r="AP168" s="6" t="s">
        <v>1761</v>
      </c>
      <c r="AQ168" s="21" t="s">
        <v>4477</v>
      </c>
      <c r="AR168" s="6" t="s">
        <v>4770</v>
      </c>
      <c r="AS168" s="6" t="s">
        <v>1769</v>
      </c>
      <c r="AT168" s="14">
        <v>2</v>
      </c>
      <c r="AU168" s="14">
        <v>2</v>
      </c>
      <c r="AV168" s="14">
        <v>2</v>
      </c>
      <c r="AW168" s="14">
        <v>2</v>
      </c>
      <c r="AX168" s="14">
        <v>2</v>
      </c>
      <c r="AY168" s="14">
        <v>2</v>
      </c>
      <c r="AZ168" s="14">
        <v>2</v>
      </c>
      <c r="BA168" s="2"/>
    </row>
    <row r="169" spans="1:53" ht="44" customHeight="1" x14ac:dyDescent="0.2">
      <c r="A169" s="6">
        <v>54179669</v>
      </c>
      <c r="B169" s="6"/>
      <c r="C169" s="7" t="s">
        <v>35</v>
      </c>
      <c r="D169" s="6" t="s">
        <v>1770</v>
      </c>
      <c r="E169" s="6">
        <f t="shared" si="18"/>
        <v>221</v>
      </c>
      <c r="F169" s="6" t="s">
        <v>1771</v>
      </c>
      <c r="G169" s="6">
        <f t="shared" si="19"/>
        <v>47</v>
      </c>
      <c r="H169" s="9">
        <f t="shared" si="20"/>
        <v>0.78733031674208143</v>
      </c>
      <c r="I169" s="6" t="s">
        <v>5238</v>
      </c>
      <c r="J169" s="6">
        <v>4</v>
      </c>
      <c r="K169" s="9">
        <f t="shared" si="21"/>
        <v>1.8099547511312219E-2</v>
      </c>
      <c r="L169" s="6">
        <v>1</v>
      </c>
      <c r="M169" s="6">
        <v>2</v>
      </c>
      <c r="N169" s="6">
        <v>2</v>
      </c>
      <c r="O169" s="6" t="str">
        <f t="shared" si="22"/>
        <v>Correct</v>
      </c>
      <c r="P169" s="6"/>
      <c r="Q169" s="6">
        <v>2</v>
      </c>
      <c r="R169" s="6" t="str">
        <f t="shared" si="23"/>
        <v>Correct</v>
      </c>
      <c r="S169" s="6" t="s">
        <v>3654</v>
      </c>
      <c r="T169" s="14">
        <v>2</v>
      </c>
      <c r="U169" s="6" t="str">
        <f t="shared" si="24"/>
        <v>Correct</v>
      </c>
      <c r="V169" s="15">
        <v>2</v>
      </c>
      <c r="W169" s="15" t="str">
        <f t="shared" si="25"/>
        <v>Correct</v>
      </c>
      <c r="X169" s="14">
        <v>2</v>
      </c>
      <c r="Y169" s="14" t="str">
        <f t="shared" si="26"/>
        <v>Correct</v>
      </c>
      <c r="Z169" s="6">
        <v>168</v>
      </c>
      <c r="AA169" s="6" t="s">
        <v>1772</v>
      </c>
      <c r="AB169" s="6" t="s">
        <v>1773</v>
      </c>
      <c r="AC169" s="6">
        <v>1</v>
      </c>
      <c r="AD169" s="6" t="s">
        <v>40</v>
      </c>
      <c r="AE169" s="6" t="s">
        <v>1774</v>
      </c>
      <c r="AF169" s="6" t="s">
        <v>1775</v>
      </c>
      <c r="AG169" s="6" t="s">
        <v>1776</v>
      </c>
      <c r="AH169" s="6" t="s">
        <v>1777</v>
      </c>
      <c r="AI169" s="6" t="s">
        <v>3420</v>
      </c>
      <c r="AJ169" s="6" t="s">
        <v>4017</v>
      </c>
      <c r="AK169" s="6" t="s">
        <v>1778</v>
      </c>
      <c r="AL169" s="6" t="s">
        <v>3477</v>
      </c>
      <c r="AM169" s="6" t="s">
        <v>4771</v>
      </c>
      <c r="AN169" s="6" t="s">
        <v>1779</v>
      </c>
      <c r="AO169" s="6" t="s">
        <v>1780</v>
      </c>
      <c r="AP169" s="6" t="s">
        <v>1781</v>
      </c>
      <c r="AQ169" s="21" t="s">
        <v>4478</v>
      </c>
      <c r="AR169" s="6" t="s">
        <v>4772</v>
      </c>
      <c r="AS169" s="6" t="s">
        <v>1782</v>
      </c>
      <c r="AT169" s="14">
        <v>2</v>
      </c>
      <c r="AU169" s="14">
        <v>2</v>
      </c>
      <c r="AV169" s="14">
        <v>2</v>
      </c>
      <c r="AW169" s="14">
        <v>2</v>
      </c>
      <c r="AX169" s="14">
        <v>2</v>
      </c>
      <c r="AY169" s="14">
        <v>2</v>
      </c>
      <c r="AZ169" s="14">
        <v>2</v>
      </c>
      <c r="BA169" s="2"/>
    </row>
    <row r="170" spans="1:53" ht="44" customHeight="1" x14ac:dyDescent="0.2">
      <c r="A170" s="6">
        <v>54212343</v>
      </c>
      <c r="B170" s="6"/>
      <c r="C170" s="7" t="s">
        <v>35</v>
      </c>
      <c r="D170" s="6" t="s">
        <v>1783</v>
      </c>
      <c r="E170" s="6">
        <f t="shared" si="18"/>
        <v>131</v>
      </c>
      <c r="F170" s="6" t="s">
        <v>1785</v>
      </c>
      <c r="G170" s="6">
        <f t="shared" si="19"/>
        <v>36</v>
      </c>
      <c r="H170" s="9">
        <f t="shared" si="20"/>
        <v>0.72519083969465647</v>
      </c>
      <c r="I170" s="6"/>
      <c r="J170" s="6">
        <v>0</v>
      </c>
      <c r="K170" s="9">
        <f t="shared" si="21"/>
        <v>0</v>
      </c>
      <c r="L170" s="6">
        <v>2</v>
      </c>
      <c r="M170" s="6">
        <v>2</v>
      </c>
      <c r="N170" s="6">
        <v>2</v>
      </c>
      <c r="O170" s="6" t="str">
        <f t="shared" si="22"/>
        <v>Correct</v>
      </c>
      <c r="P170" s="6"/>
      <c r="Q170" s="6">
        <v>2</v>
      </c>
      <c r="R170" s="6" t="str">
        <f t="shared" si="23"/>
        <v>Correct</v>
      </c>
      <c r="S170" s="6" t="s">
        <v>1784</v>
      </c>
      <c r="T170" s="14">
        <v>2</v>
      </c>
      <c r="U170" s="6" t="str">
        <f t="shared" si="24"/>
        <v>Correct</v>
      </c>
      <c r="V170" s="15">
        <v>2</v>
      </c>
      <c r="W170" s="15" t="str">
        <f t="shared" si="25"/>
        <v>Correct</v>
      </c>
      <c r="X170" s="14">
        <v>2</v>
      </c>
      <c r="Y170" s="14" t="str">
        <f t="shared" si="26"/>
        <v>Correct</v>
      </c>
      <c r="Z170" s="6">
        <v>169</v>
      </c>
      <c r="AA170" s="6" t="s">
        <v>1786</v>
      </c>
      <c r="AB170" s="6" t="s">
        <v>1787</v>
      </c>
      <c r="AC170" s="6">
        <v>1</v>
      </c>
      <c r="AD170" s="6" t="s">
        <v>40</v>
      </c>
      <c r="AE170" s="6" t="s">
        <v>1788</v>
      </c>
      <c r="AF170" s="6" t="s">
        <v>1789</v>
      </c>
      <c r="AG170" s="6" t="s">
        <v>1790</v>
      </c>
      <c r="AH170" s="6" t="s">
        <v>44</v>
      </c>
      <c r="AI170" s="6" t="s">
        <v>44</v>
      </c>
      <c r="AJ170" s="6" t="s">
        <v>44</v>
      </c>
      <c r="AK170" s="6" t="s">
        <v>4018</v>
      </c>
      <c r="AL170" s="6" t="s">
        <v>5099</v>
      </c>
      <c r="AM170" s="6" t="s">
        <v>1791</v>
      </c>
      <c r="AN170" s="6" t="s">
        <v>1792</v>
      </c>
      <c r="AO170" s="6" t="s">
        <v>1793</v>
      </c>
      <c r="AP170" s="6" t="s">
        <v>1783</v>
      </c>
      <c r="AQ170" s="21" t="s">
        <v>1783</v>
      </c>
      <c r="AR170" s="6" t="s">
        <v>1783</v>
      </c>
      <c r="AS170" s="6" t="s">
        <v>4773</v>
      </c>
      <c r="AT170" s="14">
        <v>2</v>
      </c>
      <c r="AU170" s="14">
        <v>2</v>
      </c>
      <c r="AV170" s="14">
        <v>2</v>
      </c>
      <c r="AW170" s="14">
        <v>2</v>
      </c>
      <c r="AX170" s="14">
        <v>2</v>
      </c>
      <c r="AY170" s="14">
        <v>2</v>
      </c>
      <c r="AZ170" s="14">
        <v>2</v>
      </c>
      <c r="BA170" s="2"/>
    </row>
    <row r="171" spans="1:53" ht="44" customHeight="1" x14ac:dyDescent="0.2">
      <c r="A171" s="6">
        <v>54244034</v>
      </c>
      <c r="B171" s="6"/>
      <c r="C171" s="7" t="s">
        <v>35</v>
      </c>
      <c r="D171" s="6" t="s">
        <v>1794</v>
      </c>
      <c r="E171" s="6">
        <f t="shared" si="18"/>
        <v>220</v>
      </c>
      <c r="F171" s="6" t="s">
        <v>1795</v>
      </c>
      <c r="G171" s="6">
        <f t="shared" si="19"/>
        <v>39</v>
      </c>
      <c r="H171" s="9">
        <f t="shared" si="20"/>
        <v>0.82272727272727275</v>
      </c>
      <c r="I171" s="6" t="s">
        <v>5239</v>
      </c>
      <c r="J171" s="6">
        <v>4</v>
      </c>
      <c r="K171" s="9">
        <f t="shared" si="21"/>
        <v>1.8181818181818181E-2</v>
      </c>
      <c r="L171" s="6">
        <v>1</v>
      </c>
      <c r="M171" s="6">
        <v>2</v>
      </c>
      <c r="N171" s="6">
        <v>2</v>
      </c>
      <c r="O171" s="6" t="str">
        <f t="shared" si="22"/>
        <v>Correct</v>
      </c>
      <c r="P171" s="6"/>
      <c r="Q171" s="6">
        <v>2</v>
      </c>
      <c r="R171" s="6" t="str">
        <f t="shared" si="23"/>
        <v>Correct</v>
      </c>
      <c r="S171" s="6" t="s">
        <v>3655</v>
      </c>
      <c r="T171" s="14">
        <v>2</v>
      </c>
      <c r="U171" s="6" t="str">
        <f t="shared" si="24"/>
        <v>Correct</v>
      </c>
      <c r="V171" s="15">
        <v>2</v>
      </c>
      <c r="W171" s="15" t="str">
        <f t="shared" si="25"/>
        <v>Correct</v>
      </c>
      <c r="X171" s="14">
        <v>2</v>
      </c>
      <c r="Y171" s="14" t="str">
        <f t="shared" si="26"/>
        <v>Correct</v>
      </c>
      <c r="Z171" s="6">
        <v>170</v>
      </c>
      <c r="AA171" s="6" t="s">
        <v>1796</v>
      </c>
      <c r="AB171" s="6" t="s">
        <v>1797</v>
      </c>
      <c r="AC171" s="6">
        <v>1</v>
      </c>
      <c r="AD171" s="6" t="s">
        <v>40</v>
      </c>
      <c r="AE171" s="6" t="s">
        <v>1798</v>
      </c>
      <c r="AF171" s="6" t="s">
        <v>1799</v>
      </c>
      <c r="AG171" s="6" t="s">
        <v>4019</v>
      </c>
      <c r="AH171" s="6" t="s">
        <v>1800</v>
      </c>
      <c r="AI171" s="6" t="s">
        <v>44</v>
      </c>
      <c r="AJ171" s="6" t="s">
        <v>44</v>
      </c>
      <c r="AK171" s="6" t="s">
        <v>1802</v>
      </c>
      <c r="AL171" s="6" t="s">
        <v>5098</v>
      </c>
      <c r="AM171" s="6" t="s">
        <v>1803</v>
      </c>
      <c r="AN171" s="6" t="s">
        <v>1804</v>
      </c>
      <c r="AO171" s="6" t="s">
        <v>4774</v>
      </c>
      <c r="AP171" s="6" t="s">
        <v>1805</v>
      </c>
      <c r="AQ171" s="21" t="s">
        <v>1794</v>
      </c>
      <c r="AR171" s="6" t="s">
        <v>1794</v>
      </c>
      <c r="AS171" s="6" t="s">
        <v>1806</v>
      </c>
      <c r="AT171" s="14">
        <v>2</v>
      </c>
      <c r="AU171" s="14">
        <v>2</v>
      </c>
      <c r="AV171" s="14">
        <v>2</v>
      </c>
      <c r="AW171" s="14">
        <v>2</v>
      </c>
      <c r="AX171" s="14">
        <v>2</v>
      </c>
      <c r="AY171" s="14">
        <v>2</v>
      </c>
      <c r="AZ171" s="14">
        <v>2</v>
      </c>
      <c r="BA171" s="2"/>
    </row>
    <row r="172" spans="1:53" ht="44" customHeight="1" x14ac:dyDescent="0.2">
      <c r="A172" s="6">
        <v>54334469</v>
      </c>
      <c r="B172" s="6"/>
      <c r="C172" s="7" t="s">
        <v>35</v>
      </c>
      <c r="D172" s="6" t="s">
        <v>1807</v>
      </c>
      <c r="E172" s="6">
        <f t="shared" si="18"/>
        <v>198</v>
      </c>
      <c r="F172" s="6" t="s">
        <v>1808</v>
      </c>
      <c r="G172" s="6">
        <f t="shared" si="19"/>
        <v>64</v>
      </c>
      <c r="H172" s="9">
        <f t="shared" si="20"/>
        <v>0.6767676767676768</v>
      </c>
      <c r="I172" s="6"/>
      <c r="J172" s="6">
        <v>0</v>
      </c>
      <c r="K172" s="9">
        <f t="shared" si="21"/>
        <v>0</v>
      </c>
      <c r="L172" s="6">
        <v>1</v>
      </c>
      <c r="M172" s="6">
        <v>2</v>
      </c>
      <c r="N172" s="6">
        <v>2</v>
      </c>
      <c r="O172" s="6" t="str">
        <f t="shared" si="22"/>
        <v>Correct</v>
      </c>
      <c r="P172" s="6"/>
      <c r="Q172" s="6">
        <v>2</v>
      </c>
      <c r="R172" s="6" t="str">
        <f t="shared" si="23"/>
        <v>Correct</v>
      </c>
      <c r="S172" s="6" t="s">
        <v>3656</v>
      </c>
      <c r="T172" s="14">
        <v>2</v>
      </c>
      <c r="U172" s="6" t="str">
        <f t="shared" si="24"/>
        <v>Correct</v>
      </c>
      <c r="V172" s="15">
        <v>2</v>
      </c>
      <c r="W172" s="15" t="str">
        <f t="shared" si="25"/>
        <v>Correct</v>
      </c>
      <c r="X172" s="14">
        <v>2</v>
      </c>
      <c r="Y172" s="14" t="str">
        <f t="shared" si="26"/>
        <v>Correct</v>
      </c>
      <c r="Z172" s="6">
        <v>171</v>
      </c>
      <c r="AA172" s="6" t="s">
        <v>958</v>
      </c>
      <c r="AB172" s="6" t="s">
        <v>1809</v>
      </c>
      <c r="AC172" s="6">
        <v>1</v>
      </c>
      <c r="AD172" s="6" t="s">
        <v>40</v>
      </c>
      <c r="AE172" s="6" t="s">
        <v>1810</v>
      </c>
      <c r="AF172" s="6" t="s">
        <v>1811</v>
      </c>
      <c r="AG172" s="6" t="s">
        <v>1812</v>
      </c>
      <c r="AH172" s="6" t="s">
        <v>1813</v>
      </c>
      <c r="AI172" s="6" t="s">
        <v>3421</v>
      </c>
      <c r="AJ172" s="6" t="s">
        <v>4020</v>
      </c>
      <c r="AK172" s="6" t="s">
        <v>4021</v>
      </c>
      <c r="AL172" s="6" t="s">
        <v>3477</v>
      </c>
      <c r="AM172" s="6" t="s">
        <v>1814</v>
      </c>
      <c r="AN172" s="6" t="s">
        <v>1815</v>
      </c>
      <c r="AO172" s="6" t="s">
        <v>1816</v>
      </c>
      <c r="AP172" s="6" t="s">
        <v>1817</v>
      </c>
      <c r="AQ172" s="21" t="s">
        <v>4479</v>
      </c>
      <c r="AR172" s="6" t="s">
        <v>4775</v>
      </c>
      <c r="AS172" s="6" t="s">
        <v>4776</v>
      </c>
      <c r="AT172" s="14">
        <v>2</v>
      </c>
      <c r="AU172" s="14">
        <v>2</v>
      </c>
      <c r="AV172" s="14">
        <v>2</v>
      </c>
      <c r="AW172" s="14">
        <v>2</v>
      </c>
      <c r="AX172" s="14">
        <v>2</v>
      </c>
      <c r="AY172" s="14">
        <v>2</v>
      </c>
      <c r="AZ172" s="14">
        <v>2</v>
      </c>
      <c r="BA172" s="2"/>
    </row>
    <row r="173" spans="1:53" ht="44" customHeight="1" x14ac:dyDescent="0.2">
      <c r="A173" s="6">
        <v>54337212</v>
      </c>
      <c r="B173" s="6"/>
      <c r="C173" s="7" t="s">
        <v>35</v>
      </c>
      <c r="D173" s="6" t="s">
        <v>1818</v>
      </c>
      <c r="E173" s="6">
        <f t="shared" si="18"/>
        <v>200</v>
      </c>
      <c r="F173" s="6" t="s">
        <v>1819</v>
      </c>
      <c r="G173" s="6">
        <f t="shared" si="19"/>
        <v>38</v>
      </c>
      <c r="H173" s="9">
        <f t="shared" si="20"/>
        <v>0.81</v>
      </c>
      <c r="I173" s="6" t="s">
        <v>5240</v>
      </c>
      <c r="J173" s="6">
        <v>2</v>
      </c>
      <c r="K173" s="9">
        <f t="shared" si="21"/>
        <v>0.01</v>
      </c>
      <c r="L173" s="6">
        <v>1</v>
      </c>
      <c r="M173" s="6">
        <v>2</v>
      </c>
      <c r="N173" s="6">
        <v>2</v>
      </c>
      <c r="O173" s="6" t="str">
        <f t="shared" si="22"/>
        <v>Correct</v>
      </c>
      <c r="P173" s="6"/>
      <c r="Q173" s="6">
        <v>2</v>
      </c>
      <c r="R173" s="6" t="str">
        <f t="shared" si="23"/>
        <v>Correct</v>
      </c>
      <c r="S173" s="6" t="s">
        <v>3657</v>
      </c>
      <c r="T173" s="14">
        <v>2</v>
      </c>
      <c r="U173" s="6" t="str">
        <f t="shared" si="24"/>
        <v>Correct</v>
      </c>
      <c r="V173" s="15">
        <v>2</v>
      </c>
      <c r="W173" s="15" t="str">
        <f t="shared" si="25"/>
        <v>Correct</v>
      </c>
      <c r="X173" s="14">
        <v>2</v>
      </c>
      <c r="Y173" s="14" t="str">
        <f t="shared" si="26"/>
        <v>Correct</v>
      </c>
      <c r="Z173" s="6">
        <v>172</v>
      </c>
      <c r="AA173" s="6" t="s">
        <v>1820</v>
      </c>
      <c r="AB173" s="6" t="s">
        <v>1821</v>
      </c>
      <c r="AC173" s="6">
        <v>1</v>
      </c>
      <c r="AD173" s="6" t="s">
        <v>40</v>
      </c>
      <c r="AE173" s="6" t="s">
        <v>1822</v>
      </c>
      <c r="AF173" s="6" t="s">
        <v>1823</v>
      </c>
      <c r="AG173" s="6" t="s">
        <v>1824</v>
      </c>
      <c r="AH173" s="6" t="s">
        <v>44</v>
      </c>
      <c r="AI173" s="6" t="s">
        <v>3422</v>
      </c>
      <c r="AJ173" s="6" t="s">
        <v>1825</v>
      </c>
      <c r="AK173" s="6" t="s">
        <v>1826</v>
      </c>
      <c r="AL173" s="6" t="s">
        <v>3476</v>
      </c>
      <c r="AM173" s="6" t="s">
        <v>1827</v>
      </c>
      <c r="AN173" s="6" t="s">
        <v>1828</v>
      </c>
      <c r="AO173" s="6" t="s">
        <v>1829</v>
      </c>
      <c r="AP173" s="6" t="s">
        <v>1818</v>
      </c>
      <c r="AQ173" s="21" t="s">
        <v>4480</v>
      </c>
      <c r="AR173" s="6" t="s">
        <v>1830</v>
      </c>
      <c r="AS173" s="6" t="s">
        <v>1831</v>
      </c>
      <c r="AT173" s="14">
        <v>2</v>
      </c>
      <c r="AU173" s="14">
        <v>2</v>
      </c>
      <c r="AV173" s="14">
        <v>2</v>
      </c>
      <c r="AW173" s="14">
        <v>2</v>
      </c>
      <c r="AX173" s="14">
        <v>2</v>
      </c>
      <c r="AY173" s="14">
        <v>2</v>
      </c>
      <c r="AZ173" s="14">
        <v>2</v>
      </c>
      <c r="BA173" s="2"/>
    </row>
    <row r="174" spans="1:53" ht="44" customHeight="1" x14ac:dyDescent="0.2">
      <c r="A174" s="6">
        <v>54374773</v>
      </c>
      <c r="B174" s="6"/>
      <c r="C174" s="7" t="s">
        <v>35</v>
      </c>
      <c r="D174" s="6" t="s">
        <v>1832</v>
      </c>
      <c r="E174" s="6">
        <f t="shared" si="18"/>
        <v>172</v>
      </c>
      <c r="F174" s="6" t="s">
        <v>1833</v>
      </c>
      <c r="G174" s="6">
        <f t="shared" si="19"/>
        <v>40</v>
      </c>
      <c r="H174" s="9">
        <f t="shared" si="20"/>
        <v>0.76744186046511631</v>
      </c>
      <c r="I174" s="6" t="s">
        <v>5241</v>
      </c>
      <c r="J174" s="6">
        <v>2</v>
      </c>
      <c r="K174" s="9">
        <f t="shared" si="21"/>
        <v>1.1627906976744186E-2</v>
      </c>
      <c r="L174" s="6">
        <v>1</v>
      </c>
      <c r="M174" s="6">
        <v>2</v>
      </c>
      <c r="N174" s="6">
        <v>2</v>
      </c>
      <c r="O174" s="6" t="str">
        <f t="shared" si="22"/>
        <v>Correct</v>
      </c>
      <c r="P174" s="6"/>
      <c r="Q174" s="6">
        <v>2</v>
      </c>
      <c r="R174" s="6" t="str">
        <f t="shared" si="23"/>
        <v>Correct</v>
      </c>
      <c r="S174" s="6" t="s">
        <v>3658</v>
      </c>
      <c r="T174" s="14">
        <v>2</v>
      </c>
      <c r="U174" s="6" t="str">
        <f t="shared" si="24"/>
        <v>Correct</v>
      </c>
      <c r="V174" s="15">
        <v>2</v>
      </c>
      <c r="W174" s="15" t="str">
        <f t="shared" si="25"/>
        <v>Correct</v>
      </c>
      <c r="X174" s="14">
        <v>2</v>
      </c>
      <c r="Y174" s="14" t="str">
        <f t="shared" si="26"/>
        <v>Correct</v>
      </c>
      <c r="Z174" s="6">
        <v>173</v>
      </c>
      <c r="AA174" s="6" t="s">
        <v>1834</v>
      </c>
      <c r="AB174" s="6" t="s">
        <v>1835</v>
      </c>
      <c r="AC174" s="6">
        <v>1</v>
      </c>
      <c r="AD174" s="6" t="s">
        <v>40</v>
      </c>
      <c r="AE174" s="6" t="s">
        <v>843</v>
      </c>
      <c r="AF174" s="6" t="s">
        <v>44</v>
      </c>
      <c r="AG174" s="6" t="s">
        <v>44</v>
      </c>
      <c r="AH174" s="6" t="s">
        <v>44</v>
      </c>
      <c r="AI174" s="6" t="s">
        <v>1836</v>
      </c>
      <c r="AJ174" s="6" t="s">
        <v>4022</v>
      </c>
      <c r="AK174" s="6" t="s">
        <v>1837</v>
      </c>
      <c r="AL174" s="6" t="s">
        <v>3480</v>
      </c>
      <c r="AM174" s="6" t="s">
        <v>1838</v>
      </c>
      <c r="AN174" s="6" t="s">
        <v>1832</v>
      </c>
      <c r="AO174" s="6" t="s">
        <v>1832</v>
      </c>
      <c r="AP174" s="6" t="s">
        <v>1832</v>
      </c>
      <c r="AQ174" s="21" t="s">
        <v>1839</v>
      </c>
      <c r="AR174" s="6" t="s">
        <v>4777</v>
      </c>
      <c r="AS174" s="6" t="s">
        <v>1840</v>
      </c>
      <c r="AT174" s="14">
        <v>2</v>
      </c>
      <c r="AU174" s="14">
        <v>2</v>
      </c>
      <c r="AV174" s="14">
        <v>2</v>
      </c>
      <c r="AW174" s="14">
        <v>2</v>
      </c>
      <c r="AX174" s="14">
        <v>2</v>
      </c>
      <c r="AY174" s="14">
        <v>2</v>
      </c>
      <c r="AZ174" s="14">
        <v>2</v>
      </c>
      <c r="BA174" s="2"/>
    </row>
    <row r="175" spans="1:53" ht="44" customHeight="1" x14ac:dyDescent="0.2">
      <c r="A175" s="6">
        <v>54401057</v>
      </c>
      <c r="B175" s="6"/>
      <c r="C175" s="7" t="s">
        <v>35</v>
      </c>
      <c r="D175" s="6" t="s">
        <v>1841</v>
      </c>
      <c r="E175" s="6">
        <f t="shared" si="18"/>
        <v>95</v>
      </c>
      <c r="F175" s="6" t="s">
        <v>1843</v>
      </c>
      <c r="G175" s="6">
        <f t="shared" si="19"/>
        <v>26</v>
      </c>
      <c r="H175" s="9">
        <f t="shared" si="20"/>
        <v>0.72631578947368425</v>
      </c>
      <c r="I175" s="6" t="s">
        <v>5242</v>
      </c>
      <c r="J175" s="6">
        <v>3</v>
      </c>
      <c r="K175" s="9">
        <f t="shared" si="21"/>
        <v>3.1578947368421054E-2</v>
      </c>
      <c r="L175" s="6">
        <v>9</v>
      </c>
      <c r="M175" s="6">
        <v>2</v>
      </c>
      <c r="N175" s="6">
        <v>2</v>
      </c>
      <c r="O175" s="6" t="str">
        <f t="shared" si="22"/>
        <v>Correct</v>
      </c>
      <c r="P175" s="6"/>
      <c r="Q175" s="6">
        <v>2</v>
      </c>
      <c r="R175" s="6" t="str">
        <f t="shared" si="23"/>
        <v>Correct</v>
      </c>
      <c r="S175" s="6" t="s">
        <v>1842</v>
      </c>
      <c r="T175" s="14">
        <v>2</v>
      </c>
      <c r="U175" s="6" t="str">
        <f t="shared" si="24"/>
        <v>Correct</v>
      </c>
      <c r="V175" s="15">
        <v>1</v>
      </c>
      <c r="W175" s="15" t="str">
        <f t="shared" si="25"/>
        <v>Overtriaged</v>
      </c>
      <c r="X175" s="14">
        <v>2</v>
      </c>
      <c r="Y175" s="14" t="str">
        <f t="shared" si="26"/>
        <v>Correct</v>
      </c>
      <c r="Z175" s="6">
        <v>174</v>
      </c>
      <c r="AA175" s="6" t="s">
        <v>1844</v>
      </c>
      <c r="AB175" s="6" t="s">
        <v>1845</v>
      </c>
      <c r="AC175" s="6">
        <v>1</v>
      </c>
      <c r="AD175" s="6" t="s">
        <v>40</v>
      </c>
      <c r="AE175" s="6" t="s">
        <v>454</v>
      </c>
      <c r="AF175" s="6" t="s">
        <v>1846</v>
      </c>
      <c r="AG175" s="6" t="s">
        <v>1847</v>
      </c>
      <c r="AH175" s="6" t="s">
        <v>1848</v>
      </c>
      <c r="AI175" s="6" t="s">
        <v>44</v>
      </c>
      <c r="AJ175" s="6" t="s">
        <v>44</v>
      </c>
      <c r="AK175" s="6" t="s">
        <v>1849</v>
      </c>
      <c r="AL175" s="6" t="s">
        <v>5098</v>
      </c>
      <c r="AM175" s="6" t="s">
        <v>1850</v>
      </c>
      <c r="AN175" s="6" t="s">
        <v>1851</v>
      </c>
      <c r="AO175" s="6" t="s">
        <v>1852</v>
      </c>
      <c r="AP175" s="6" t="s">
        <v>1853</v>
      </c>
      <c r="AQ175" s="21" t="s">
        <v>1841</v>
      </c>
      <c r="AR175" s="6" t="s">
        <v>1841</v>
      </c>
      <c r="AS175" s="6" t="s">
        <v>1854</v>
      </c>
      <c r="AT175" s="14">
        <v>2</v>
      </c>
      <c r="AU175" s="14">
        <v>2</v>
      </c>
      <c r="AV175" s="14">
        <v>2</v>
      </c>
      <c r="AW175" s="14">
        <v>2</v>
      </c>
      <c r="AX175" s="14">
        <v>2</v>
      </c>
      <c r="AY175" s="14">
        <v>2</v>
      </c>
      <c r="AZ175" s="14">
        <v>2</v>
      </c>
      <c r="BA175" s="2"/>
    </row>
    <row r="176" spans="1:53" ht="44" customHeight="1" x14ac:dyDescent="0.2">
      <c r="A176" s="6">
        <v>54438484</v>
      </c>
      <c r="B176" s="6"/>
      <c r="C176" s="7" t="s">
        <v>35</v>
      </c>
      <c r="D176" s="6" t="s">
        <v>1855</v>
      </c>
      <c r="E176" s="6">
        <f t="shared" si="18"/>
        <v>180</v>
      </c>
      <c r="F176" s="6" t="s">
        <v>1856</v>
      </c>
      <c r="G176" s="6">
        <f t="shared" si="19"/>
        <v>68</v>
      </c>
      <c r="H176" s="9">
        <f t="shared" si="20"/>
        <v>0.62222222222222223</v>
      </c>
      <c r="I176" s="6" t="s">
        <v>5243</v>
      </c>
      <c r="J176" s="6">
        <v>3</v>
      </c>
      <c r="K176" s="9">
        <f t="shared" si="21"/>
        <v>1.6666666666666666E-2</v>
      </c>
      <c r="L176" s="6">
        <v>5</v>
      </c>
      <c r="M176" s="6">
        <v>2</v>
      </c>
      <c r="N176" s="6">
        <v>2</v>
      </c>
      <c r="O176" s="6" t="str">
        <f t="shared" si="22"/>
        <v>Correct</v>
      </c>
      <c r="P176" s="6"/>
      <c r="Q176" s="6">
        <v>2</v>
      </c>
      <c r="R176" s="6" t="str">
        <f t="shared" si="23"/>
        <v>Correct</v>
      </c>
      <c r="S176" s="6" t="s">
        <v>3659</v>
      </c>
      <c r="T176" s="14">
        <v>2</v>
      </c>
      <c r="U176" s="6" t="str">
        <f t="shared" si="24"/>
        <v>Correct</v>
      </c>
      <c r="V176" s="15">
        <v>2</v>
      </c>
      <c r="W176" s="15" t="str">
        <f t="shared" si="25"/>
        <v>Correct</v>
      </c>
      <c r="X176" s="14">
        <v>2</v>
      </c>
      <c r="Y176" s="14" t="str">
        <f t="shared" si="26"/>
        <v>Correct</v>
      </c>
      <c r="Z176" s="6">
        <v>175</v>
      </c>
      <c r="AA176" s="6" t="s">
        <v>958</v>
      </c>
      <c r="AB176" s="6" t="s">
        <v>1857</v>
      </c>
      <c r="AC176" s="6">
        <v>1</v>
      </c>
      <c r="AD176" s="6" t="s">
        <v>40</v>
      </c>
      <c r="AE176" s="6" t="s">
        <v>408</v>
      </c>
      <c r="AF176" s="6" t="s">
        <v>1858</v>
      </c>
      <c r="AG176" s="6" t="s">
        <v>1859</v>
      </c>
      <c r="AH176" s="6" t="s">
        <v>44</v>
      </c>
      <c r="AI176" s="6" t="s">
        <v>44</v>
      </c>
      <c r="AJ176" s="6" t="s">
        <v>1860</v>
      </c>
      <c r="AK176" s="6" t="s">
        <v>4023</v>
      </c>
      <c r="AL176" s="6" t="s">
        <v>3476</v>
      </c>
      <c r="AM176" s="6" t="s">
        <v>1861</v>
      </c>
      <c r="AN176" s="6" t="s">
        <v>1862</v>
      </c>
      <c r="AO176" s="6" t="s">
        <v>1863</v>
      </c>
      <c r="AP176" s="6" t="s">
        <v>1855</v>
      </c>
      <c r="AQ176" s="21" t="s">
        <v>1855</v>
      </c>
      <c r="AR176" s="6" t="s">
        <v>1864</v>
      </c>
      <c r="AS176" s="6" t="s">
        <v>4778</v>
      </c>
      <c r="AT176" s="14">
        <v>2</v>
      </c>
      <c r="AU176" s="14">
        <v>2</v>
      </c>
      <c r="AV176" s="14">
        <v>2</v>
      </c>
      <c r="AW176" s="14">
        <v>2</v>
      </c>
      <c r="AX176" s="14">
        <v>2</v>
      </c>
      <c r="AY176" s="14">
        <v>2</v>
      </c>
      <c r="AZ176" s="14">
        <v>2</v>
      </c>
      <c r="BA176" s="2"/>
    </row>
    <row r="177" spans="1:53" ht="44" customHeight="1" x14ac:dyDescent="0.2">
      <c r="A177" s="6">
        <v>54449289</v>
      </c>
      <c r="B177" s="6"/>
      <c r="C177" s="7" t="s">
        <v>35</v>
      </c>
      <c r="D177" s="6" t="s">
        <v>1865</v>
      </c>
      <c r="E177" s="6">
        <f t="shared" si="18"/>
        <v>236</v>
      </c>
      <c r="F177" s="6" t="s">
        <v>1867</v>
      </c>
      <c r="G177" s="6">
        <f t="shared" si="19"/>
        <v>51</v>
      </c>
      <c r="H177" s="9">
        <f t="shared" si="20"/>
        <v>0.78389830508474578</v>
      </c>
      <c r="I177" s="6" t="s">
        <v>5244</v>
      </c>
      <c r="J177" s="6">
        <v>3</v>
      </c>
      <c r="K177" s="9">
        <f t="shared" si="21"/>
        <v>1.2711864406779662E-2</v>
      </c>
      <c r="L177" s="6">
        <v>1</v>
      </c>
      <c r="M177" s="6">
        <v>2</v>
      </c>
      <c r="N177" s="6">
        <v>2</v>
      </c>
      <c r="O177" s="6" t="str">
        <f t="shared" si="22"/>
        <v>Correct</v>
      </c>
      <c r="P177" s="6"/>
      <c r="Q177" s="6">
        <v>2</v>
      </c>
      <c r="R177" s="6" t="str">
        <f t="shared" si="23"/>
        <v>Correct</v>
      </c>
      <c r="S177" s="6" t="s">
        <v>1866</v>
      </c>
      <c r="T177" s="14">
        <v>2</v>
      </c>
      <c r="U177" s="6" t="str">
        <f t="shared" si="24"/>
        <v>Correct</v>
      </c>
      <c r="V177" s="15">
        <v>1</v>
      </c>
      <c r="W177" s="15" t="str">
        <f t="shared" si="25"/>
        <v>Overtriaged</v>
      </c>
      <c r="X177" s="14">
        <v>2</v>
      </c>
      <c r="Y177" s="14" t="str">
        <f t="shared" si="26"/>
        <v>Correct</v>
      </c>
      <c r="Z177" s="6">
        <v>176</v>
      </c>
      <c r="AA177" s="6" t="s">
        <v>1868</v>
      </c>
      <c r="AB177" s="6" t="s">
        <v>1869</v>
      </c>
      <c r="AC177" s="6">
        <v>1</v>
      </c>
      <c r="AD177" s="6" t="s">
        <v>40</v>
      </c>
      <c r="AE177" s="6" t="s">
        <v>1870</v>
      </c>
      <c r="AF177" s="6" t="s">
        <v>814</v>
      </c>
      <c r="AG177" s="6" t="s">
        <v>1871</v>
      </c>
      <c r="AH177" s="6" t="s">
        <v>44</v>
      </c>
      <c r="AI177" s="6" t="s">
        <v>1872</v>
      </c>
      <c r="AJ177" s="6" t="s">
        <v>4024</v>
      </c>
      <c r="AK177" s="6" t="s">
        <v>4025</v>
      </c>
      <c r="AL177" s="6" t="s">
        <v>3476</v>
      </c>
      <c r="AM177" s="6" t="s">
        <v>1873</v>
      </c>
      <c r="AN177" s="6" t="s">
        <v>1874</v>
      </c>
      <c r="AO177" s="6" t="s">
        <v>1875</v>
      </c>
      <c r="AP177" s="6" t="s">
        <v>1865</v>
      </c>
      <c r="AQ177" s="21" t="s">
        <v>1876</v>
      </c>
      <c r="AR177" s="6" t="s">
        <v>4779</v>
      </c>
      <c r="AS177" s="6" t="s">
        <v>4780</v>
      </c>
      <c r="AT177" s="14">
        <v>2</v>
      </c>
      <c r="AU177" s="14">
        <v>2</v>
      </c>
      <c r="AV177" s="14">
        <v>2</v>
      </c>
      <c r="AW177" s="14">
        <v>2</v>
      </c>
      <c r="AX177" s="14">
        <v>2</v>
      </c>
      <c r="AY177" s="14">
        <v>2</v>
      </c>
      <c r="AZ177" s="14">
        <v>2</v>
      </c>
      <c r="BA177" s="2"/>
    </row>
    <row r="178" spans="1:53" ht="44" customHeight="1" x14ac:dyDescent="0.2">
      <c r="A178" s="6">
        <v>54532788</v>
      </c>
      <c r="B178" s="6"/>
      <c r="C178" s="7" t="s">
        <v>35</v>
      </c>
      <c r="D178" s="6" t="s">
        <v>1877</v>
      </c>
      <c r="E178" s="6">
        <f t="shared" si="18"/>
        <v>114</v>
      </c>
      <c r="F178" s="6" t="s">
        <v>1878</v>
      </c>
      <c r="G178" s="6">
        <f t="shared" si="19"/>
        <v>20</v>
      </c>
      <c r="H178" s="9">
        <f t="shared" si="20"/>
        <v>0.82456140350877194</v>
      </c>
      <c r="I178" s="6"/>
      <c r="J178" s="6">
        <v>0</v>
      </c>
      <c r="K178" s="9">
        <f t="shared" si="21"/>
        <v>0</v>
      </c>
      <c r="L178" s="6">
        <v>27</v>
      </c>
      <c r="M178" s="6">
        <v>1</v>
      </c>
      <c r="N178" s="6">
        <v>1</v>
      </c>
      <c r="O178" s="6" t="str">
        <f t="shared" si="22"/>
        <v>Correct</v>
      </c>
      <c r="P178" s="6"/>
      <c r="Q178" s="6">
        <v>1</v>
      </c>
      <c r="R178" s="6" t="str">
        <f t="shared" si="23"/>
        <v>Correct</v>
      </c>
      <c r="S178" s="6" t="s">
        <v>3800</v>
      </c>
      <c r="T178" s="14">
        <v>1</v>
      </c>
      <c r="U178" s="6" t="str">
        <f t="shared" si="24"/>
        <v>Correct</v>
      </c>
      <c r="V178" s="15">
        <v>2</v>
      </c>
      <c r="W178" s="15" t="str">
        <f t="shared" si="25"/>
        <v>Undertriaged</v>
      </c>
      <c r="X178" s="14">
        <v>2</v>
      </c>
      <c r="Y178" s="14" t="str">
        <f t="shared" si="26"/>
        <v>Undertriaged</v>
      </c>
      <c r="Z178" s="6">
        <v>177</v>
      </c>
      <c r="AA178" s="6" t="s">
        <v>526</v>
      </c>
      <c r="AB178" s="6" t="s">
        <v>1879</v>
      </c>
      <c r="AC178" s="6">
        <v>1</v>
      </c>
      <c r="AD178" s="6" t="s">
        <v>40</v>
      </c>
      <c r="AE178" s="6" t="s">
        <v>971</v>
      </c>
      <c r="AF178" s="6" t="s">
        <v>1275</v>
      </c>
      <c r="AG178" s="6" t="s">
        <v>44</v>
      </c>
      <c r="AH178" s="6" t="s">
        <v>44</v>
      </c>
      <c r="AI178" s="6" t="s">
        <v>164</v>
      </c>
      <c r="AJ178" s="6" t="s">
        <v>164</v>
      </c>
      <c r="AK178" s="6" t="s">
        <v>44</v>
      </c>
      <c r="AL178" s="6" t="s">
        <v>5108</v>
      </c>
      <c r="AM178" s="6" t="s">
        <v>1880</v>
      </c>
      <c r="AN178" s="6" t="s">
        <v>1881</v>
      </c>
      <c r="AO178" s="6" t="s">
        <v>1877</v>
      </c>
      <c r="AP178" s="6" t="s">
        <v>1877</v>
      </c>
      <c r="AQ178" s="21" t="s">
        <v>1882</v>
      </c>
      <c r="AR178" s="6" t="s">
        <v>1882</v>
      </c>
      <c r="AS178" s="6" t="s">
        <v>1877</v>
      </c>
      <c r="AT178" s="14">
        <v>2</v>
      </c>
      <c r="AU178" s="14">
        <v>1</v>
      </c>
      <c r="AV178" s="14">
        <v>1</v>
      </c>
      <c r="AW178" s="14">
        <v>1</v>
      </c>
      <c r="AX178" s="14">
        <v>2</v>
      </c>
      <c r="AY178" s="14">
        <v>2</v>
      </c>
      <c r="AZ178" s="14">
        <v>1</v>
      </c>
      <c r="BA178" s="2"/>
    </row>
    <row r="179" spans="1:53" ht="44" customHeight="1" x14ac:dyDescent="0.2">
      <c r="A179" s="6">
        <v>54515827</v>
      </c>
      <c r="B179" s="6"/>
      <c r="C179" s="7" t="s">
        <v>35</v>
      </c>
      <c r="D179" s="6" t="s">
        <v>1883</v>
      </c>
      <c r="E179" s="6">
        <f t="shared" si="18"/>
        <v>174</v>
      </c>
      <c r="F179" s="6" t="s">
        <v>1884</v>
      </c>
      <c r="G179" s="6">
        <f t="shared" si="19"/>
        <v>21</v>
      </c>
      <c r="H179" s="9">
        <f t="shared" si="20"/>
        <v>0.87931034482758619</v>
      </c>
      <c r="I179" s="6" t="s">
        <v>5245</v>
      </c>
      <c r="J179" s="6">
        <v>2</v>
      </c>
      <c r="K179" s="9">
        <f t="shared" si="21"/>
        <v>1.1494252873563218E-2</v>
      </c>
      <c r="L179" s="6">
        <v>1</v>
      </c>
      <c r="M179" s="6">
        <v>2</v>
      </c>
      <c r="N179" s="6">
        <v>2</v>
      </c>
      <c r="O179" s="6" t="str">
        <f t="shared" si="22"/>
        <v>Correct</v>
      </c>
      <c r="P179" s="6"/>
      <c r="Q179" s="6">
        <v>2</v>
      </c>
      <c r="R179" s="6" t="str">
        <f t="shared" si="23"/>
        <v>Correct</v>
      </c>
      <c r="S179" s="6" t="s">
        <v>3660</v>
      </c>
      <c r="T179" s="14">
        <v>2</v>
      </c>
      <c r="U179" s="6" t="str">
        <f t="shared" si="24"/>
        <v>Correct</v>
      </c>
      <c r="V179" s="15">
        <v>2</v>
      </c>
      <c r="W179" s="15" t="str">
        <f t="shared" si="25"/>
        <v>Correct</v>
      </c>
      <c r="X179" s="14">
        <v>2</v>
      </c>
      <c r="Y179" s="14" t="str">
        <f t="shared" si="26"/>
        <v>Correct</v>
      </c>
      <c r="Z179" s="6">
        <v>178</v>
      </c>
      <c r="AA179" s="6" t="s">
        <v>1885</v>
      </c>
      <c r="AB179" s="6" t="s">
        <v>1886</v>
      </c>
      <c r="AC179" s="6">
        <v>2</v>
      </c>
      <c r="AD179" s="6" t="s">
        <v>40</v>
      </c>
      <c r="AE179" s="6" t="s">
        <v>1715</v>
      </c>
      <c r="AF179" s="6" t="s">
        <v>1887</v>
      </c>
      <c r="AG179" s="6" t="s">
        <v>1888</v>
      </c>
      <c r="AH179" s="6" t="s">
        <v>44</v>
      </c>
      <c r="AI179" s="6" t="s">
        <v>44</v>
      </c>
      <c r="AJ179" s="6" t="s">
        <v>44</v>
      </c>
      <c r="AK179" s="6" t="s">
        <v>1889</v>
      </c>
      <c r="AL179" s="6" t="s">
        <v>5099</v>
      </c>
      <c r="AM179" s="6" t="s">
        <v>1890</v>
      </c>
      <c r="AN179" s="6" t="s">
        <v>1891</v>
      </c>
      <c r="AO179" s="6" t="s">
        <v>1892</v>
      </c>
      <c r="AP179" s="6" t="s">
        <v>1883</v>
      </c>
      <c r="AQ179" s="21" t="s">
        <v>1883</v>
      </c>
      <c r="AR179" s="6" t="s">
        <v>1883</v>
      </c>
      <c r="AS179" s="6" t="s">
        <v>4781</v>
      </c>
      <c r="AT179" s="14">
        <v>2</v>
      </c>
      <c r="AU179" s="14">
        <v>2</v>
      </c>
      <c r="AV179" s="14">
        <v>2</v>
      </c>
      <c r="AW179" s="14">
        <v>2</v>
      </c>
      <c r="AX179" s="14">
        <v>2</v>
      </c>
      <c r="AY179" s="14">
        <v>2</v>
      </c>
      <c r="AZ179" s="14">
        <v>2</v>
      </c>
      <c r="BA179" s="2"/>
    </row>
    <row r="180" spans="1:53" ht="44" customHeight="1" x14ac:dyDescent="0.2">
      <c r="A180" s="6">
        <v>54557783</v>
      </c>
      <c r="B180" s="6"/>
      <c r="C180" s="7" t="s">
        <v>35</v>
      </c>
      <c r="D180" s="6" t="s">
        <v>1893</v>
      </c>
      <c r="E180" s="6">
        <f t="shared" si="18"/>
        <v>382</v>
      </c>
      <c r="F180" s="6" t="s">
        <v>1894</v>
      </c>
      <c r="G180" s="6">
        <f t="shared" si="19"/>
        <v>51</v>
      </c>
      <c r="H180" s="9">
        <f t="shared" si="20"/>
        <v>0.86649214659685869</v>
      </c>
      <c r="I180" s="6" t="s">
        <v>5246</v>
      </c>
      <c r="J180" s="6">
        <v>13</v>
      </c>
      <c r="K180" s="9">
        <f t="shared" si="21"/>
        <v>3.4031413612565446E-2</v>
      </c>
      <c r="L180" s="6">
        <v>13</v>
      </c>
      <c r="M180" s="6">
        <v>2</v>
      </c>
      <c r="N180" s="6">
        <v>2</v>
      </c>
      <c r="O180" s="6" t="str">
        <f t="shared" si="22"/>
        <v>Correct</v>
      </c>
      <c r="P180" s="6"/>
      <c r="Q180" s="6">
        <v>1</v>
      </c>
      <c r="R180" s="6" t="str">
        <f t="shared" si="23"/>
        <v>Overtriaged</v>
      </c>
      <c r="S180" s="6" t="s">
        <v>3801</v>
      </c>
      <c r="T180" s="14">
        <v>1</v>
      </c>
      <c r="U180" s="6" t="str">
        <f t="shared" si="24"/>
        <v>Overtriaged</v>
      </c>
      <c r="V180" s="15">
        <v>2</v>
      </c>
      <c r="W180" s="15" t="str">
        <f t="shared" si="25"/>
        <v>Correct</v>
      </c>
      <c r="X180" s="14">
        <v>1</v>
      </c>
      <c r="Y180" s="14" t="str">
        <f t="shared" si="26"/>
        <v>Overtriaged</v>
      </c>
      <c r="Z180" s="6">
        <v>179</v>
      </c>
      <c r="AA180" s="6" t="s">
        <v>1895</v>
      </c>
      <c r="AB180" s="6" t="s">
        <v>1896</v>
      </c>
      <c r="AC180" s="6">
        <v>1</v>
      </c>
      <c r="AD180" s="6" t="s">
        <v>40</v>
      </c>
      <c r="AE180" s="6" t="s">
        <v>265</v>
      </c>
      <c r="AF180" s="6" t="s">
        <v>4026</v>
      </c>
      <c r="AG180" s="6" t="s">
        <v>4027</v>
      </c>
      <c r="AH180" s="6" t="s">
        <v>44</v>
      </c>
      <c r="AI180" s="6" t="s">
        <v>3423</v>
      </c>
      <c r="AJ180" s="6" t="s">
        <v>1897</v>
      </c>
      <c r="AK180" s="6" t="s">
        <v>4028</v>
      </c>
      <c r="AL180" s="6" t="s">
        <v>3476</v>
      </c>
      <c r="AM180" s="6" t="s">
        <v>1898</v>
      </c>
      <c r="AN180" s="6" t="s">
        <v>4782</v>
      </c>
      <c r="AO180" s="6" t="s">
        <v>4783</v>
      </c>
      <c r="AP180" s="6" t="s">
        <v>1893</v>
      </c>
      <c r="AQ180" s="21" t="s">
        <v>4481</v>
      </c>
      <c r="AR180" s="6" t="s">
        <v>1899</v>
      </c>
      <c r="AS180" s="6" t="s">
        <v>4784</v>
      </c>
      <c r="AT180" s="14">
        <v>1</v>
      </c>
      <c r="AU180" s="14">
        <v>1</v>
      </c>
      <c r="AV180" s="14">
        <v>2</v>
      </c>
      <c r="AW180" s="14">
        <v>2</v>
      </c>
      <c r="AX180" s="14">
        <v>1</v>
      </c>
      <c r="AY180" s="14">
        <v>1</v>
      </c>
      <c r="AZ180" s="14">
        <v>2</v>
      </c>
      <c r="BA180" s="2"/>
    </row>
    <row r="181" spans="1:53" ht="44" customHeight="1" x14ac:dyDescent="0.2">
      <c r="A181" s="6">
        <v>54639630</v>
      </c>
      <c r="B181" s="6"/>
      <c r="C181" s="7" t="s">
        <v>35</v>
      </c>
      <c r="D181" s="6" t="s">
        <v>1900</v>
      </c>
      <c r="E181" s="6">
        <f t="shared" si="18"/>
        <v>172</v>
      </c>
      <c r="F181" s="6" t="s">
        <v>1901</v>
      </c>
      <c r="G181" s="6">
        <f t="shared" si="19"/>
        <v>23</v>
      </c>
      <c r="H181" s="9">
        <f t="shared" si="20"/>
        <v>0.86627906976744184</v>
      </c>
      <c r="I181" s="6"/>
      <c r="J181" s="6">
        <v>0</v>
      </c>
      <c r="K181" s="9">
        <f t="shared" si="21"/>
        <v>0</v>
      </c>
      <c r="L181" s="6">
        <v>6</v>
      </c>
      <c r="M181" s="6">
        <v>2</v>
      </c>
      <c r="N181" s="6">
        <v>1</v>
      </c>
      <c r="O181" s="6" t="str">
        <f t="shared" si="22"/>
        <v>Overtriaged</v>
      </c>
      <c r="P181" s="6"/>
      <c r="Q181" s="6">
        <v>2</v>
      </c>
      <c r="R181" s="6" t="str">
        <f t="shared" si="23"/>
        <v>Correct</v>
      </c>
      <c r="S181" s="6" t="s">
        <v>3661</v>
      </c>
      <c r="T181" s="14">
        <v>2</v>
      </c>
      <c r="U181" s="6" t="str">
        <f t="shared" si="24"/>
        <v>Correct</v>
      </c>
      <c r="V181" s="15">
        <v>2</v>
      </c>
      <c r="W181" s="15" t="str">
        <f t="shared" si="25"/>
        <v>Correct</v>
      </c>
      <c r="X181" s="14">
        <v>2</v>
      </c>
      <c r="Y181" s="14" t="str">
        <f t="shared" si="26"/>
        <v>Correct</v>
      </c>
      <c r="Z181" s="6">
        <v>180</v>
      </c>
      <c r="AA181" s="6" t="s">
        <v>1902</v>
      </c>
      <c r="AB181" s="6" t="s">
        <v>1903</v>
      </c>
      <c r="AC181" s="6">
        <v>1</v>
      </c>
      <c r="AD181" s="6" t="s">
        <v>40</v>
      </c>
      <c r="AE181" s="6" t="s">
        <v>1904</v>
      </c>
      <c r="AF181" s="6" t="s">
        <v>1905</v>
      </c>
      <c r="AG181" s="6" t="s">
        <v>1906</v>
      </c>
      <c r="AH181" s="6" t="s">
        <v>1907</v>
      </c>
      <c r="AI181" s="6" t="s">
        <v>3377</v>
      </c>
      <c r="AJ181" s="6" t="s">
        <v>44</v>
      </c>
      <c r="AK181" s="6" t="s">
        <v>1908</v>
      </c>
      <c r="AL181" s="6" t="s">
        <v>5098</v>
      </c>
      <c r="AM181" s="6" t="s">
        <v>4785</v>
      </c>
      <c r="AN181" s="6" t="s">
        <v>1909</v>
      </c>
      <c r="AO181" s="6" t="s">
        <v>1910</v>
      </c>
      <c r="AP181" s="6" t="s">
        <v>1911</v>
      </c>
      <c r="AQ181" s="21" t="s">
        <v>4482</v>
      </c>
      <c r="AR181" s="6" t="s">
        <v>1900</v>
      </c>
      <c r="AS181" s="6" t="s">
        <v>1912</v>
      </c>
      <c r="AT181" s="14">
        <v>2</v>
      </c>
      <c r="AU181" s="14">
        <v>2</v>
      </c>
      <c r="AV181" s="14">
        <v>2</v>
      </c>
      <c r="AW181" s="14">
        <v>2</v>
      </c>
      <c r="AX181" s="14">
        <v>2</v>
      </c>
      <c r="AY181" s="14">
        <v>2</v>
      </c>
      <c r="AZ181" s="14">
        <v>2</v>
      </c>
      <c r="BA181" s="2"/>
    </row>
    <row r="182" spans="1:53" ht="44" customHeight="1" x14ac:dyDescent="0.2">
      <c r="A182" s="6">
        <v>54639673</v>
      </c>
      <c r="B182" s="6"/>
      <c r="C182" s="7" t="s">
        <v>35</v>
      </c>
      <c r="D182" s="6" t="s">
        <v>1913</v>
      </c>
      <c r="E182" s="6">
        <f t="shared" si="18"/>
        <v>131</v>
      </c>
      <c r="F182" s="6" t="s">
        <v>1914</v>
      </c>
      <c r="G182" s="6">
        <f t="shared" si="19"/>
        <v>38</v>
      </c>
      <c r="H182" s="9">
        <f t="shared" si="20"/>
        <v>0.70992366412213737</v>
      </c>
      <c r="I182" s="6" t="s">
        <v>5247</v>
      </c>
      <c r="J182" s="6">
        <v>4</v>
      </c>
      <c r="K182" s="9">
        <f t="shared" si="21"/>
        <v>3.0534351145038167E-2</v>
      </c>
      <c r="L182" s="6">
        <v>5</v>
      </c>
      <c r="M182" s="6">
        <v>2</v>
      </c>
      <c r="N182" s="6">
        <v>1</v>
      </c>
      <c r="O182" s="6" t="str">
        <f t="shared" si="22"/>
        <v>Overtriaged</v>
      </c>
      <c r="P182" s="6"/>
      <c r="Q182" s="6">
        <v>2</v>
      </c>
      <c r="R182" s="6" t="str">
        <f t="shared" si="23"/>
        <v>Correct</v>
      </c>
      <c r="S182" s="6" t="s">
        <v>3802</v>
      </c>
      <c r="T182" s="14">
        <v>2</v>
      </c>
      <c r="U182" s="6" t="str">
        <f t="shared" si="24"/>
        <v>Correct</v>
      </c>
      <c r="V182" s="15">
        <v>1</v>
      </c>
      <c r="W182" s="15" t="str">
        <f t="shared" si="25"/>
        <v>Overtriaged</v>
      </c>
      <c r="X182" s="14">
        <v>2</v>
      </c>
      <c r="Y182" s="14" t="str">
        <f t="shared" si="26"/>
        <v>Correct</v>
      </c>
      <c r="Z182" s="6">
        <v>181</v>
      </c>
      <c r="AA182" s="6" t="s">
        <v>1915</v>
      </c>
      <c r="AB182" s="6" t="s">
        <v>1916</v>
      </c>
      <c r="AC182" s="6">
        <v>1</v>
      </c>
      <c r="AD182" s="6" t="s">
        <v>40</v>
      </c>
      <c r="AE182" s="6" t="s">
        <v>1917</v>
      </c>
      <c r="AF182" s="6" t="s">
        <v>1918</v>
      </c>
      <c r="AG182" s="6" t="s">
        <v>1919</v>
      </c>
      <c r="AH182" s="6" t="s">
        <v>693</v>
      </c>
      <c r="AI182" s="6" t="s">
        <v>3424</v>
      </c>
      <c r="AJ182" s="6" t="s">
        <v>1920</v>
      </c>
      <c r="AK182" s="6" t="s">
        <v>4029</v>
      </c>
      <c r="AL182" s="6" t="s">
        <v>3477</v>
      </c>
      <c r="AM182" s="6" t="s">
        <v>1921</v>
      </c>
      <c r="AN182" s="6" t="s">
        <v>1922</v>
      </c>
      <c r="AO182" s="6" t="s">
        <v>1923</v>
      </c>
      <c r="AP182" s="6" t="s">
        <v>1924</v>
      </c>
      <c r="AQ182" s="21" t="s">
        <v>4483</v>
      </c>
      <c r="AR182" s="6" t="s">
        <v>1925</v>
      </c>
      <c r="AS182" s="6" t="s">
        <v>4786</v>
      </c>
      <c r="AT182" s="14">
        <v>2</v>
      </c>
      <c r="AU182" s="14">
        <v>2</v>
      </c>
      <c r="AV182" s="14">
        <v>2</v>
      </c>
      <c r="AW182" s="14">
        <v>2</v>
      </c>
      <c r="AX182" s="14">
        <v>2</v>
      </c>
      <c r="AY182" s="14">
        <v>2</v>
      </c>
      <c r="AZ182" s="14">
        <v>2</v>
      </c>
      <c r="BA182" s="2"/>
    </row>
    <row r="183" spans="1:53" ht="44" customHeight="1" x14ac:dyDescent="0.2">
      <c r="A183" s="6">
        <v>54639658</v>
      </c>
      <c r="B183" s="6"/>
      <c r="C183" s="7" t="s">
        <v>35</v>
      </c>
      <c r="D183" s="6" t="s">
        <v>1926</v>
      </c>
      <c r="E183" s="6">
        <f t="shared" si="18"/>
        <v>151</v>
      </c>
      <c r="F183" s="6" t="s">
        <v>1927</v>
      </c>
      <c r="G183" s="6">
        <f t="shared" si="19"/>
        <v>56</v>
      </c>
      <c r="H183" s="9">
        <f t="shared" si="20"/>
        <v>0.62913907284768211</v>
      </c>
      <c r="I183" s="6"/>
      <c r="J183" s="6">
        <v>0</v>
      </c>
      <c r="K183" s="9">
        <f t="shared" si="21"/>
        <v>0</v>
      </c>
      <c r="L183" s="6">
        <v>10</v>
      </c>
      <c r="M183" s="6">
        <v>2</v>
      </c>
      <c r="N183" s="6">
        <v>1</v>
      </c>
      <c r="O183" s="6" t="str">
        <f t="shared" si="22"/>
        <v>Overtriaged</v>
      </c>
      <c r="P183" s="6"/>
      <c r="Q183" s="6">
        <v>2</v>
      </c>
      <c r="R183" s="6" t="str">
        <f t="shared" si="23"/>
        <v>Correct</v>
      </c>
      <c r="S183" s="6" t="s">
        <v>3662</v>
      </c>
      <c r="T183" s="14">
        <v>2</v>
      </c>
      <c r="U183" s="6" t="str">
        <f t="shared" si="24"/>
        <v>Correct</v>
      </c>
      <c r="V183" s="15">
        <v>2</v>
      </c>
      <c r="W183" s="15" t="str">
        <f t="shared" si="25"/>
        <v>Correct</v>
      </c>
      <c r="X183" s="14">
        <v>2</v>
      </c>
      <c r="Y183" s="14" t="str">
        <f t="shared" si="26"/>
        <v>Correct</v>
      </c>
      <c r="Z183" s="6">
        <v>182</v>
      </c>
      <c r="AA183" s="6" t="s">
        <v>1928</v>
      </c>
      <c r="AB183" s="6" t="s">
        <v>1929</v>
      </c>
      <c r="AC183" s="6">
        <v>1</v>
      </c>
      <c r="AD183" s="6" t="s">
        <v>40</v>
      </c>
      <c r="AE183" s="6" t="s">
        <v>1930</v>
      </c>
      <c r="AF183" s="6" t="s">
        <v>1931</v>
      </c>
      <c r="AG183" s="6" t="s">
        <v>1932</v>
      </c>
      <c r="AH183" s="6" t="s">
        <v>1933</v>
      </c>
      <c r="AI183" s="6" t="s">
        <v>3425</v>
      </c>
      <c r="AJ183" s="6" t="s">
        <v>4030</v>
      </c>
      <c r="AK183" s="6" t="s">
        <v>4031</v>
      </c>
      <c r="AL183" s="6" t="s">
        <v>3477</v>
      </c>
      <c r="AM183" s="6" t="s">
        <v>1934</v>
      </c>
      <c r="AN183" s="6" t="s">
        <v>1935</v>
      </c>
      <c r="AO183" s="6" t="s">
        <v>1936</v>
      </c>
      <c r="AP183" s="6" t="s">
        <v>1937</v>
      </c>
      <c r="AQ183" s="21" t="s">
        <v>4484</v>
      </c>
      <c r="AR183" s="6" t="s">
        <v>4787</v>
      </c>
      <c r="AS183" s="6" t="s">
        <v>4788</v>
      </c>
      <c r="AT183" s="14">
        <v>2</v>
      </c>
      <c r="AU183" s="14">
        <v>2</v>
      </c>
      <c r="AV183" s="14">
        <v>2</v>
      </c>
      <c r="AW183" s="14">
        <v>2</v>
      </c>
      <c r="AX183" s="14">
        <v>2</v>
      </c>
      <c r="AY183" s="14">
        <v>2</v>
      </c>
      <c r="AZ183" s="14">
        <v>2</v>
      </c>
      <c r="BA183" s="2"/>
    </row>
    <row r="184" spans="1:53" ht="44" customHeight="1" x14ac:dyDescent="0.2">
      <c r="A184" s="6">
        <v>54725877</v>
      </c>
      <c r="B184" s="6"/>
      <c r="C184" s="7" t="s">
        <v>35</v>
      </c>
      <c r="D184" s="6" t="s">
        <v>1938</v>
      </c>
      <c r="E184" s="6">
        <f t="shared" si="18"/>
        <v>223</v>
      </c>
      <c r="F184" s="6" t="s">
        <v>1939</v>
      </c>
      <c r="G184" s="6">
        <f t="shared" si="19"/>
        <v>47</v>
      </c>
      <c r="H184" s="9">
        <f t="shared" si="20"/>
        <v>0.78923766816143492</v>
      </c>
      <c r="I184" s="6"/>
      <c r="J184" s="6">
        <v>0</v>
      </c>
      <c r="K184" s="9">
        <f t="shared" si="21"/>
        <v>0</v>
      </c>
      <c r="L184" s="6">
        <v>1</v>
      </c>
      <c r="M184" s="6">
        <v>2</v>
      </c>
      <c r="N184" s="6">
        <v>2</v>
      </c>
      <c r="O184" s="6" t="str">
        <f t="shared" si="22"/>
        <v>Correct</v>
      </c>
      <c r="P184" s="6"/>
      <c r="Q184" s="6">
        <v>2</v>
      </c>
      <c r="R184" s="6" t="str">
        <f t="shared" si="23"/>
        <v>Correct</v>
      </c>
      <c r="S184" s="6" t="s">
        <v>3663</v>
      </c>
      <c r="T184" s="14">
        <v>2</v>
      </c>
      <c r="U184" s="6" t="str">
        <f t="shared" si="24"/>
        <v>Correct</v>
      </c>
      <c r="V184" s="15">
        <v>2</v>
      </c>
      <c r="W184" s="15" t="str">
        <f t="shared" si="25"/>
        <v>Correct</v>
      </c>
      <c r="X184" s="14">
        <v>2</v>
      </c>
      <c r="Y184" s="14" t="str">
        <f t="shared" si="26"/>
        <v>Correct</v>
      </c>
      <c r="Z184" s="6">
        <v>183</v>
      </c>
      <c r="AA184" s="6" t="s">
        <v>1940</v>
      </c>
      <c r="AB184" s="6" t="s">
        <v>1941</v>
      </c>
      <c r="AC184" s="6">
        <v>1</v>
      </c>
      <c r="AD184" s="6" t="s">
        <v>40</v>
      </c>
      <c r="AE184" s="6" t="s">
        <v>1942</v>
      </c>
      <c r="AF184" s="6" t="s">
        <v>1943</v>
      </c>
      <c r="AG184" s="6" t="s">
        <v>1944</v>
      </c>
      <c r="AH184" s="6" t="s">
        <v>44</v>
      </c>
      <c r="AI184" s="6" t="s">
        <v>44</v>
      </c>
      <c r="AJ184" s="6" t="s">
        <v>1945</v>
      </c>
      <c r="AK184" s="6" t="s">
        <v>4032</v>
      </c>
      <c r="AL184" s="6" t="s">
        <v>3476</v>
      </c>
      <c r="AM184" s="6" t="s">
        <v>1946</v>
      </c>
      <c r="AN184" s="6" t="s">
        <v>1947</v>
      </c>
      <c r="AO184" s="6" t="s">
        <v>1948</v>
      </c>
      <c r="AP184" s="6" t="s">
        <v>1938</v>
      </c>
      <c r="AQ184" s="21" t="s">
        <v>1938</v>
      </c>
      <c r="AR184" s="6" t="s">
        <v>1949</v>
      </c>
      <c r="AS184" s="6" t="s">
        <v>4789</v>
      </c>
      <c r="AT184" s="14">
        <v>2</v>
      </c>
      <c r="AU184" s="14">
        <v>2</v>
      </c>
      <c r="AV184" s="14">
        <v>2</v>
      </c>
      <c r="AW184" s="14">
        <v>2</v>
      </c>
      <c r="AX184" s="14">
        <v>2</v>
      </c>
      <c r="AY184" s="14">
        <v>2</v>
      </c>
      <c r="AZ184" s="14">
        <v>2</v>
      </c>
      <c r="BA184" s="2"/>
    </row>
    <row r="185" spans="1:53" ht="44" customHeight="1" x14ac:dyDescent="0.2">
      <c r="A185" s="6">
        <v>54855606</v>
      </c>
      <c r="B185" s="6"/>
      <c r="C185" s="7" t="s">
        <v>35</v>
      </c>
      <c r="D185" s="6" t="s">
        <v>1950</v>
      </c>
      <c r="E185" s="6">
        <f t="shared" si="18"/>
        <v>82</v>
      </c>
      <c r="F185" s="6" t="s">
        <v>1951</v>
      </c>
      <c r="G185" s="6">
        <f t="shared" si="19"/>
        <v>39</v>
      </c>
      <c r="H185" s="9">
        <f t="shared" si="20"/>
        <v>0.52439024390243905</v>
      </c>
      <c r="I185" s="6" t="s">
        <v>5248</v>
      </c>
      <c r="J185" s="6">
        <v>2</v>
      </c>
      <c r="K185" s="9">
        <f t="shared" si="21"/>
        <v>2.4390243902439025E-2</v>
      </c>
      <c r="L185" s="6">
        <v>12</v>
      </c>
      <c r="M185" s="6">
        <v>2</v>
      </c>
      <c r="N185" s="6">
        <v>2</v>
      </c>
      <c r="O185" s="6" t="str">
        <f t="shared" si="22"/>
        <v>Correct</v>
      </c>
      <c r="P185" s="6"/>
      <c r="Q185" s="6">
        <v>1</v>
      </c>
      <c r="R185" s="6" t="str">
        <f t="shared" si="23"/>
        <v>Overtriaged</v>
      </c>
      <c r="S185" s="6" t="s">
        <v>3664</v>
      </c>
      <c r="T185" s="14">
        <v>1</v>
      </c>
      <c r="U185" s="6" t="str">
        <f t="shared" si="24"/>
        <v>Overtriaged</v>
      </c>
      <c r="V185" s="15">
        <v>2</v>
      </c>
      <c r="W185" s="15" t="str">
        <f t="shared" si="25"/>
        <v>Correct</v>
      </c>
      <c r="X185" s="14">
        <v>1</v>
      </c>
      <c r="Y185" s="14" t="str">
        <f t="shared" si="26"/>
        <v>Overtriaged</v>
      </c>
      <c r="Z185" s="6">
        <v>184</v>
      </c>
      <c r="AA185" s="6" t="s">
        <v>1952</v>
      </c>
      <c r="AB185" s="6" t="s">
        <v>1953</v>
      </c>
      <c r="AC185" s="6">
        <v>1</v>
      </c>
      <c r="AD185" s="6" t="s">
        <v>40</v>
      </c>
      <c r="AE185" s="6" t="s">
        <v>1954</v>
      </c>
      <c r="AF185" s="6" t="s">
        <v>1955</v>
      </c>
      <c r="AG185" s="6" t="s">
        <v>1956</v>
      </c>
      <c r="AH185" s="6" t="s">
        <v>44</v>
      </c>
      <c r="AI185" s="6" t="s">
        <v>3379</v>
      </c>
      <c r="AJ185" s="6" t="s">
        <v>509</v>
      </c>
      <c r="AK185" s="6" t="s">
        <v>4033</v>
      </c>
      <c r="AL185" s="6" t="s">
        <v>3476</v>
      </c>
      <c r="AM185" s="6" t="s">
        <v>1957</v>
      </c>
      <c r="AN185" s="6" t="s">
        <v>1958</v>
      </c>
      <c r="AO185" s="6" t="s">
        <v>1959</v>
      </c>
      <c r="AP185" s="6" t="s">
        <v>1950</v>
      </c>
      <c r="AQ185" s="21" t="s">
        <v>4485</v>
      </c>
      <c r="AR185" s="6" t="s">
        <v>1960</v>
      </c>
      <c r="AS185" s="6" t="s">
        <v>4790</v>
      </c>
      <c r="AT185" s="14">
        <v>1</v>
      </c>
      <c r="AU185" s="14">
        <v>1</v>
      </c>
      <c r="AV185" s="14">
        <v>1</v>
      </c>
      <c r="AW185" s="14">
        <v>1</v>
      </c>
      <c r="AX185" s="14">
        <v>1</v>
      </c>
      <c r="AY185" s="14">
        <v>1</v>
      </c>
      <c r="AZ185" s="14">
        <v>2</v>
      </c>
      <c r="BA185" s="2"/>
    </row>
    <row r="186" spans="1:53" ht="44" customHeight="1" x14ac:dyDescent="0.2">
      <c r="A186" s="6">
        <v>54863692</v>
      </c>
      <c r="B186" s="6"/>
      <c r="C186" s="7" t="s">
        <v>35</v>
      </c>
      <c r="D186" s="6" t="s">
        <v>1961</v>
      </c>
      <c r="E186" s="6">
        <f t="shared" si="18"/>
        <v>91</v>
      </c>
      <c r="F186" s="6" t="s">
        <v>1962</v>
      </c>
      <c r="G186" s="6">
        <f t="shared" si="19"/>
        <v>19</v>
      </c>
      <c r="H186" s="9">
        <f t="shared" si="20"/>
        <v>0.79120879120879117</v>
      </c>
      <c r="I186" s="6" t="s">
        <v>5249</v>
      </c>
      <c r="J186" s="6">
        <v>2</v>
      </c>
      <c r="K186" s="9">
        <f t="shared" si="21"/>
        <v>2.197802197802198E-2</v>
      </c>
      <c r="L186" s="6">
        <v>27</v>
      </c>
      <c r="M186" s="6">
        <v>1</v>
      </c>
      <c r="N186" s="6">
        <v>2</v>
      </c>
      <c r="O186" s="6" t="str">
        <f t="shared" si="22"/>
        <v>Undertriaged</v>
      </c>
      <c r="P186" s="6"/>
      <c r="Q186" s="6">
        <v>2</v>
      </c>
      <c r="R186" s="6" t="str">
        <f t="shared" si="23"/>
        <v>Undertriaged</v>
      </c>
      <c r="S186" s="6" t="s">
        <v>3665</v>
      </c>
      <c r="T186" s="14">
        <v>2</v>
      </c>
      <c r="U186" s="6" t="str">
        <f t="shared" si="24"/>
        <v>Undertriaged</v>
      </c>
      <c r="V186" s="15">
        <v>2</v>
      </c>
      <c r="W186" s="15" t="str">
        <f t="shared" si="25"/>
        <v>Undertriaged</v>
      </c>
      <c r="X186" s="14">
        <v>2</v>
      </c>
      <c r="Y186" s="14" t="str">
        <f t="shared" si="26"/>
        <v>Undertriaged</v>
      </c>
      <c r="Z186" s="6">
        <v>185</v>
      </c>
      <c r="AA186" s="6" t="s">
        <v>1963</v>
      </c>
      <c r="AB186" s="6" t="s">
        <v>1964</v>
      </c>
      <c r="AC186" s="6">
        <v>1</v>
      </c>
      <c r="AD186" s="6" t="s">
        <v>40</v>
      </c>
      <c r="AE186" s="6" t="s">
        <v>1965</v>
      </c>
      <c r="AF186" s="6" t="s">
        <v>44</v>
      </c>
      <c r="AG186" s="6" t="s">
        <v>44</v>
      </c>
      <c r="AH186" s="6" t="s">
        <v>44</v>
      </c>
      <c r="AI186" s="6" t="s">
        <v>3426</v>
      </c>
      <c r="AJ186" s="6" t="s">
        <v>44</v>
      </c>
      <c r="AK186" s="6" t="s">
        <v>4034</v>
      </c>
      <c r="AL186" s="6" t="s">
        <v>5100</v>
      </c>
      <c r="AM186" s="6" t="s">
        <v>1966</v>
      </c>
      <c r="AN186" s="6" t="s">
        <v>1961</v>
      </c>
      <c r="AO186" s="6" t="s">
        <v>1961</v>
      </c>
      <c r="AP186" s="6" t="s">
        <v>1961</v>
      </c>
      <c r="AQ186" s="21" t="s">
        <v>4486</v>
      </c>
      <c r="AR186" s="6" t="s">
        <v>1961</v>
      </c>
      <c r="AS186" s="6" t="s">
        <v>4791</v>
      </c>
      <c r="AT186" s="14">
        <v>2</v>
      </c>
      <c r="AU186" s="14">
        <v>2</v>
      </c>
      <c r="AV186" s="14">
        <v>2</v>
      </c>
      <c r="AW186" s="14">
        <v>2</v>
      </c>
      <c r="AX186" s="14">
        <v>2</v>
      </c>
      <c r="AY186" s="14">
        <v>2</v>
      </c>
      <c r="AZ186" s="14">
        <v>2</v>
      </c>
      <c r="BA186" s="2"/>
    </row>
    <row r="187" spans="1:53" ht="44" customHeight="1" x14ac:dyDescent="0.2">
      <c r="A187" s="6">
        <v>54996758</v>
      </c>
      <c r="B187" s="6"/>
      <c r="C187" s="7" t="s">
        <v>35</v>
      </c>
      <c r="D187" s="6" t="s">
        <v>1967</v>
      </c>
      <c r="E187" s="6">
        <f t="shared" si="18"/>
        <v>305</v>
      </c>
      <c r="F187" s="6" t="s">
        <v>1968</v>
      </c>
      <c r="G187" s="6">
        <f t="shared" si="19"/>
        <v>62</v>
      </c>
      <c r="H187" s="9">
        <f t="shared" si="20"/>
        <v>0.79672131147540981</v>
      </c>
      <c r="I187" s="6" t="s">
        <v>5250</v>
      </c>
      <c r="J187" s="6">
        <v>3</v>
      </c>
      <c r="K187" s="9">
        <f t="shared" si="21"/>
        <v>9.8360655737704927E-3</v>
      </c>
      <c r="L187" s="6">
        <v>1</v>
      </c>
      <c r="M187" s="6">
        <v>2</v>
      </c>
      <c r="N187" s="6">
        <v>2</v>
      </c>
      <c r="O187" s="6" t="str">
        <f t="shared" si="22"/>
        <v>Correct</v>
      </c>
      <c r="P187" s="6"/>
      <c r="Q187" s="6">
        <v>2</v>
      </c>
      <c r="R187" s="6" t="str">
        <f t="shared" si="23"/>
        <v>Correct</v>
      </c>
      <c r="S187" s="6" t="s">
        <v>3666</v>
      </c>
      <c r="T187" s="14">
        <v>2</v>
      </c>
      <c r="U187" s="6" t="str">
        <f t="shared" si="24"/>
        <v>Correct</v>
      </c>
      <c r="V187" s="15">
        <v>2</v>
      </c>
      <c r="W187" s="15" t="str">
        <f t="shared" si="25"/>
        <v>Correct</v>
      </c>
      <c r="X187" s="14">
        <v>2</v>
      </c>
      <c r="Y187" s="14" t="str">
        <f t="shared" si="26"/>
        <v>Correct</v>
      </c>
      <c r="Z187" s="6">
        <v>186</v>
      </c>
      <c r="AA187" s="6" t="s">
        <v>1107</v>
      </c>
      <c r="AB187" s="6" t="s">
        <v>1969</v>
      </c>
      <c r="AC187" s="6">
        <v>1</v>
      </c>
      <c r="AD187" s="6" t="s">
        <v>40</v>
      </c>
      <c r="AE187" s="6" t="s">
        <v>1970</v>
      </c>
      <c r="AF187" s="6" t="s">
        <v>1971</v>
      </c>
      <c r="AG187" s="6" t="s">
        <v>1972</v>
      </c>
      <c r="AH187" s="6" t="s">
        <v>44</v>
      </c>
      <c r="AI187" s="6" t="s">
        <v>2975</v>
      </c>
      <c r="AJ187" s="6" t="s">
        <v>1973</v>
      </c>
      <c r="AK187" s="6" t="s">
        <v>4035</v>
      </c>
      <c r="AL187" s="6" t="s">
        <v>3476</v>
      </c>
      <c r="AM187" s="6" t="s">
        <v>1974</v>
      </c>
      <c r="AN187" s="6" t="s">
        <v>1975</v>
      </c>
      <c r="AO187" s="6" t="s">
        <v>1976</v>
      </c>
      <c r="AP187" s="6" t="s">
        <v>1967</v>
      </c>
      <c r="AQ187" s="21" t="s">
        <v>4487</v>
      </c>
      <c r="AR187" s="6" t="s">
        <v>1977</v>
      </c>
      <c r="AS187" s="6" t="s">
        <v>4792</v>
      </c>
      <c r="AT187" s="14">
        <v>2</v>
      </c>
      <c r="AU187" s="14">
        <v>2</v>
      </c>
      <c r="AV187" s="14">
        <v>2</v>
      </c>
      <c r="AW187" s="14">
        <v>2</v>
      </c>
      <c r="AX187" s="14">
        <v>2</v>
      </c>
      <c r="AY187" s="14">
        <v>2</v>
      </c>
      <c r="AZ187" s="14">
        <v>2</v>
      </c>
      <c r="BA187" s="2"/>
    </row>
    <row r="188" spans="1:53" ht="44" customHeight="1" x14ac:dyDescent="0.2">
      <c r="A188" s="6">
        <v>55049703</v>
      </c>
      <c r="B188" s="6"/>
      <c r="C188" s="7" t="s">
        <v>35</v>
      </c>
      <c r="D188" s="6" t="s">
        <v>1978</v>
      </c>
      <c r="E188" s="6">
        <f t="shared" si="18"/>
        <v>60</v>
      </c>
      <c r="F188" s="6" t="s">
        <v>1979</v>
      </c>
      <c r="G188" s="6">
        <f t="shared" si="19"/>
        <v>24</v>
      </c>
      <c r="H188" s="9">
        <f t="shared" si="20"/>
        <v>0.6</v>
      </c>
      <c r="I188" s="6" t="s">
        <v>5251</v>
      </c>
      <c r="J188" s="6">
        <v>2</v>
      </c>
      <c r="K188" s="9">
        <f t="shared" si="21"/>
        <v>3.3333333333333333E-2</v>
      </c>
      <c r="L188" s="6">
        <v>9</v>
      </c>
      <c r="M188" s="6">
        <v>2</v>
      </c>
      <c r="N188" s="6">
        <v>1</v>
      </c>
      <c r="O188" s="6" t="str">
        <f t="shared" si="22"/>
        <v>Overtriaged</v>
      </c>
      <c r="P188" s="6"/>
      <c r="Q188" s="6">
        <v>1</v>
      </c>
      <c r="R188" s="6" t="str">
        <f t="shared" si="23"/>
        <v>Overtriaged</v>
      </c>
      <c r="S188" s="6" t="s">
        <v>3803</v>
      </c>
      <c r="T188" s="14">
        <v>1</v>
      </c>
      <c r="U188" s="6" t="str">
        <f t="shared" si="24"/>
        <v>Overtriaged</v>
      </c>
      <c r="V188" s="15">
        <v>1</v>
      </c>
      <c r="W188" s="15" t="str">
        <f t="shared" si="25"/>
        <v>Overtriaged</v>
      </c>
      <c r="X188" s="14">
        <v>1</v>
      </c>
      <c r="Y188" s="14" t="str">
        <f t="shared" si="26"/>
        <v>Overtriaged</v>
      </c>
      <c r="Z188" s="6">
        <v>187</v>
      </c>
      <c r="AA188" s="6" t="s">
        <v>1980</v>
      </c>
      <c r="AB188" s="6" t="s">
        <v>1981</v>
      </c>
      <c r="AC188" s="6">
        <v>1</v>
      </c>
      <c r="AD188" s="6" t="s">
        <v>40</v>
      </c>
      <c r="AE188" s="6" t="s">
        <v>1174</v>
      </c>
      <c r="AF188" s="6" t="s">
        <v>1931</v>
      </c>
      <c r="AG188" s="6" t="s">
        <v>1982</v>
      </c>
      <c r="AH188" s="6" t="s">
        <v>44</v>
      </c>
      <c r="AI188" s="6" t="s">
        <v>3383</v>
      </c>
      <c r="AJ188" s="6" t="s">
        <v>4036</v>
      </c>
      <c r="AK188" s="6" t="s">
        <v>1983</v>
      </c>
      <c r="AL188" s="6" t="s">
        <v>3476</v>
      </c>
      <c r="AM188" s="6" t="s">
        <v>1984</v>
      </c>
      <c r="AN188" s="6" t="s">
        <v>1985</v>
      </c>
      <c r="AO188" s="6" t="s">
        <v>1986</v>
      </c>
      <c r="AP188" s="6" t="s">
        <v>1978</v>
      </c>
      <c r="AQ188" s="21" t="s">
        <v>4488</v>
      </c>
      <c r="AR188" s="6" t="s">
        <v>1987</v>
      </c>
      <c r="AS188" s="6" t="s">
        <v>1988</v>
      </c>
      <c r="AT188" s="14">
        <v>2</v>
      </c>
      <c r="AU188" s="14">
        <v>2</v>
      </c>
      <c r="AV188" s="14">
        <v>2</v>
      </c>
      <c r="AW188" s="14">
        <v>2</v>
      </c>
      <c r="AX188" s="14">
        <v>1</v>
      </c>
      <c r="AY188" s="14">
        <v>1</v>
      </c>
      <c r="AZ188" s="14">
        <v>2</v>
      </c>
      <c r="BA188" s="2"/>
    </row>
    <row r="189" spans="1:53" ht="44" customHeight="1" x14ac:dyDescent="0.2">
      <c r="A189" s="6">
        <v>55259186</v>
      </c>
      <c r="B189" s="6"/>
      <c r="C189" s="7" t="s">
        <v>35</v>
      </c>
      <c r="D189" s="6" t="s">
        <v>1989</v>
      </c>
      <c r="E189" s="6">
        <f t="shared" si="18"/>
        <v>133</v>
      </c>
      <c r="F189" s="6" t="s">
        <v>1990</v>
      </c>
      <c r="G189" s="6">
        <f t="shared" si="19"/>
        <v>39</v>
      </c>
      <c r="H189" s="9">
        <f t="shared" si="20"/>
        <v>0.70676691729323304</v>
      </c>
      <c r="I189" s="6"/>
      <c r="J189" s="6">
        <v>0</v>
      </c>
      <c r="K189" s="9">
        <f t="shared" si="21"/>
        <v>0</v>
      </c>
      <c r="L189" s="6">
        <v>12</v>
      </c>
      <c r="M189" s="6">
        <v>2</v>
      </c>
      <c r="N189" s="6">
        <v>2</v>
      </c>
      <c r="O189" s="6" t="str">
        <f t="shared" si="22"/>
        <v>Correct</v>
      </c>
      <c r="P189" s="6"/>
      <c r="Q189" s="6">
        <v>2</v>
      </c>
      <c r="R189" s="6" t="str">
        <f t="shared" si="23"/>
        <v>Correct</v>
      </c>
      <c r="S189" s="6" t="s">
        <v>3667</v>
      </c>
      <c r="T189" s="14">
        <v>2</v>
      </c>
      <c r="U189" s="6" t="str">
        <f t="shared" si="24"/>
        <v>Correct</v>
      </c>
      <c r="V189" s="15">
        <v>1</v>
      </c>
      <c r="W189" s="15" t="str">
        <f t="shared" si="25"/>
        <v>Overtriaged</v>
      </c>
      <c r="X189" s="14">
        <v>2</v>
      </c>
      <c r="Y189" s="14" t="str">
        <f t="shared" si="26"/>
        <v>Correct</v>
      </c>
      <c r="Z189" s="6">
        <v>188</v>
      </c>
      <c r="AA189" s="6" t="s">
        <v>1991</v>
      </c>
      <c r="AB189" s="6" t="s">
        <v>1992</v>
      </c>
      <c r="AC189" s="6">
        <v>1</v>
      </c>
      <c r="AD189" s="6" t="s">
        <v>40</v>
      </c>
      <c r="AE189" s="6" t="s">
        <v>309</v>
      </c>
      <c r="AF189" s="6" t="s">
        <v>1993</v>
      </c>
      <c r="AG189" s="6" t="s">
        <v>4037</v>
      </c>
      <c r="AH189" s="6" t="s">
        <v>44</v>
      </c>
      <c r="AI189" s="6" t="s">
        <v>3427</v>
      </c>
      <c r="AJ189" s="6" t="s">
        <v>1994</v>
      </c>
      <c r="AK189" s="6" t="s">
        <v>1995</v>
      </c>
      <c r="AL189" s="6" t="s">
        <v>3476</v>
      </c>
      <c r="AM189" s="6" t="s">
        <v>1996</v>
      </c>
      <c r="AN189" s="6" t="s">
        <v>1997</v>
      </c>
      <c r="AO189" s="6" t="s">
        <v>4793</v>
      </c>
      <c r="AP189" s="6" t="s">
        <v>1989</v>
      </c>
      <c r="AQ189" s="21" t="s">
        <v>4489</v>
      </c>
      <c r="AR189" s="6" t="s">
        <v>1998</v>
      </c>
      <c r="AS189" s="6" t="s">
        <v>1999</v>
      </c>
      <c r="AT189" s="14">
        <v>2</v>
      </c>
      <c r="AU189" s="14">
        <v>2</v>
      </c>
      <c r="AV189" s="14">
        <v>2</v>
      </c>
      <c r="AW189" s="14">
        <v>2</v>
      </c>
      <c r="AX189" s="14">
        <v>2</v>
      </c>
      <c r="AY189" s="14">
        <v>2</v>
      </c>
      <c r="AZ189" s="14">
        <v>2</v>
      </c>
      <c r="BA189" s="2"/>
    </row>
    <row r="190" spans="1:53" ht="44" customHeight="1" x14ac:dyDescent="0.2">
      <c r="A190" s="6">
        <v>55393949</v>
      </c>
      <c r="B190" s="6"/>
      <c r="C190" s="7" t="s">
        <v>35</v>
      </c>
      <c r="D190" s="6" t="s">
        <v>2000</v>
      </c>
      <c r="E190" s="6">
        <f t="shared" si="18"/>
        <v>110</v>
      </c>
      <c r="F190" s="6" t="s">
        <v>2001</v>
      </c>
      <c r="G190" s="6">
        <f t="shared" si="19"/>
        <v>35</v>
      </c>
      <c r="H190" s="9">
        <f t="shared" si="20"/>
        <v>0.68181818181818177</v>
      </c>
      <c r="I190" s="6"/>
      <c r="J190" s="6">
        <v>0</v>
      </c>
      <c r="K190" s="9">
        <f t="shared" si="21"/>
        <v>0</v>
      </c>
      <c r="L190" s="6">
        <v>4</v>
      </c>
      <c r="M190" s="6">
        <v>2</v>
      </c>
      <c r="N190" s="6">
        <v>2</v>
      </c>
      <c r="O190" s="6" t="str">
        <f t="shared" si="22"/>
        <v>Correct</v>
      </c>
      <c r="P190" s="6"/>
      <c r="Q190" s="6">
        <v>2</v>
      </c>
      <c r="R190" s="6" t="str">
        <f t="shared" si="23"/>
        <v>Correct</v>
      </c>
      <c r="S190" s="6" t="s">
        <v>3668</v>
      </c>
      <c r="T190" s="14">
        <v>2</v>
      </c>
      <c r="U190" s="6" t="str">
        <f t="shared" si="24"/>
        <v>Correct</v>
      </c>
      <c r="V190" s="15">
        <v>1</v>
      </c>
      <c r="W190" s="15" t="str">
        <f t="shared" si="25"/>
        <v>Overtriaged</v>
      </c>
      <c r="X190" s="14">
        <v>2</v>
      </c>
      <c r="Y190" s="14" t="str">
        <f t="shared" si="26"/>
        <v>Correct</v>
      </c>
      <c r="Z190" s="6">
        <v>189</v>
      </c>
      <c r="AA190" s="6" t="s">
        <v>2002</v>
      </c>
      <c r="AB190" s="6" t="s">
        <v>2003</v>
      </c>
      <c r="AC190" s="6">
        <v>2</v>
      </c>
      <c r="AD190" s="6" t="s">
        <v>120</v>
      </c>
      <c r="AE190" s="6" t="s">
        <v>4038</v>
      </c>
      <c r="AF190" s="6" t="s">
        <v>2004</v>
      </c>
      <c r="AG190" s="6" t="s">
        <v>2005</v>
      </c>
      <c r="AH190" s="6" t="s">
        <v>2006</v>
      </c>
      <c r="AI190" s="6" t="s">
        <v>44</v>
      </c>
      <c r="AJ190" s="6" t="s">
        <v>44</v>
      </c>
      <c r="AK190" s="6" t="s">
        <v>2007</v>
      </c>
      <c r="AL190" s="6" t="s">
        <v>5098</v>
      </c>
      <c r="AM190" s="6" t="s">
        <v>4794</v>
      </c>
      <c r="AN190" s="6" t="s">
        <v>2008</v>
      </c>
      <c r="AO190" s="6" t="s">
        <v>2009</v>
      </c>
      <c r="AP190" s="6" t="s">
        <v>2010</v>
      </c>
      <c r="AQ190" s="21" t="s">
        <v>2000</v>
      </c>
      <c r="AR190" s="6" t="s">
        <v>2000</v>
      </c>
      <c r="AS190" s="6" t="s">
        <v>2011</v>
      </c>
      <c r="AT190" s="14">
        <v>2</v>
      </c>
      <c r="AU190" s="14">
        <v>2</v>
      </c>
      <c r="AV190" s="14">
        <v>2</v>
      </c>
      <c r="AW190" s="14">
        <v>2</v>
      </c>
      <c r="AX190" s="14">
        <v>2</v>
      </c>
      <c r="AY190" s="14">
        <v>2</v>
      </c>
      <c r="AZ190" s="14">
        <v>2</v>
      </c>
      <c r="BA190" s="2"/>
    </row>
    <row r="191" spans="1:53" ht="44" customHeight="1" x14ac:dyDescent="0.2">
      <c r="A191" s="6">
        <v>55432071</v>
      </c>
      <c r="B191" s="6"/>
      <c r="C191" s="7" t="s">
        <v>35</v>
      </c>
      <c r="D191" s="6" t="s">
        <v>2012</v>
      </c>
      <c r="E191" s="6">
        <f t="shared" si="18"/>
        <v>138</v>
      </c>
      <c r="F191" s="6" t="s">
        <v>2013</v>
      </c>
      <c r="G191" s="6">
        <f t="shared" si="19"/>
        <v>35</v>
      </c>
      <c r="H191" s="9">
        <f t="shared" si="20"/>
        <v>0.74637681159420288</v>
      </c>
      <c r="I191" s="6" t="s">
        <v>5252</v>
      </c>
      <c r="J191" s="6">
        <v>5</v>
      </c>
      <c r="K191" s="9">
        <f t="shared" si="21"/>
        <v>3.6231884057971016E-2</v>
      </c>
      <c r="L191" s="6">
        <v>1</v>
      </c>
      <c r="M191" s="6">
        <v>2</v>
      </c>
      <c r="N191" s="6">
        <v>2</v>
      </c>
      <c r="O191" s="6" t="str">
        <f t="shared" si="22"/>
        <v>Correct</v>
      </c>
      <c r="P191" s="6"/>
      <c r="Q191" s="6">
        <v>2</v>
      </c>
      <c r="R191" s="6" t="str">
        <f t="shared" si="23"/>
        <v>Correct</v>
      </c>
      <c r="S191" s="6" t="s">
        <v>3669</v>
      </c>
      <c r="T191" s="14">
        <v>2</v>
      </c>
      <c r="U191" s="6" t="str">
        <f t="shared" si="24"/>
        <v>Correct</v>
      </c>
      <c r="V191" s="15">
        <v>2</v>
      </c>
      <c r="W191" s="15" t="str">
        <f t="shared" si="25"/>
        <v>Correct</v>
      </c>
      <c r="X191" s="14">
        <v>2</v>
      </c>
      <c r="Y191" s="14" t="str">
        <f t="shared" si="26"/>
        <v>Correct</v>
      </c>
      <c r="Z191" s="6">
        <v>190</v>
      </c>
      <c r="AA191" s="6" t="s">
        <v>125</v>
      </c>
      <c r="AB191" s="6" t="s">
        <v>2014</v>
      </c>
      <c r="AC191" s="6">
        <v>1</v>
      </c>
      <c r="AD191" s="6" t="s">
        <v>40</v>
      </c>
      <c r="AE191" s="6" t="s">
        <v>2015</v>
      </c>
      <c r="AF191" s="6" t="s">
        <v>2016</v>
      </c>
      <c r="AG191" s="6" t="s">
        <v>2017</v>
      </c>
      <c r="AH191" s="6" t="s">
        <v>44</v>
      </c>
      <c r="AI191" s="6" t="s">
        <v>3428</v>
      </c>
      <c r="AJ191" s="6" t="s">
        <v>2018</v>
      </c>
      <c r="AK191" s="6" t="s">
        <v>4039</v>
      </c>
      <c r="AL191" s="6" t="s">
        <v>3476</v>
      </c>
      <c r="AM191" s="6" t="s">
        <v>4795</v>
      </c>
      <c r="AN191" s="6" t="s">
        <v>2019</v>
      </c>
      <c r="AO191" s="6" t="s">
        <v>2020</v>
      </c>
      <c r="AP191" s="6" t="s">
        <v>2012</v>
      </c>
      <c r="AQ191" s="21" t="s">
        <v>4490</v>
      </c>
      <c r="AR191" s="6" t="s">
        <v>2021</v>
      </c>
      <c r="AS191" s="6" t="s">
        <v>4796</v>
      </c>
      <c r="AT191" s="14">
        <v>2</v>
      </c>
      <c r="AU191" s="14">
        <v>2</v>
      </c>
      <c r="AV191" s="14">
        <v>2</v>
      </c>
      <c r="AW191" s="14">
        <v>2</v>
      </c>
      <c r="AX191" s="14">
        <v>2</v>
      </c>
      <c r="AY191" s="14">
        <v>2</v>
      </c>
      <c r="AZ191" s="14">
        <v>2</v>
      </c>
      <c r="BA191" s="2"/>
    </row>
    <row r="192" spans="1:53" ht="44" customHeight="1" x14ac:dyDescent="0.2">
      <c r="A192" s="6">
        <v>55475041</v>
      </c>
      <c r="B192" s="6"/>
      <c r="C192" s="7" t="s">
        <v>35</v>
      </c>
      <c r="D192" s="6" t="s">
        <v>2022</v>
      </c>
      <c r="E192" s="6">
        <f t="shared" si="18"/>
        <v>69</v>
      </c>
      <c r="F192" s="6" t="s">
        <v>2023</v>
      </c>
      <c r="G192" s="6">
        <f t="shared" si="19"/>
        <v>36</v>
      </c>
      <c r="H192" s="9">
        <f t="shared" si="20"/>
        <v>0.47826086956521741</v>
      </c>
      <c r="I192" s="6" t="s">
        <v>5253</v>
      </c>
      <c r="J192" s="6">
        <v>3</v>
      </c>
      <c r="K192" s="9">
        <f t="shared" si="21"/>
        <v>4.3478260869565216E-2</v>
      </c>
      <c r="L192" s="6">
        <v>10</v>
      </c>
      <c r="M192" s="6">
        <v>2</v>
      </c>
      <c r="N192" s="6">
        <v>1</v>
      </c>
      <c r="O192" s="6" t="str">
        <f t="shared" si="22"/>
        <v>Overtriaged</v>
      </c>
      <c r="P192" s="6"/>
      <c r="Q192" s="6">
        <v>2</v>
      </c>
      <c r="R192" s="6" t="str">
        <f t="shared" si="23"/>
        <v>Correct</v>
      </c>
      <c r="S192" s="6" t="s">
        <v>3804</v>
      </c>
      <c r="T192" s="14">
        <v>2</v>
      </c>
      <c r="U192" s="6" t="str">
        <f t="shared" si="24"/>
        <v>Correct</v>
      </c>
      <c r="V192" s="15">
        <v>2</v>
      </c>
      <c r="W192" s="15" t="str">
        <f t="shared" si="25"/>
        <v>Correct</v>
      </c>
      <c r="X192" s="14">
        <v>2</v>
      </c>
      <c r="Y192" s="14" t="str">
        <f t="shared" si="26"/>
        <v>Correct</v>
      </c>
      <c r="Z192" s="6">
        <v>191</v>
      </c>
      <c r="AA192" s="6" t="s">
        <v>2024</v>
      </c>
      <c r="AB192" s="6" t="s">
        <v>2025</v>
      </c>
      <c r="AC192" s="6">
        <v>1</v>
      </c>
      <c r="AD192" s="6" t="s">
        <v>40</v>
      </c>
      <c r="AE192" s="6" t="s">
        <v>354</v>
      </c>
      <c r="AF192" s="6" t="s">
        <v>2026</v>
      </c>
      <c r="AG192" s="6" t="s">
        <v>255</v>
      </c>
      <c r="AH192" s="6" t="s">
        <v>44</v>
      </c>
      <c r="AI192" s="6" t="s">
        <v>3429</v>
      </c>
      <c r="AJ192" s="6" t="s">
        <v>44</v>
      </c>
      <c r="AK192" s="6" t="s">
        <v>2027</v>
      </c>
      <c r="AL192" s="6" t="s">
        <v>5099</v>
      </c>
      <c r="AM192" s="6" t="s">
        <v>2028</v>
      </c>
      <c r="AN192" s="6" t="s">
        <v>2029</v>
      </c>
      <c r="AO192" s="6" t="s">
        <v>2030</v>
      </c>
      <c r="AP192" s="6" t="s">
        <v>2022</v>
      </c>
      <c r="AQ192" s="21" t="s">
        <v>4491</v>
      </c>
      <c r="AR192" s="6" t="s">
        <v>2022</v>
      </c>
      <c r="AS192" s="6" t="s">
        <v>2031</v>
      </c>
      <c r="AT192" s="14">
        <v>2</v>
      </c>
      <c r="AU192" s="14">
        <v>2</v>
      </c>
      <c r="AV192" s="14">
        <v>1</v>
      </c>
      <c r="AW192" s="14">
        <v>2</v>
      </c>
      <c r="AX192" s="14">
        <v>2</v>
      </c>
      <c r="AY192" s="14">
        <v>2</v>
      </c>
      <c r="AZ192" s="14">
        <v>2</v>
      </c>
      <c r="BA192" s="2"/>
    </row>
    <row r="193" spans="1:53" ht="44" customHeight="1" x14ac:dyDescent="0.2">
      <c r="A193" s="6">
        <v>55649984</v>
      </c>
      <c r="B193" s="6"/>
      <c r="C193" s="7" t="s">
        <v>35</v>
      </c>
      <c r="D193" s="6" t="s">
        <v>2032</v>
      </c>
      <c r="E193" s="6">
        <f t="shared" si="18"/>
        <v>193</v>
      </c>
      <c r="F193" s="6" t="s">
        <v>2034</v>
      </c>
      <c r="G193" s="6">
        <f t="shared" si="19"/>
        <v>59</v>
      </c>
      <c r="H193" s="9">
        <f t="shared" si="20"/>
        <v>0.69430051813471505</v>
      </c>
      <c r="I193" s="6" t="s">
        <v>5254</v>
      </c>
      <c r="J193" s="6">
        <v>3</v>
      </c>
      <c r="K193" s="9">
        <f t="shared" si="21"/>
        <v>1.5544041450777202E-2</v>
      </c>
      <c r="L193" s="6">
        <v>1</v>
      </c>
      <c r="M193" s="6">
        <v>2</v>
      </c>
      <c r="N193" s="6">
        <v>2</v>
      </c>
      <c r="O193" s="6" t="str">
        <f t="shared" si="22"/>
        <v>Correct</v>
      </c>
      <c r="P193" s="6"/>
      <c r="Q193" s="6">
        <v>2</v>
      </c>
      <c r="R193" s="6" t="str">
        <f t="shared" si="23"/>
        <v>Correct</v>
      </c>
      <c r="S193" s="6" t="s">
        <v>2033</v>
      </c>
      <c r="T193" s="14">
        <v>2</v>
      </c>
      <c r="U193" s="6" t="str">
        <f t="shared" si="24"/>
        <v>Correct</v>
      </c>
      <c r="V193" s="15">
        <v>1</v>
      </c>
      <c r="W193" s="15" t="str">
        <f t="shared" si="25"/>
        <v>Overtriaged</v>
      </c>
      <c r="X193" s="14">
        <v>2</v>
      </c>
      <c r="Y193" s="14" t="str">
        <f t="shared" si="26"/>
        <v>Correct</v>
      </c>
      <c r="Z193" s="6">
        <v>192</v>
      </c>
      <c r="AA193" s="6" t="s">
        <v>2035</v>
      </c>
      <c r="AB193" s="6" t="s">
        <v>2036</v>
      </c>
      <c r="AC193" s="6">
        <v>3</v>
      </c>
      <c r="AD193" s="6" t="s">
        <v>120</v>
      </c>
      <c r="AE193" s="6" t="s">
        <v>2037</v>
      </c>
      <c r="AF193" s="6" t="s">
        <v>2038</v>
      </c>
      <c r="AG193" s="6" t="s">
        <v>2039</v>
      </c>
      <c r="AH193" s="6" t="s">
        <v>44</v>
      </c>
      <c r="AI193" s="6" t="s">
        <v>44</v>
      </c>
      <c r="AJ193" s="6" t="s">
        <v>2045</v>
      </c>
      <c r="AK193" s="6" t="s">
        <v>4040</v>
      </c>
      <c r="AL193" s="6" t="s">
        <v>3476</v>
      </c>
      <c r="AM193" s="6" t="s">
        <v>2040</v>
      </c>
      <c r="AN193" s="6" t="s">
        <v>2041</v>
      </c>
      <c r="AO193" s="6" t="s">
        <v>2042</v>
      </c>
      <c r="AP193" s="6" t="s">
        <v>2032</v>
      </c>
      <c r="AQ193" s="21" t="s">
        <v>2032</v>
      </c>
      <c r="AR193" s="6" t="s">
        <v>2047</v>
      </c>
      <c r="AS193" s="6" t="s">
        <v>4797</v>
      </c>
      <c r="AT193" s="14">
        <v>2</v>
      </c>
      <c r="AU193" s="14">
        <v>2</v>
      </c>
      <c r="AV193" s="14">
        <v>2</v>
      </c>
      <c r="AW193" s="14">
        <v>2</v>
      </c>
      <c r="AX193" s="14">
        <v>2</v>
      </c>
      <c r="AY193" s="14">
        <v>2</v>
      </c>
      <c r="AZ193" s="14">
        <v>2</v>
      </c>
      <c r="BA193" s="2"/>
    </row>
    <row r="194" spans="1:53" ht="44" customHeight="1" x14ac:dyDescent="0.2">
      <c r="A194" s="6">
        <v>55648707</v>
      </c>
      <c r="B194" s="6"/>
      <c r="C194" s="7" t="s">
        <v>35</v>
      </c>
      <c r="D194" s="6" t="s">
        <v>2032</v>
      </c>
      <c r="E194" s="6">
        <f t="shared" ref="E194:E257" si="27">IF(LEN(TRIM(D194))=0, 0, LEN(TRIM(D194)) - LEN(SUBSTITUTE(D194, " ", "")) + 1)</f>
        <v>193</v>
      </c>
      <c r="F194" s="6" t="s">
        <v>2034</v>
      </c>
      <c r="G194" s="6">
        <f t="shared" ref="G194:G257" si="28">IF(LEN(TRIM(F194))=0, 0, LEN(TRIM(F194)) - LEN(SUBSTITUTE(F194, " ", "")) + 1)</f>
        <v>59</v>
      </c>
      <c r="H194" s="9">
        <f t="shared" ref="H194:H257" si="29">((E194-G194)/E194)</f>
        <v>0.69430051813471505</v>
      </c>
      <c r="I194" s="6" t="s">
        <v>5254</v>
      </c>
      <c r="J194" s="6">
        <v>3</v>
      </c>
      <c r="K194" s="9">
        <f t="shared" ref="K194:K257" si="30">J194/E194</f>
        <v>1.5544041450777202E-2</v>
      </c>
      <c r="L194" s="6">
        <v>1</v>
      </c>
      <c r="M194" s="6">
        <v>2</v>
      </c>
      <c r="N194" s="6">
        <v>2</v>
      </c>
      <c r="O194" s="6" t="str">
        <f t="shared" ref="O194:O257" si="31">IF(N194=M194, "Correct", IF(N194=1, "Overtriaged", "Undertriaged"))</f>
        <v>Correct</v>
      </c>
      <c r="P194" s="6"/>
      <c r="Q194" s="6">
        <v>2</v>
      </c>
      <c r="R194" s="6" t="str">
        <f t="shared" ref="R194:R257" si="32">IF(Q194=M194, "Correct", IF(Q194=1, "Overtriaged", "Undertriaged"))</f>
        <v>Correct</v>
      </c>
      <c r="S194" s="6" t="s">
        <v>2033</v>
      </c>
      <c r="T194" s="14">
        <v>2</v>
      </c>
      <c r="U194" s="6" t="str">
        <f t="shared" ref="U194:U257" si="33">IF(T194=M194, "Correct", IF(T194=1, "Overtriaged", "Undertriaged"))</f>
        <v>Correct</v>
      </c>
      <c r="V194" s="15">
        <v>2</v>
      </c>
      <c r="W194" s="15" t="str">
        <f t="shared" ref="W194:W257" si="34">IF(V194=M194, "Correct", IF(V194=1, "Overtriaged", "Undertriaged"))</f>
        <v>Correct</v>
      </c>
      <c r="X194" s="14">
        <v>2</v>
      </c>
      <c r="Y194" s="14" t="str">
        <f t="shared" si="26"/>
        <v>Correct</v>
      </c>
      <c r="Z194" s="6">
        <v>193</v>
      </c>
      <c r="AA194" s="6" t="s">
        <v>2043</v>
      </c>
      <c r="AB194" s="6" t="s">
        <v>2044</v>
      </c>
      <c r="AC194" s="6">
        <v>3</v>
      </c>
      <c r="AD194" s="6" t="s">
        <v>120</v>
      </c>
      <c r="AE194" s="6" t="s">
        <v>4041</v>
      </c>
      <c r="AF194" s="6" t="s">
        <v>2038</v>
      </c>
      <c r="AG194" s="6" t="s">
        <v>2039</v>
      </c>
      <c r="AH194" s="6" t="s">
        <v>44</v>
      </c>
      <c r="AI194" s="6" t="s">
        <v>44</v>
      </c>
      <c r="AJ194" s="6" t="s">
        <v>2045</v>
      </c>
      <c r="AK194" s="6" t="s">
        <v>2046</v>
      </c>
      <c r="AL194" s="6" t="s">
        <v>3476</v>
      </c>
      <c r="AM194" s="6" t="s">
        <v>4798</v>
      </c>
      <c r="AN194" s="6" t="s">
        <v>2041</v>
      </c>
      <c r="AO194" s="6" t="s">
        <v>2042</v>
      </c>
      <c r="AP194" s="6" t="s">
        <v>2032</v>
      </c>
      <c r="AQ194" s="21" t="s">
        <v>2032</v>
      </c>
      <c r="AR194" s="6" t="s">
        <v>2047</v>
      </c>
      <c r="AS194" s="6" t="s">
        <v>2048</v>
      </c>
      <c r="AT194" s="14">
        <v>2</v>
      </c>
      <c r="AU194" s="14">
        <v>2</v>
      </c>
      <c r="AV194" s="14">
        <v>2</v>
      </c>
      <c r="AW194" s="14">
        <v>2</v>
      </c>
      <c r="AX194" s="14">
        <v>2</v>
      </c>
      <c r="AY194" s="14">
        <v>2</v>
      </c>
      <c r="AZ194" s="14">
        <v>2</v>
      </c>
      <c r="BA194" s="2"/>
    </row>
    <row r="195" spans="1:53" ht="44" customHeight="1" x14ac:dyDescent="0.2">
      <c r="A195" s="6">
        <v>55659284</v>
      </c>
      <c r="B195" s="6"/>
      <c r="C195" s="7" t="s">
        <v>35</v>
      </c>
      <c r="D195" s="6" t="s">
        <v>2049</v>
      </c>
      <c r="E195" s="6">
        <f t="shared" si="27"/>
        <v>203</v>
      </c>
      <c r="F195" s="6" t="s">
        <v>2050</v>
      </c>
      <c r="G195" s="6">
        <f t="shared" si="28"/>
        <v>31</v>
      </c>
      <c r="H195" s="9">
        <f t="shared" si="29"/>
        <v>0.84729064039408863</v>
      </c>
      <c r="I195" s="6" t="s">
        <v>5255</v>
      </c>
      <c r="J195" s="6">
        <v>5</v>
      </c>
      <c r="K195" s="9">
        <f t="shared" si="30"/>
        <v>2.4630541871921183E-2</v>
      </c>
      <c r="L195" s="6">
        <v>5</v>
      </c>
      <c r="M195" s="6">
        <v>2</v>
      </c>
      <c r="N195" s="6">
        <v>2</v>
      </c>
      <c r="O195" s="6" t="str">
        <f t="shared" si="31"/>
        <v>Correct</v>
      </c>
      <c r="P195" s="6"/>
      <c r="Q195" s="6">
        <v>2</v>
      </c>
      <c r="R195" s="6" t="str">
        <f t="shared" si="32"/>
        <v>Correct</v>
      </c>
      <c r="S195" s="6" t="s">
        <v>3670</v>
      </c>
      <c r="T195" s="14">
        <v>2</v>
      </c>
      <c r="U195" s="6" t="str">
        <f t="shared" si="33"/>
        <v>Correct</v>
      </c>
      <c r="V195" s="15">
        <v>2</v>
      </c>
      <c r="W195" s="15" t="str">
        <f t="shared" si="34"/>
        <v>Correct</v>
      </c>
      <c r="X195" s="14">
        <v>2</v>
      </c>
      <c r="Y195" s="14" t="str">
        <f t="shared" ref="Y195:Y258" si="35">IF(X195=M195, "Correct", IF(X195=1, "Overtriaged", "Undertriaged"))</f>
        <v>Correct</v>
      </c>
      <c r="Z195" s="6">
        <v>194</v>
      </c>
      <c r="AA195" s="6" t="s">
        <v>675</v>
      </c>
      <c r="AB195" s="6" t="s">
        <v>2051</v>
      </c>
      <c r="AC195" s="6">
        <v>1</v>
      </c>
      <c r="AD195" s="6" t="s">
        <v>40</v>
      </c>
      <c r="AE195" s="6" t="s">
        <v>231</v>
      </c>
      <c r="AF195" s="6" t="s">
        <v>2052</v>
      </c>
      <c r="AG195" s="6" t="s">
        <v>2053</v>
      </c>
      <c r="AH195" s="6" t="s">
        <v>2054</v>
      </c>
      <c r="AI195" s="6" t="s">
        <v>2055</v>
      </c>
      <c r="AJ195" s="6" t="s">
        <v>4042</v>
      </c>
      <c r="AK195" s="6" t="s">
        <v>4043</v>
      </c>
      <c r="AL195" s="6" t="s">
        <v>3477</v>
      </c>
      <c r="AM195" s="6" t="s">
        <v>2056</v>
      </c>
      <c r="AN195" s="6" t="s">
        <v>2057</v>
      </c>
      <c r="AO195" s="6" t="s">
        <v>2058</v>
      </c>
      <c r="AP195" s="6" t="s">
        <v>2059</v>
      </c>
      <c r="AQ195" s="21" t="s">
        <v>2060</v>
      </c>
      <c r="AR195" s="6" t="s">
        <v>4799</v>
      </c>
      <c r="AS195" s="6" t="s">
        <v>4800</v>
      </c>
      <c r="AT195" s="14">
        <v>2</v>
      </c>
      <c r="AU195" s="14">
        <v>2</v>
      </c>
      <c r="AV195" s="14">
        <v>2</v>
      </c>
      <c r="AW195" s="14">
        <v>2</v>
      </c>
      <c r="AX195" s="14">
        <v>2</v>
      </c>
      <c r="AY195" s="14">
        <v>2</v>
      </c>
      <c r="AZ195" s="14">
        <v>2</v>
      </c>
      <c r="BA195" s="2"/>
    </row>
    <row r="196" spans="1:53" ht="44" customHeight="1" x14ac:dyDescent="0.2">
      <c r="A196" s="6">
        <v>55797310</v>
      </c>
      <c r="B196" s="6"/>
      <c r="C196" s="7" t="s">
        <v>35</v>
      </c>
      <c r="D196" s="6" t="s">
        <v>2061</v>
      </c>
      <c r="E196" s="6">
        <f t="shared" si="27"/>
        <v>126</v>
      </c>
      <c r="F196" s="6" t="s">
        <v>2062</v>
      </c>
      <c r="G196" s="6">
        <f t="shared" si="28"/>
        <v>15</v>
      </c>
      <c r="H196" s="9">
        <f t="shared" si="29"/>
        <v>0.88095238095238093</v>
      </c>
      <c r="I196" s="6" t="s">
        <v>5256</v>
      </c>
      <c r="J196" s="6">
        <v>3</v>
      </c>
      <c r="K196" s="9">
        <f t="shared" si="30"/>
        <v>2.3809523809523808E-2</v>
      </c>
      <c r="L196" s="6">
        <v>9</v>
      </c>
      <c r="M196" s="6">
        <v>2</v>
      </c>
      <c r="N196" s="6">
        <v>2</v>
      </c>
      <c r="O196" s="6" t="str">
        <f t="shared" si="31"/>
        <v>Correct</v>
      </c>
      <c r="P196" s="6"/>
      <c r="Q196" s="6">
        <v>1</v>
      </c>
      <c r="R196" s="6" t="str">
        <f t="shared" si="32"/>
        <v>Overtriaged</v>
      </c>
      <c r="S196" s="6" t="s">
        <v>3805</v>
      </c>
      <c r="T196" s="14">
        <v>2</v>
      </c>
      <c r="U196" s="6" t="str">
        <f t="shared" si="33"/>
        <v>Correct</v>
      </c>
      <c r="V196" s="15">
        <v>2</v>
      </c>
      <c r="W196" s="15" t="str">
        <f t="shared" si="34"/>
        <v>Correct</v>
      </c>
      <c r="X196" s="14">
        <v>1</v>
      </c>
      <c r="Y196" s="14" t="str">
        <f t="shared" si="35"/>
        <v>Overtriaged</v>
      </c>
      <c r="Z196" s="6">
        <v>195</v>
      </c>
      <c r="AA196" s="6" t="s">
        <v>2063</v>
      </c>
      <c r="AB196" s="6" t="s">
        <v>2064</v>
      </c>
      <c r="AC196" s="6">
        <v>1</v>
      </c>
      <c r="AD196" s="6" t="s">
        <v>40</v>
      </c>
      <c r="AE196" s="6" t="s">
        <v>2065</v>
      </c>
      <c r="AF196" s="6" t="s">
        <v>2066</v>
      </c>
      <c r="AG196" s="6" t="s">
        <v>2067</v>
      </c>
      <c r="AH196" s="6" t="s">
        <v>44</v>
      </c>
      <c r="AI196" s="6" t="s">
        <v>2068</v>
      </c>
      <c r="AJ196" s="6" t="s">
        <v>4044</v>
      </c>
      <c r="AK196" s="6" t="s">
        <v>2069</v>
      </c>
      <c r="AL196" s="6" t="s">
        <v>3476</v>
      </c>
      <c r="AM196" s="6" t="s">
        <v>2070</v>
      </c>
      <c r="AN196" s="6" t="s">
        <v>2071</v>
      </c>
      <c r="AO196" s="6" t="s">
        <v>2072</v>
      </c>
      <c r="AP196" s="6" t="s">
        <v>2061</v>
      </c>
      <c r="AQ196" s="21" t="s">
        <v>2073</v>
      </c>
      <c r="AR196" s="6" t="s">
        <v>4801</v>
      </c>
      <c r="AS196" s="6" t="s">
        <v>2074</v>
      </c>
      <c r="AT196" s="14">
        <v>1</v>
      </c>
      <c r="AU196" s="14">
        <v>1</v>
      </c>
      <c r="AV196" s="14">
        <v>2</v>
      </c>
      <c r="AW196" s="14">
        <v>1</v>
      </c>
      <c r="AX196" s="14">
        <v>1</v>
      </c>
      <c r="AY196" s="14">
        <v>2</v>
      </c>
      <c r="AZ196" s="14">
        <v>1</v>
      </c>
      <c r="BA196" s="2"/>
    </row>
    <row r="197" spans="1:53" ht="44" customHeight="1" x14ac:dyDescent="0.2">
      <c r="A197" s="6">
        <v>55867704</v>
      </c>
      <c r="B197" s="6"/>
      <c r="C197" s="7" t="s">
        <v>35</v>
      </c>
      <c r="D197" s="6" t="s">
        <v>2075</v>
      </c>
      <c r="E197" s="6">
        <f t="shared" si="27"/>
        <v>255</v>
      </c>
      <c r="F197" s="6" t="s">
        <v>2076</v>
      </c>
      <c r="G197" s="6">
        <f t="shared" si="28"/>
        <v>43</v>
      </c>
      <c r="H197" s="9">
        <f t="shared" si="29"/>
        <v>0.83137254901960789</v>
      </c>
      <c r="I197" s="6" t="s">
        <v>5257</v>
      </c>
      <c r="J197" s="6">
        <v>4</v>
      </c>
      <c r="K197" s="9">
        <f t="shared" si="30"/>
        <v>1.5686274509803921E-2</v>
      </c>
      <c r="L197" s="6">
        <v>1</v>
      </c>
      <c r="M197" s="6">
        <v>2</v>
      </c>
      <c r="N197" s="6">
        <v>2</v>
      </c>
      <c r="O197" s="6" t="str">
        <f t="shared" si="31"/>
        <v>Correct</v>
      </c>
      <c r="P197" s="6"/>
      <c r="Q197" s="6">
        <v>2</v>
      </c>
      <c r="R197" s="6" t="str">
        <f t="shared" si="32"/>
        <v>Correct</v>
      </c>
      <c r="S197" s="6" t="s">
        <v>3671</v>
      </c>
      <c r="T197" s="14">
        <v>2</v>
      </c>
      <c r="U197" s="6" t="str">
        <f t="shared" si="33"/>
        <v>Correct</v>
      </c>
      <c r="V197" s="15">
        <v>2</v>
      </c>
      <c r="W197" s="15" t="str">
        <f t="shared" si="34"/>
        <v>Correct</v>
      </c>
      <c r="X197" s="14">
        <v>2</v>
      </c>
      <c r="Y197" s="14" t="str">
        <f t="shared" si="35"/>
        <v>Correct</v>
      </c>
      <c r="Z197" s="6">
        <v>196</v>
      </c>
      <c r="AA197" s="6" t="s">
        <v>2077</v>
      </c>
      <c r="AB197" s="6" t="s">
        <v>2078</v>
      </c>
      <c r="AC197" s="6">
        <v>1</v>
      </c>
      <c r="AD197" s="6" t="s">
        <v>40</v>
      </c>
      <c r="AE197" s="6" t="s">
        <v>1486</v>
      </c>
      <c r="AF197" s="6" t="s">
        <v>2079</v>
      </c>
      <c r="AG197" s="6" t="s">
        <v>2080</v>
      </c>
      <c r="AH197" s="6" t="s">
        <v>44</v>
      </c>
      <c r="AI197" s="6" t="s">
        <v>3379</v>
      </c>
      <c r="AJ197" s="6" t="s">
        <v>2081</v>
      </c>
      <c r="AK197" s="6" t="s">
        <v>4045</v>
      </c>
      <c r="AL197" s="6" t="s">
        <v>3476</v>
      </c>
      <c r="AM197" s="6" t="s">
        <v>2082</v>
      </c>
      <c r="AN197" s="6" t="s">
        <v>2083</v>
      </c>
      <c r="AO197" s="6" t="s">
        <v>2084</v>
      </c>
      <c r="AP197" s="6" t="s">
        <v>2075</v>
      </c>
      <c r="AQ197" s="21" t="s">
        <v>4492</v>
      </c>
      <c r="AR197" s="6" t="s">
        <v>2085</v>
      </c>
      <c r="AS197" s="6" t="s">
        <v>4802</v>
      </c>
      <c r="AT197" s="14">
        <v>2</v>
      </c>
      <c r="AU197" s="14">
        <v>2</v>
      </c>
      <c r="AV197" s="14">
        <v>2</v>
      </c>
      <c r="AW197" s="14">
        <v>2</v>
      </c>
      <c r="AX197" s="14">
        <v>2</v>
      </c>
      <c r="AY197" s="14">
        <v>2</v>
      </c>
      <c r="AZ197" s="14">
        <v>2</v>
      </c>
      <c r="BA197" s="2"/>
    </row>
    <row r="198" spans="1:53" ht="44" customHeight="1" x14ac:dyDescent="0.2">
      <c r="A198" s="6">
        <v>55904451</v>
      </c>
      <c r="B198" s="6"/>
      <c r="C198" s="7" t="s">
        <v>35</v>
      </c>
      <c r="D198" s="6" t="s">
        <v>2086</v>
      </c>
      <c r="E198" s="6">
        <f t="shared" si="27"/>
        <v>44</v>
      </c>
      <c r="F198" s="6" t="s">
        <v>2088</v>
      </c>
      <c r="G198" s="6">
        <f t="shared" si="28"/>
        <v>7</v>
      </c>
      <c r="H198" s="9">
        <f t="shared" si="29"/>
        <v>0.84090909090909094</v>
      </c>
      <c r="I198" s="6" t="s">
        <v>5258</v>
      </c>
      <c r="J198" s="6">
        <v>1</v>
      </c>
      <c r="K198" s="9">
        <f t="shared" si="30"/>
        <v>2.2727272727272728E-2</v>
      </c>
      <c r="L198" s="6">
        <v>4</v>
      </c>
      <c r="M198" s="6">
        <v>2</v>
      </c>
      <c r="N198" s="6">
        <v>2</v>
      </c>
      <c r="O198" s="6" t="str">
        <f t="shared" si="31"/>
        <v>Correct</v>
      </c>
      <c r="P198" s="6"/>
      <c r="Q198" s="6">
        <v>2</v>
      </c>
      <c r="R198" s="6" t="str">
        <f t="shared" si="32"/>
        <v>Correct</v>
      </c>
      <c r="S198" s="6" t="s">
        <v>2087</v>
      </c>
      <c r="T198" s="14">
        <v>2</v>
      </c>
      <c r="U198" s="6" t="str">
        <f t="shared" si="33"/>
        <v>Correct</v>
      </c>
      <c r="V198" s="15">
        <v>1</v>
      </c>
      <c r="W198" s="15" t="str">
        <f t="shared" si="34"/>
        <v>Overtriaged</v>
      </c>
      <c r="X198" s="14">
        <v>2</v>
      </c>
      <c r="Y198" s="14" t="str">
        <f t="shared" si="35"/>
        <v>Correct</v>
      </c>
      <c r="Z198" s="6">
        <v>197</v>
      </c>
      <c r="AA198" s="6" t="s">
        <v>2089</v>
      </c>
      <c r="AB198" s="6" t="s">
        <v>2090</v>
      </c>
      <c r="AC198" s="6">
        <v>1</v>
      </c>
      <c r="AD198" s="6" t="s">
        <v>40</v>
      </c>
      <c r="AE198" s="6" t="s">
        <v>2091</v>
      </c>
      <c r="AF198" s="6" t="s">
        <v>44</v>
      </c>
      <c r="AG198" s="6" t="s">
        <v>44</v>
      </c>
      <c r="AH198" s="6" t="s">
        <v>44</v>
      </c>
      <c r="AI198" s="6" t="s">
        <v>44</v>
      </c>
      <c r="AJ198" s="6" t="s">
        <v>44</v>
      </c>
      <c r="AK198" s="6" t="s">
        <v>2092</v>
      </c>
      <c r="AL198" s="6" t="s">
        <v>5100</v>
      </c>
      <c r="AM198" s="6" t="s">
        <v>2093</v>
      </c>
      <c r="AN198" s="6" t="s">
        <v>2086</v>
      </c>
      <c r="AO198" s="6" t="s">
        <v>2086</v>
      </c>
      <c r="AP198" s="6" t="s">
        <v>2086</v>
      </c>
      <c r="AQ198" s="21" t="s">
        <v>2086</v>
      </c>
      <c r="AR198" s="6" t="s">
        <v>2086</v>
      </c>
      <c r="AS198" s="6" t="s">
        <v>2094</v>
      </c>
      <c r="AT198" s="14">
        <v>2</v>
      </c>
      <c r="AU198" s="14">
        <v>2</v>
      </c>
      <c r="AV198" s="14">
        <v>2</v>
      </c>
      <c r="AW198" s="14">
        <v>2</v>
      </c>
      <c r="AX198" s="14">
        <v>2</v>
      </c>
      <c r="AY198" s="14">
        <v>2</v>
      </c>
      <c r="AZ198" s="14">
        <v>2</v>
      </c>
      <c r="BA198" s="2"/>
    </row>
    <row r="199" spans="1:53" ht="44" customHeight="1" x14ac:dyDescent="0.2">
      <c r="A199" s="6">
        <v>56033231</v>
      </c>
      <c r="B199" s="6"/>
      <c r="C199" s="7" t="s">
        <v>35</v>
      </c>
      <c r="D199" s="6" t="s">
        <v>2095</v>
      </c>
      <c r="E199" s="6">
        <f t="shared" si="27"/>
        <v>137</v>
      </c>
      <c r="F199" s="6" t="s">
        <v>2096</v>
      </c>
      <c r="G199" s="6">
        <f t="shared" si="28"/>
        <v>34</v>
      </c>
      <c r="H199" s="9">
        <f t="shared" si="29"/>
        <v>0.75182481751824815</v>
      </c>
      <c r="I199" s="6"/>
      <c r="J199" s="6">
        <v>0</v>
      </c>
      <c r="K199" s="9">
        <f t="shared" si="30"/>
        <v>0</v>
      </c>
      <c r="L199" s="6">
        <v>1</v>
      </c>
      <c r="M199" s="6">
        <v>2</v>
      </c>
      <c r="N199" s="6">
        <v>1</v>
      </c>
      <c r="O199" s="6" t="str">
        <f t="shared" si="31"/>
        <v>Overtriaged</v>
      </c>
      <c r="P199" s="6"/>
      <c r="Q199" s="6">
        <v>2</v>
      </c>
      <c r="R199" s="6" t="str">
        <f t="shared" si="32"/>
        <v>Correct</v>
      </c>
      <c r="S199" s="6" t="s">
        <v>3672</v>
      </c>
      <c r="T199" s="14">
        <v>2</v>
      </c>
      <c r="U199" s="6" t="str">
        <f t="shared" si="33"/>
        <v>Correct</v>
      </c>
      <c r="V199" s="15">
        <v>2</v>
      </c>
      <c r="W199" s="15" t="str">
        <f t="shared" si="34"/>
        <v>Correct</v>
      </c>
      <c r="X199" s="14">
        <v>2</v>
      </c>
      <c r="Y199" s="14" t="str">
        <f t="shared" si="35"/>
        <v>Correct</v>
      </c>
      <c r="Z199" s="6">
        <v>198</v>
      </c>
      <c r="AA199" s="6" t="s">
        <v>38</v>
      </c>
      <c r="AB199" s="6" t="s">
        <v>2097</v>
      </c>
      <c r="AC199" s="6">
        <v>1</v>
      </c>
      <c r="AD199" s="6" t="s">
        <v>40</v>
      </c>
      <c r="AE199" s="6" t="s">
        <v>2098</v>
      </c>
      <c r="AF199" s="6" t="s">
        <v>2099</v>
      </c>
      <c r="AG199" s="6" t="s">
        <v>2100</v>
      </c>
      <c r="AH199" s="6" t="s">
        <v>44</v>
      </c>
      <c r="AI199" s="6" t="s">
        <v>2101</v>
      </c>
      <c r="AJ199" s="6" t="s">
        <v>2101</v>
      </c>
      <c r="AK199" s="6" t="s">
        <v>4046</v>
      </c>
      <c r="AL199" s="6" t="s">
        <v>3476</v>
      </c>
      <c r="AM199" s="6" t="s">
        <v>2102</v>
      </c>
      <c r="AN199" s="6" t="s">
        <v>2103</v>
      </c>
      <c r="AO199" s="6" t="s">
        <v>2104</v>
      </c>
      <c r="AP199" s="6" t="s">
        <v>2095</v>
      </c>
      <c r="AQ199" s="21" t="s">
        <v>2105</v>
      </c>
      <c r="AR199" s="6" t="s">
        <v>2105</v>
      </c>
      <c r="AS199" s="6" t="s">
        <v>4803</v>
      </c>
      <c r="AT199" s="14">
        <v>2</v>
      </c>
      <c r="AU199" s="14">
        <v>2</v>
      </c>
      <c r="AV199" s="14">
        <v>2</v>
      </c>
      <c r="AW199" s="14">
        <v>2</v>
      </c>
      <c r="AX199" s="14">
        <v>2</v>
      </c>
      <c r="AY199" s="14">
        <v>2</v>
      </c>
      <c r="AZ199" s="14">
        <v>2</v>
      </c>
      <c r="BA199" s="2"/>
    </row>
    <row r="200" spans="1:53" ht="44" customHeight="1" x14ac:dyDescent="0.2">
      <c r="A200" s="6">
        <v>56082823</v>
      </c>
      <c r="B200" s="6"/>
      <c r="C200" s="7" t="s">
        <v>35</v>
      </c>
      <c r="D200" s="6" t="s">
        <v>2106</v>
      </c>
      <c r="E200" s="6">
        <f t="shared" si="27"/>
        <v>408</v>
      </c>
      <c r="F200" s="6" t="s">
        <v>2107</v>
      </c>
      <c r="G200" s="6">
        <f t="shared" si="28"/>
        <v>64</v>
      </c>
      <c r="H200" s="9">
        <f t="shared" si="29"/>
        <v>0.84313725490196079</v>
      </c>
      <c r="I200" s="6" t="s">
        <v>5259</v>
      </c>
      <c r="J200" s="6">
        <v>5</v>
      </c>
      <c r="K200" s="9">
        <f t="shared" si="30"/>
        <v>1.2254901960784314E-2</v>
      </c>
      <c r="L200" s="6">
        <v>4</v>
      </c>
      <c r="M200" s="6">
        <v>2</v>
      </c>
      <c r="N200" s="6">
        <v>2</v>
      </c>
      <c r="O200" s="6" t="str">
        <f t="shared" si="31"/>
        <v>Correct</v>
      </c>
      <c r="P200" s="6"/>
      <c r="Q200" s="6">
        <v>2</v>
      </c>
      <c r="R200" s="6" t="str">
        <f t="shared" si="32"/>
        <v>Correct</v>
      </c>
      <c r="S200" s="6" t="s">
        <v>3673</v>
      </c>
      <c r="T200" s="14">
        <v>2</v>
      </c>
      <c r="U200" s="6" t="str">
        <f t="shared" si="33"/>
        <v>Correct</v>
      </c>
      <c r="V200" s="15">
        <v>2</v>
      </c>
      <c r="W200" s="15" t="str">
        <f t="shared" si="34"/>
        <v>Correct</v>
      </c>
      <c r="X200" s="14">
        <v>2</v>
      </c>
      <c r="Y200" s="14" t="str">
        <f t="shared" si="35"/>
        <v>Correct</v>
      </c>
      <c r="Z200" s="6">
        <v>199</v>
      </c>
      <c r="AA200" s="6" t="s">
        <v>2108</v>
      </c>
      <c r="AB200" s="6" t="s">
        <v>2109</v>
      </c>
      <c r="AC200" s="6">
        <v>1</v>
      </c>
      <c r="AD200" s="6" t="s">
        <v>40</v>
      </c>
      <c r="AE200" s="6" t="s">
        <v>2110</v>
      </c>
      <c r="AF200" s="6" t="s">
        <v>2111</v>
      </c>
      <c r="AG200" s="6" t="s">
        <v>2112</v>
      </c>
      <c r="AH200" s="6" t="s">
        <v>2113</v>
      </c>
      <c r="AI200" s="6" t="s">
        <v>3430</v>
      </c>
      <c r="AJ200" s="6" t="s">
        <v>2114</v>
      </c>
      <c r="AK200" s="6" t="s">
        <v>4047</v>
      </c>
      <c r="AL200" s="6" t="s">
        <v>3477</v>
      </c>
      <c r="AM200" s="6" t="s">
        <v>2115</v>
      </c>
      <c r="AN200" s="6" t="s">
        <v>2116</v>
      </c>
      <c r="AO200" s="6" t="s">
        <v>2117</v>
      </c>
      <c r="AP200" s="6" t="s">
        <v>2118</v>
      </c>
      <c r="AQ200" s="21" t="s">
        <v>4493</v>
      </c>
      <c r="AR200" s="6" t="s">
        <v>2119</v>
      </c>
      <c r="AS200" s="6" t="s">
        <v>4804</v>
      </c>
      <c r="AT200" s="14">
        <v>2</v>
      </c>
      <c r="AU200" s="14">
        <v>2</v>
      </c>
      <c r="AV200" s="14">
        <v>2</v>
      </c>
      <c r="AW200" s="14">
        <v>2</v>
      </c>
      <c r="AX200" s="14">
        <v>2</v>
      </c>
      <c r="AY200" s="14">
        <v>2</v>
      </c>
      <c r="AZ200" s="14">
        <v>2</v>
      </c>
      <c r="BA200" s="2"/>
    </row>
    <row r="201" spans="1:53" ht="44" customHeight="1" x14ac:dyDescent="0.2">
      <c r="A201" s="6">
        <v>56096050</v>
      </c>
      <c r="B201" s="6"/>
      <c r="C201" s="7" t="s">
        <v>35</v>
      </c>
      <c r="D201" s="6" t="s">
        <v>2120</v>
      </c>
      <c r="E201" s="6">
        <f t="shared" si="27"/>
        <v>52</v>
      </c>
      <c r="F201" s="6" t="s">
        <v>2121</v>
      </c>
      <c r="G201" s="6">
        <f t="shared" si="28"/>
        <v>20</v>
      </c>
      <c r="H201" s="9">
        <f t="shared" si="29"/>
        <v>0.61538461538461542</v>
      </c>
      <c r="I201" s="6" t="s">
        <v>5260</v>
      </c>
      <c r="J201" s="6">
        <v>3</v>
      </c>
      <c r="K201" s="9">
        <f t="shared" si="30"/>
        <v>5.7692307692307696E-2</v>
      </c>
      <c r="L201" s="6">
        <v>2</v>
      </c>
      <c r="M201" s="6">
        <v>2</v>
      </c>
      <c r="N201" s="6">
        <v>2</v>
      </c>
      <c r="O201" s="6" t="str">
        <f t="shared" si="31"/>
        <v>Correct</v>
      </c>
      <c r="P201" s="6"/>
      <c r="Q201" s="6">
        <v>2</v>
      </c>
      <c r="R201" s="6" t="str">
        <f t="shared" si="32"/>
        <v>Correct</v>
      </c>
      <c r="S201" s="6" t="s">
        <v>3806</v>
      </c>
      <c r="T201" s="14">
        <v>2</v>
      </c>
      <c r="U201" s="6" t="str">
        <f t="shared" si="33"/>
        <v>Correct</v>
      </c>
      <c r="V201" s="15">
        <v>1</v>
      </c>
      <c r="W201" s="15" t="str">
        <f t="shared" si="34"/>
        <v>Overtriaged</v>
      </c>
      <c r="X201" s="14">
        <v>2</v>
      </c>
      <c r="Y201" s="14" t="str">
        <f t="shared" si="35"/>
        <v>Correct</v>
      </c>
      <c r="Z201" s="6">
        <v>200</v>
      </c>
      <c r="AA201" s="6" t="s">
        <v>2122</v>
      </c>
      <c r="AB201" s="6" t="s">
        <v>2123</v>
      </c>
      <c r="AC201" s="6">
        <v>1</v>
      </c>
      <c r="AD201" s="6" t="s">
        <v>40</v>
      </c>
      <c r="AE201" s="6" t="s">
        <v>1174</v>
      </c>
      <c r="AF201" s="6" t="s">
        <v>2124</v>
      </c>
      <c r="AG201" s="6" t="s">
        <v>2125</v>
      </c>
      <c r="AH201" s="6" t="s">
        <v>44</v>
      </c>
      <c r="AI201" s="6" t="s">
        <v>4325</v>
      </c>
      <c r="AJ201" s="6" t="s">
        <v>4048</v>
      </c>
      <c r="AK201" s="6" t="s">
        <v>2126</v>
      </c>
      <c r="AL201" s="6" t="s">
        <v>3476</v>
      </c>
      <c r="AM201" s="6" t="s">
        <v>2127</v>
      </c>
      <c r="AN201" s="6" t="s">
        <v>2128</v>
      </c>
      <c r="AO201" s="6" t="s">
        <v>2129</v>
      </c>
      <c r="AP201" s="6" t="s">
        <v>2120</v>
      </c>
      <c r="AQ201" s="21" t="s">
        <v>4494</v>
      </c>
      <c r="AR201" s="6" t="s">
        <v>2130</v>
      </c>
      <c r="AS201" s="6" t="s">
        <v>2131</v>
      </c>
      <c r="AT201" s="14">
        <v>2</v>
      </c>
      <c r="AU201" s="14">
        <v>2</v>
      </c>
      <c r="AV201" s="14">
        <v>2</v>
      </c>
      <c r="AW201" s="14">
        <v>2</v>
      </c>
      <c r="AX201" s="14">
        <v>2</v>
      </c>
      <c r="AY201" s="14">
        <v>2</v>
      </c>
      <c r="AZ201" s="14">
        <v>2</v>
      </c>
      <c r="BA201" s="2"/>
    </row>
    <row r="202" spans="1:53" ht="44" customHeight="1" x14ac:dyDescent="0.2">
      <c r="A202" s="6">
        <v>56258350</v>
      </c>
      <c r="B202" s="6"/>
      <c r="C202" s="7" t="s">
        <v>35</v>
      </c>
      <c r="D202" s="6" t="s">
        <v>2132</v>
      </c>
      <c r="E202" s="6">
        <f t="shared" si="27"/>
        <v>104</v>
      </c>
      <c r="F202" s="6" t="s">
        <v>2133</v>
      </c>
      <c r="G202" s="6">
        <f t="shared" si="28"/>
        <v>5</v>
      </c>
      <c r="H202" s="9">
        <f t="shared" si="29"/>
        <v>0.95192307692307687</v>
      </c>
      <c r="I202" s="6"/>
      <c r="J202" s="6">
        <v>0</v>
      </c>
      <c r="K202" s="9">
        <f t="shared" si="30"/>
        <v>0</v>
      </c>
      <c r="L202" s="6">
        <v>1</v>
      </c>
      <c r="M202" s="6">
        <v>2</v>
      </c>
      <c r="N202" s="6">
        <v>2</v>
      </c>
      <c r="O202" s="6" t="str">
        <f t="shared" si="31"/>
        <v>Correct</v>
      </c>
      <c r="P202" s="6"/>
      <c r="Q202" s="6">
        <v>2</v>
      </c>
      <c r="R202" s="6" t="str">
        <f t="shared" si="32"/>
        <v>Correct</v>
      </c>
      <c r="S202" s="6" t="s">
        <v>3674</v>
      </c>
      <c r="T202" s="14">
        <v>2</v>
      </c>
      <c r="U202" s="6" t="str">
        <f t="shared" si="33"/>
        <v>Correct</v>
      </c>
      <c r="V202" s="15">
        <v>2</v>
      </c>
      <c r="W202" s="15" t="str">
        <f t="shared" si="34"/>
        <v>Correct</v>
      </c>
      <c r="X202" s="14">
        <v>2</v>
      </c>
      <c r="Y202" s="14" t="str">
        <f t="shared" si="35"/>
        <v>Correct</v>
      </c>
      <c r="Z202" s="6">
        <v>201</v>
      </c>
      <c r="AA202" s="6" t="s">
        <v>526</v>
      </c>
      <c r="AB202" s="6" t="s">
        <v>2134</v>
      </c>
      <c r="AC202" s="6">
        <v>1</v>
      </c>
      <c r="AD202" s="6" t="s">
        <v>40</v>
      </c>
      <c r="AE202" s="6" t="s">
        <v>2135</v>
      </c>
      <c r="AF202" s="6" t="s">
        <v>44</v>
      </c>
      <c r="AG202" s="6" t="s">
        <v>44</v>
      </c>
      <c r="AH202" s="6" t="s">
        <v>44</v>
      </c>
      <c r="AI202" s="6" t="s">
        <v>44</v>
      </c>
      <c r="AJ202" s="6" t="s">
        <v>44</v>
      </c>
      <c r="AK202" s="6" t="s">
        <v>2136</v>
      </c>
      <c r="AL202" s="6" t="s">
        <v>5100</v>
      </c>
      <c r="AM202" s="6" t="s">
        <v>2137</v>
      </c>
      <c r="AN202" s="6" t="s">
        <v>2132</v>
      </c>
      <c r="AO202" s="6" t="s">
        <v>2132</v>
      </c>
      <c r="AP202" s="6" t="s">
        <v>2132</v>
      </c>
      <c r="AQ202" s="21" t="s">
        <v>2132</v>
      </c>
      <c r="AR202" s="6" t="s">
        <v>2132</v>
      </c>
      <c r="AS202" s="6" t="s">
        <v>2138</v>
      </c>
      <c r="AT202" s="14">
        <v>2</v>
      </c>
      <c r="AU202" s="14">
        <v>2</v>
      </c>
      <c r="AV202" s="14">
        <v>2</v>
      </c>
      <c r="AW202" s="14">
        <v>2</v>
      </c>
      <c r="AX202" s="14">
        <v>2</v>
      </c>
      <c r="AY202" s="14">
        <v>2</v>
      </c>
      <c r="AZ202" s="14">
        <v>2</v>
      </c>
      <c r="BA202" s="2"/>
    </row>
    <row r="203" spans="1:53" ht="44" customHeight="1" x14ac:dyDescent="0.2">
      <c r="A203" s="6">
        <v>56759985</v>
      </c>
      <c r="B203" s="6"/>
      <c r="C203" s="7" t="s">
        <v>35</v>
      </c>
      <c r="D203" s="6" t="s">
        <v>2139</v>
      </c>
      <c r="E203" s="6">
        <f t="shared" si="27"/>
        <v>178</v>
      </c>
      <c r="F203" s="6" t="s">
        <v>2140</v>
      </c>
      <c r="G203" s="6">
        <f t="shared" si="28"/>
        <v>56</v>
      </c>
      <c r="H203" s="9">
        <f t="shared" si="29"/>
        <v>0.6853932584269663</v>
      </c>
      <c r="I203" s="6"/>
      <c r="J203" s="6">
        <v>0</v>
      </c>
      <c r="K203" s="9">
        <f t="shared" si="30"/>
        <v>0</v>
      </c>
      <c r="L203" s="6">
        <v>9</v>
      </c>
      <c r="M203" s="6">
        <v>2</v>
      </c>
      <c r="N203" s="6">
        <v>1</v>
      </c>
      <c r="O203" s="6" t="str">
        <f t="shared" si="31"/>
        <v>Overtriaged</v>
      </c>
      <c r="P203" s="6"/>
      <c r="Q203" s="6">
        <v>1</v>
      </c>
      <c r="R203" s="6" t="str">
        <f t="shared" si="32"/>
        <v>Overtriaged</v>
      </c>
      <c r="S203" s="6" t="s">
        <v>3807</v>
      </c>
      <c r="T203" s="14">
        <v>1</v>
      </c>
      <c r="U203" s="6" t="str">
        <f t="shared" si="33"/>
        <v>Overtriaged</v>
      </c>
      <c r="V203" s="15">
        <v>2</v>
      </c>
      <c r="W203" s="15" t="str">
        <f t="shared" si="34"/>
        <v>Correct</v>
      </c>
      <c r="X203" s="14">
        <v>2</v>
      </c>
      <c r="Y203" s="14" t="str">
        <f t="shared" si="35"/>
        <v>Correct</v>
      </c>
      <c r="Z203" s="6">
        <v>202</v>
      </c>
      <c r="AA203" s="6" t="s">
        <v>2141</v>
      </c>
      <c r="AB203" s="6" t="s">
        <v>2142</v>
      </c>
      <c r="AC203" s="6">
        <v>1</v>
      </c>
      <c r="AD203" s="6" t="s">
        <v>40</v>
      </c>
      <c r="AE203" s="6" t="s">
        <v>340</v>
      </c>
      <c r="AF203" s="6" t="s">
        <v>2143</v>
      </c>
      <c r="AG203" s="6" t="s">
        <v>2144</v>
      </c>
      <c r="AH203" s="6" t="s">
        <v>2145</v>
      </c>
      <c r="AI203" s="6" t="s">
        <v>3431</v>
      </c>
      <c r="AJ203" s="6" t="s">
        <v>4049</v>
      </c>
      <c r="AK203" s="6" t="s">
        <v>4050</v>
      </c>
      <c r="AL203" s="6" t="s">
        <v>3477</v>
      </c>
      <c r="AM203" s="6" t="s">
        <v>2146</v>
      </c>
      <c r="AN203" s="6" t="s">
        <v>2147</v>
      </c>
      <c r="AO203" s="6" t="s">
        <v>2148</v>
      </c>
      <c r="AP203" s="6" t="s">
        <v>2149</v>
      </c>
      <c r="AQ203" s="21" t="s">
        <v>4495</v>
      </c>
      <c r="AR203" s="6" t="s">
        <v>4805</v>
      </c>
      <c r="AS203" s="6" t="s">
        <v>4806</v>
      </c>
      <c r="AT203" s="14">
        <v>2</v>
      </c>
      <c r="AU203" s="14">
        <v>2</v>
      </c>
      <c r="AV203" s="14">
        <v>2</v>
      </c>
      <c r="AW203" s="14">
        <v>2</v>
      </c>
      <c r="AX203" s="14">
        <v>2</v>
      </c>
      <c r="AY203" s="14">
        <v>2</v>
      </c>
      <c r="AZ203" s="14">
        <v>2</v>
      </c>
      <c r="BA203" s="2"/>
    </row>
    <row r="204" spans="1:53" ht="44" customHeight="1" x14ac:dyDescent="0.2">
      <c r="A204" s="6">
        <v>56760817</v>
      </c>
      <c r="B204" s="6"/>
      <c r="C204" s="7" t="s">
        <v>35</v>
      </c>
      <c r="D204" s="6" t="s">
        <v>2150</v>
      </c>
      <c r="E204" s="6">
        <f t="shared" si="27"/>
        <v>121</v>
      </c>
      <c r="F204" s="6" t="s">
        <v>2151</v>
      </c>
      <c r="G204" s="6">
        <f t="shared" si="28"/>
        <v>32</v>
      </c>
      <c r="H204" s="9">
        <f t="shared" si="29"/>
        <v>0.73553719008264462</v>
      </c>
      <c r="I204" s="6"/>
      <c r="J204" s="6">
        <v>0</v>
      </c>
      <c r="K204" s="9">
        <f t="shared" si="30"/>
        <v>0</v>
      </c>
      <c r="L204" s="6">
        <v>1</v>
      </c>
      <c r="M204" s="6">
        <v>2</v>
      </c>
      <c r="N204" s="6">
        <v>2</v>
      </c>
      <c r="O204" s="6" t="str">
        <f t="shared" si="31"/>
        <v>Correct</v>
      </c>
      <c r="P204" s="6"/>
      <c r="Q204" s="6">
        <v>2</v>
      </c>
      <c r="R204" s="6" t="str">
        <f t="shared" si="32"/>
        <v>Correct</v>
      </c>
      <c r="S204" s="6" t="s">
        <v>3675</v>
      </c>
      <c r="T204" s="14">
        <v>2</v>
      </c>
      <c r="U204" s="6" t="str">
        <f t="shared" si="33"/>
        <v>Correct</v>
      </c>
      <c r="V204" s="15">
        <v>2</v>
      </c>
      <c r="W204" s="15" t="str">
        <f t="shared" si="34"/>
        <v>Correct</v>
      </c>
      <c r="X204" s="14">
        <v>2</v>
      </c>
      <c r="Y204" s="14" t="str">
        <f t="shared" si="35"/>
        <v>Correct</v>
      </c>
      <c r="Z204" s="6">
        <v>203</v>
      </c>
      <c r="AA204" s="6" t="s">
        <v>675</v>
      </c>
      <c r="AB204" s="6" t="s">
        <v>2152</v>
      </c>
      <c r="AC204" s="6">
        <v>1</v>
      </c>
      <c r="AD204" s="6" t="s">
        <v>40</v>
      </c>
      <c r="AE204" s="6" t="s">
        <v>1174</v>
      </c>
      <c r="AF204" s="6" t="s">
        <v>2153</v>
      </c>
      <c r="AG204" s="6" t="s">
        <v>4051</v>
      </c>
      <c r="AH204" s="6" t="s">
        <v>44</v>
      </c>
      <c r="AI204" s="6" t="s">
        <v>44</v>
      </c>
      <c r="AJ204" s="6" t="s">
        <v>44</v>
      </c>
      <c r="AK204" s="6" t="s">
        <v>4052</v>
      </c>
      <c r="AL204" s="6" t="s">
        <v>5099</v>
      </c>
      <c r="AM204" s="6" t="s">
        <v>2154</v>
      </c>
      <c r="AN204" s="6" t="s">
        <v>2155</v>
      </c>
      <c r="AO204" s="6" t="s">
        <v>4807</v>
      </c>
      <c r="AP204" s="6" t="s">
        <v>2150</v>
      </c>
      <c r="AQ204" s="21" t="s">
        <v>2150</v>
      </c>
      <c r="AR204" s="6" t="s">
        <v>2150</v>
      </c>
      <c r="AS204" s="6" t="s">
        <v>4808</v>
      </c>
      <c r="AT204" s="14">
        <v>2</v>
      </c>
      <c r="AU204" s="14">
        <v>2</v>
      </c>
      <c r="AV204" s="14">
        <v>2</v>
      </c>
      <c r="AW204" s="14">
        <v>2</v>
      </c>
      <c r="AX204" s="14">
        <v>2</v>
      </c>
      <c r="AY204" s="14">
        <v>2</v>
      </c>
      <c r="AZ204" s="14">
        <v>2</v>
      </c>
      <c r="BA204" s="2"/>
    </row>
    <row r="205" spans="1:53" ht="44" customHeight="1" x14ac:dyDescent="0.2">
      <c r="A205" s="6">
        <v>56813593</v>
      </c>
      <c r="B205" s="6"/>
      <c r="C205" s="7" t="s">
        <v>35</v>
      </c>
      <c r="D205" s="6" t="s">
        <v>2156</v>
      </c>
      <c r="E205" s="6">
        <f t="shared" si="27"/>
        <v>355</v>
      </c>
      <c r="F205" s="6" t="s">
        <v>2157</v>
      </c>
      <c r="G205" s="6">
        <f t="shared" si="28"/>
        <v>53</v>
      </c>
      <c r="H205" s="9">
        <f t="shared" si="29"/>
        <v>0.85070422535211265</v>
      </c>
      <c r="I205" s="6" t="s">
        <v>5261</v>
      </c>
      <c r="J205" s="6">
        <v>1</v>
      </c>
      <c r="K205" s="9">
        <f t="shared" si="30"/>
        <v>2.8169014084507044E-3</v>
      </c>
      <c r="L205" s="6">
        <v>2</v>
      </c>
      <c r="M205" s="6">
        <v>2</v>
      </c>
      <c r="N205" s="6">
        <v>2</v>
      </c>
      <c r="O205" s="6" t="str">
        <f t="shared" si="31"/>
        <v>Correct</v>
      </c>
      <c r="P205" s="6"/>
      <c r="Q205" s="6">
        <v>1</v>
      </c>
      <c r="R205" s="6" t="str">
        <f t="shared" si="32"/>
        <v>Overtriaged</v>
      </c>
      <c r="S205" s="6" t="s">
        <v>3808</v>
      </c>
      <c r="T205" s="14">
        <v>1</v>
      </c>
      <c r="U205" s="6" t="str">
        <f t="shared" si="33"/>
        <v>Overtriaged</v>
      </c>
      <c r="V205" s="15">
        <v>1</v>
      </c>
      <c r="W205" s="15" t="str">
        <f t="shared" si="34"/>
        <v>Overtriaged</v>
      </c>
      <c r="X205" s="14">
        <v>2</v>
      </c>
      <c r="Y205" s="14" t="str">
        <f t="shared" si="35"/>
        <v>Correct</v>
      </c>
      <c r="Z205" s="6">
        <v>204</v>
      </c>
      <c r="AA205" s="6" t="s">
        <v>2158</v>
      </c>
      <c r="AB205" s="6" t="s">
        <v>2159</v>
      </c>
      <c r="AC205" s="6">
        <v>1</v>
      </c>
      <c r="AD205" s="6" t="s">
        <v>40</v>
      </c>
      <c r="AE205" s="6" t="s">
        <v>2160</v>
      </c>
      <c r="AF205" s="6" t="s">
        <v>2161</v>
      </c>
      <c r="AG205" s="6" t="s">
        <v>2162</v>
      </c>
      <c r="AH205" s="6" t="s">
        <v>44</v>
      </c>
      <c r="AI205" s="6" t="s">
        <v>3432</v>
      </c>
      <c r="AJ205" s="6" t="s">
        <v>4053</v>
      </c>
      <c r="AK205" s="6" t="s">
        <v>4054</v>
      </c>
      <c r="AL205" s="6" t="s">
        <v>3476</v>
      </c>
      <c r="AM205" s="6" t="s">
        <v>2163</v>
      </c>
      <c r="AN205" s="6" t="s">
        <v>2164</v>
      </c>
      <c r="AO205" s="6" t="s">
        <v>2165</v>
      </c>
      <c r="AP205" s="6" t="s">
        <v>2156</v>
      </c>
      <c r="AQ205" s="21" t="s">
        <v>4496</v>
      </c>
      <c r="AR205" s="6" t="s">
        <v>4809</v>
      </c>
      <c r="AS205" s="6" t="s">
        <v>4810</v>
      </c>
      <c r="AT205" s="14">
        <v>2</v>
      </c>
      <c r="AU205" s="14">
        <v>2</v>
      </c>
      <c r="AV205" s="14">
        <v>1</v>
      </c>
      <c r="AW205" s="14">
        <v>1</v>
      </c>
      <c r="AX205" s="14">
        <v>2</v>
      </c>
      <c r="AY205" s="14">
        <v>2</v>
      </c>
      <c r="AZ205" s="14">
        <v>2</v>
      </c>
      <c r="BA205" s="2"/>
    </row>
    <row r="206" spans="1:53" ht="44" customHeight="1" x14ac:dyDescent="0.2">
      <c r="A206" s="6">
        <v>113134</v>
      </c>
      <c r="B206" s="6">
        <v>79366978</v>
      </c>
      <c r="C206" s="8" t="s">
        <v>2166</v>
      </c>
      <c r="D206" s="6" t="s">
        <v>2167</v>
      </c>
      <c r="E206" s="6">
        <f t="shared" si="27"/>
        <v>136</v>
      </c>
      <c r="F206" s="6" t="s">
        <v>2168</v>
      </c>
      <c r="G206" s="6">
        <f t="shared" si="28"/>
        <v>53</v>
      </c>
      <c r="H206" s="9">
        <f t="shared" si="29"/>
        <v>0.61029411764705888</v>
      </c>
      <c r="I206" s="6" t="s">
        <v>5262</v>
      </c>
      <c r="J206" s="6">
        <v>2</v>
      </c>
      <c r="K206" s="9">
        <f t="shared" si="30"/>
        <v>1.4705882352941176E-2</v>
      </c>
      <c r="L206" s="6">
        <v>12</v>
      </c>
      <c r="M206" s="6">
        <v>2</v>
      </c>
      <c r="N206" s="6">
        <v>2</v>
      </c>
      <c r="O206" s="6" t="str">
        <f t="shared" si="31"/>
        <v>Correct</v>
      </c>
      <c r="P206" s="6" t="s">
        <v>2169</v>
      </c>
      <c r="Q206" s="6">
        <v>2</v>
      </c>
      <c r="R206" s="6" t="str">
        <f t="shared" si="32"/>
        <v>Correct</v>
      </c>
      <c r="S206" s="6" t="s">
        <v>3676</v>
      </c>
      <c r="T206" s="14">
        <v>2</v>
      </c>
      <c r="U206" s="6" t="str">
        <f t="shared" si="33"/>
        <v>Correct</v>
      </c>
      <c r="V206" s="15">
        <v>2</v>
      </c>
      <c r="W206" s="15" t="str">
        <f t="shared" si="34"/>
        <v>Correct</v>
      </c>
      <c r="X206" s="14">
        <v>2</v>
      </c>
      <c r="Y206" s="14" t="str">
        <f t="shared" si="35"/>
        <v>Correct</v>
      </c>
      <c r="Z206" s="6">
        <v>205</v>
      </c>
      <c r="AA206" s="6" t="s">
        <v>2170</v>
      </c>
      <c r="AB206" s="6" t="s">
        <v>2171</v>
      </c>
      <c r="AC206" s="6">
        <v>1</v>
      </c>
      <c r="AD206" s="6" t="s">
        <v>40</v>
      </c>
      <c r="AE206" s="6" t="s">
        <v>2172</v>
      </c>
      <c r="AF206" s="6" t="s">
        <v>242</v>
      </c>
      <c r="AG206" s="6" t="s">
        <v>2173</v>
      </c>
      <c r="AH206" s="6" t="s">
        <v>2174</v>
      </c>
      <c r="AI206" s="6" t="s">
        <v>3433</v>
      </c>
      <c r="AJ206" s="6" t="s">
        <v>2175</v>
      </c>
      <c r="AK206" s="6" t="s">
        <v>4055</v>
      </c>
      <c r="AL206" s="6" t="s">
        <v>3477</v>
      </c>
      <c r="AM206" s="6" t="s">
        <v>2176</v>
      </c>
      <c r="AN206" s="6" t="s">
        <v>2177</v>
      </c>
      <c r="AO206" s="6" t="s">
        <v>2178</v>
      </c>
      <c r="AP206" s="6" t="s">
        <v>2179</v>
      </c>
      <c r="AQ206" s="21" t="s">
        <v>4497</v>
      </c>
      <c r="AR206" s="6" t="s">
        <v>2180</v>
      </c>
      <c r="AS206" s="6" t="s">
        <v>4811</v>
      </c>
      <c r="AT206" s="14">
        <v>2</v>
      </c>
      <c r="AU206" s="14">
        <v>2</v>
      </c>
      <c r="AV206" s="14">
        <v>2</v>
      </c>
      <c r="AW206" s="14">
        <v>2</v>
      </c>
      <c r="AX206" s="14">
        <v>2</v>
      </c>
      <c r="AY206" s="14">
        <v>2</v>
      </c>
      <c r="AZ206" s="14">
        <v>2</v>
      </c>
      <c r="BA206" s="2"/>
    </row>
    <row r="207" spans="1:53" ht="44" customHeight="1" x14ac:dyDescent="0.2">
      <c r="A207" s="6">
        <v>110222</v>
      </c>
      <c r="B207" s="6">
        <v>79408974</v>
      </c>
      <c r="C207" s="8" t="s">
        <v>2166</v>
      </c>
      <c r="D207" s="6" t="s">
        <v>2181</v>
      </c>
      <c r="E207" s="6">
        <f t="shared" si="27"/>
        <v>254</v>
      </c>
      <c r="F207" s="6" t="s">
        <v>2182</v>
      </c>
      <c r="G207" s="6">
        <f t="shared" si="28"/>
        <v>70</v>
      </c>
      <c r="H207" s="9">
        <f t="shared" si="29"/>
        <v>0.72440944881889768</v>
      </c>
      <c r="I207" s="6" t="s">
        <v>5263</v>
      </c>
      <c r="J207" s="6">
        <v>3</v>
      </c>
      <c r="K207" s="9">
        <f t="shared" si="30"/>
        <v>1.1811023622047244E-2</v>
      </c>
      <c r="L207" s="6">
        <v>5</v>
      </c>
      <c r="M207" s="6">
        <v>2</v>
      </c>
      <c r="N207" s="6">
        <v>2</v>
      </c>
      <c r="O207" s="6" t="str">
        <f t="shared" si="31"/>
        <v>Correct</v>
      </c>
      <c r="P207" s="6" t="s">
        <v>2183</v>
      </c>
      <c r="Q207" s="6">
        <v>2</v>
      </c>
      <c r="R207" s="6" t="str">
        <f t="shared" si="32"/>
        <v>Correct</v>
      </c>
      <c r="S207" s="6" t="s">
        <v>3677</v>
      </c>
      <c r="T207" s="14">
        <v>2</v>
      </c>
      <c r="U207" s="6" t="str">
        <f t="shared" si="33"/>
        <v>Correct</v>
      </c>
      <c r="V207" s="15">
        <v>2</v>
      </c>
      <c r="W207" s="15" t="str">
        <f t="shared" si="34"/>
        <v>Correct</v>
      </c>
      <c r="X207" s="14">
        <v>2</v>
      </c>
      <c r="Y207" s="14" t="str">
        <f t="shared" si="35"/>
        <v>Correct</v>
      </c>
      <c r="Z207" s="6">
        <v>206</v>
      </c>
      <c r="AA207" s="6" t="s">
        <v>526</v>
      </c>
      <c r="AB207" s="6" t="s">
        <v>2184</v>
      </c>
      <c r="AC207" s="6">
        <v>1</v>
      </c>
      <c r="AD207" s="6" t="s">
        <v>40</v>
      </c>
      <c r="AE207" s="6" t="s">
        <v>2185</v>
      </c>
      <c r="AF207" s="6" t="s">
        <v>2186</v>
      </c>
      <c r="AG207" s="6" t="s">
        <v>2187</v>
      </c>
      <c r="AH207" s="6" t="s">
        <v>4056</v>
      </c>
      <c r="AI207" s="6" t="s">
        <v>3436</v>
      </c>
      <c r="AJ207" s="6" t="s">
        <v>2188</v>
      </c>
      <c r="AK207" s="6" t="s">
        <v>4057</v>
      </c>
      <c r="AL207" s="6" t="s">
        <v>3477</v>
      </c>
      <c r="AM207" s="6" t="s">
        <v>2189</v>
      </c>
      <c r="AN207" s="6" t="s">
        <v>2190</v>
      </c>
      <c r="AO207" s="6" t="s">
        <v>2191</v>
      </c>
      <c r="AP207" s="6" t="s">
        <v>4812</v>
      </c>
      <c r="AQ207" s="21" t="s">
        <v>2181</v>
      </c>
      <c r="AR207" s="6" t="s">
        <v>2192</v>
      </c>
      <c r="AS207" s="6" t="s">
        <v>4813</v>
      </c>
      <c r="AT207" s="14">
        <v>2</v>
      </c>
      <c r="AU207" s="14">
        <v>2</v>
      </c>
      <c r="AV207" s="14">
        <v>2</v>
      </c>
      <c r="AW207" s="14">
        <v>2</v>
      </c>
      <c r="AX207" s="14">
        <v>2</v>
      </c>
      <c r="AY207" s="14">
        <v>2</v>
      </c>
      <c r="AZ207" s="14">
        <v>2</v>
      </c>
      <c r="BA207" s="2"/>
    </row>
    <row r="208" spans="1:53" ht="44" customHeight="1" x14ac:dyDescent="0.2">
      <c r="A208" s="6">
        <v>11332</v>
      </c>
      <c r="B208" s="6">
        <v>79431303</v>
      </c>
      <c r="C208" s="8" t="s">
        <v>2166</v>
      </c>
      <c r="D208" s="6" t="s">
        <v>2193</v>
      </c>
      <c r="E208" s="6">
        <f t="shared" si="27"/>
        <v>165</v>
      </c>
      <c r="F208" s="6" t="s">
        <v>2194</v>
      </c>
      <c r="G208" s="6">
        <f t="shared" si="28"/>
        <v>29</v>
      </c>
      <c r="H208" s="9">
        <f t="shared" si="29"/>
        <v>0.82424242424242422</v>
      </c>
      <c r="I208" s="6" t="s">
        <v>5264</v>
      </c>
      <c r="J208" s="6">
        <v>2</v>
      </c>
      <c r="K208" s="9">
        <f t="shared" si="30"/>
        <v>1.2121212121212121E-2</v>
      </c>
      <c r="L208" s="6">
        <v>1</v>
      </c>
      <c r="M208" s="6">
        <v>2</v>
      </c>
      <c r="N208" s="6">
        <v>2</v>
      </c>
      <c r="O208" s="6" t="str">
        <f t="shared" si="31"/>
        <v>Correct</v>
      </c>
      <c r="P208" s="6" t="s">
        <v>2195</v>
      </c>
      <c r="Q208" s="6">
        <v>2</v>
      </c>
      <c r="R208" s="6" t="str">
        <f t="shared" si="32"/>
        <v>Correct</v>
      </c>
      <c r="S208" s="6" t="s">
        <v>3809</v>
      </c>
      <c r="T208" s="14">
        <v>2</v>
      </c>
      <c r="U208" s="6" t="str">
        <f t="shared" si="33"/>
        <v>Correct</v>
      </c>
      <c r="V208" s="15">
        <v>2</v>
      </c>
      <c r="W208" s="15" t="str">
        <f t="shared" si="34"/>
        <v>Correct</v>
      </c>
      <c r="X208" s="14">
        <v>2</v>
      </c>
      <c r="Y208" s="14" t="str">
        <f t="shared" si="35"/>
        <v>Correct</v>
      </c>
      <c r="Z208" s="6">
        <v>207</v>
      </c>
      <c r="AA208" s="6" t="s">
        <v>2196</v>
      </c>
      <c r="AB208" s="6" t="s">
        <v>2197</v>
      </c>
      <c r="AC208" s="6">
        <v>1</v>
      </c>
      <c r="AD208" s="6" t="s">
        <v>40</v>
      </c>
      <c r="AE208" s="6" t="s">
        <v>480</v>
      </c>
      <c r="AF208" s="6" t="s">
        <v>2198</v>
      </c>
      <c r="AG208" s="6" t="s">
        <v>44</v>
      </c>
      <c r="AH208" s="6" t="s">
        <v>44</v>
      </c>
      <c r="AI208" s="6" t="s">
        <v>44</v>
      </c>
      <c r="AJ208" s="6" t="s">
        <v>44</v>
      </c>
      <c r="AK208" s="6" t="s">
        <v>2199</v>
      </c>
      <c r="AL208" s="6" t="s">
        <v>5103</v>
      </c>
      <c r="AM208" s="6" t="s">
        <v>2200</v>
      </c>
      <c r="AN208" s="6" t="s">
        <v>2201</v>
      </c>
      <c r="AO208" s="6" t="s">
        <v>2193</v>
      </c>
      <c r="AP208" s="6" t="s">
        <v>2193</v>
      </c>
      <c r="AQ208" s="21" t="s">
        <v>2193</v>
      </c>
      <c r="AR208" s="6" t="s">
        <v>2193</v>
      </c>
      <c r="AS208" s="6" t="s">
        <v>2202</v>
      </c>
      <c r="AT208" s="14">
        <v>2</v>
      </c>
      <c r="AU208" s="14">
        <v>2</v>
      </c>
      <c r="AV208" s="14">
        <v>2</v>
      </c>
      <c r="AW208" s="14">
        <v>2</v>
      </c>
      <c r="AX208" s="14">
        <v>2</v>
      </c>
      <c r="AY208" s="14">
        <v>2</v>
      </c>
      <c r="AZ208" s="14">
        <v>2</v>
      </c>
      <c r="BA208" s="2"/>
    </row>
    <row r="209" spans="1:53" ht="44" customHeight="1" x14ac:dyDescent="0.2">
      <c r="A209" s="6">
        <v>114142</v>
      </c>
      <c r="B209" s="6">
        <v>79431799</v>
      </c>
      <c r="C209" s="8" t="s">
        <v>2166</v>
      </c>
      <c r="D209" s="6" t="s">
        <v>2203</v>
      </c>
      <c r="E209" s="6">
        <f t="shared" si="27"/>
        <v>235</v>
      </c>
      <c r="F209" s="6" t="s">
        <v>2204</v>
      </c>
      <c r="G209" s="6">
        <f t="shared" si="28"/>
        <v>47</v>
      </c>
      <c r="H209" s="9">
        <f t="shared" si="29"/>
        <v>0.8</v>
      </c>
      <c r="I209" s="6" t="s">
        <v>5265</v>
      </c>
      <c r="J209" s="6">
        <v>5</v>
      </c>
      <c r="K209" s="9">
        <f t="shared" si="30"/>
        <v>2.1276595744680851E-2</v>
      </c>
      <c r="L209" s="6">
        <v>5</v>
      </c>
      <c r="M209" s="6">
        <v>2</v>
      </c>
      <c r="N209" s="6">
        <v>2</v>
      </c>
      <c r="O209" s="6" t="str">
        <f t="shared" si="31"/>
        <v>Correct</v>
      </c>
      <c r="P209" s="6" t="s">
        <v>2205</v>
      </c>
      <c r="Q209" s="6">
        <v>2</v>
      </c>
      <c r="R209" s="6" t="str">
        <f t="shared" si="32"/>
        <v>Correct</v>
      </c>
      <c r="S209" s="6" t="s">
        <v>3678</v>
      </c>
      <c r="T209" s="14">
        <v>2</v>
      </c>
      <c r="U209" s="6" t="str">
        <f t="shared" si="33"/>
        <v>Correct</v>
      </c>
      <c r="V209" s="15">
        <v>2</v>
      </c>
      <c r="W209" s="15" t="str">
        <f t="shared" si="34"/>
        <v>Correct</v>
      </c>
      <c r="X209" s="14">
        <v>2</v>
      </c>
      <c r="Y209" s="14" t="str">
        <f t="shared" si="35"/>
        <v>Correct</v>
      </c>
      <c r="Z209" s="6">
        <v>208</v>
      </c>
      <c r="AA209" s="6" t="s">
        <v>2206</v>
      </c>
      <c r="AB209" s="6" t="s">
        <v>2207</v>
      </c>
      <c r="AC209" s="6">
        <v>1</v>
      </c>
      <c r="AD209" s="6" t="s">
        <v>40</v>
      </c>
      <c r="AE209" s="6" t="s">
        <v>2208</v>
      </c>
      <c r="AF209" s="6" t="s">
        <v>2209</v>
      </c>
      <c r="AG209" s="6" t="s">
        <v>2210</v>
      </c>
      <c r="AH209" s="6" t="s">
        <v>44</v>
      </c>
      <c r="AI209" s="6" t="s">
        <v>3434</v>
      </c>
      <c r="AJ209" s="6" t="s">
        <v>2211</v>
      </c>
      <c r="AK209" s="6" t="s">
        <v>4058</v>
      </c>
      <c r="AL209" s="6" t="s">
        <v>3476</v>
      </c>
      <c r="AM209" s="6" t="s">
        <v>2212</v>
      </c>
      <c r="AN209" s="6" t="s">
        <v>2213</v>
      </c>
      <c r="AO209" s="6" t="s">
        <v>2214</v>
      </c>
      <c r="AP209" s="6" t="s">
        <v>2203</v>
      </c>
      <c r="AQ209" s="21" t="s">
        <v>4498</v>
      </c>
      <c r="AR209" s="6" t="s">
        <v>2215</v>
      </c>
      <c r="AS209" s="6" t="s">
        <v>4814</v>
      </c>
      <c r="AT209" s="14">
        <v>2</v>
      </c>
      <c r="AU209" s="14">
        <v>2</v>
      </c>
      <c r="AV209" s="14">
        <v>2</v>
      </c>
      <c r="AW209" s="14">
        <v>2</v>
      </c>
      <c r="AX209" s="14">
        <v>2</v>
      </c>
      <c r="AY209" s="14">
        <v>2</v>
      </c>
      <c r="AZ209" s="14">
        <v>2</v>
      </c>
      <c r="BA209" s="2"/>
    </row>
    <row r="210" spans="1:53" ht="44" customHeight="1" x14ac:dyDescent="0.2">
      <c r="A210" s="6">
        <v>114077</v>
      </c>
      <c r="B210" s="6">
        <v>79431791</v>
      </c>
      <c r="C210" s="8" t="s">
        <v>2166</v>
      </c>
      <c r="D210" s="6" t="s">
        <v>2216</v>
      </c>
      <c r="E210" s="6">
        <f t="shared" si="27"/>
        <v>313</v>
      </c>
      <c r="F210" s="6" t="s">
        <v>2217</v>
      </c>
      <c r="G210" s="6">
        <f t="shared" si="28"/>
        <v>69</v>
      </c>
      <c r="H210" s="9">
        <f t="shared" si="29"/>
        <v>0.7795527156549521</v>
      </c>
      <c r="I210" s="6" t="s">
        <v>5266</v>
      </c>
      <c r="J210" s="6">
        <v>6</v>
      </c>
      <c r="K210" s="9">
        <f t="shared" si="30"/>
        <v>1.9169329073482427E-2</v>
      </c>
      <c r="L210" s="6">
        <v>19</v>
      </c>
      <c r="M210" s="6">
        <v>1</v>
      </c>
      <c r="N210" s="6">
        <v>2</v>
      </c>
      <c r="O210" s="6" t="str">
        <f t="shared" si="31"/>
        <v>Undertriaged</v>
      </c>
      <c r="P210" s="6" t="s">
        <v>2218</v>
      </c>
      <c r="Q210" s="6">
        <v>2</v>
      </c>
      <c r="R210" s="6" t="str">
        <f t="shared" si="32"/>
        <v>Undertriaged</v>
      </c>
      <c r="S210" s="6" t="s">
        <v>3810</v>
      </c>
      <c r="T210" s="14">
        <v>1</v>
      </c>
      <c r="U210" s="6" t="str">
        <f t="shared" si="33"/>
        <v>Correct</v>
      </c>
      <c r="V210" s="15">
        <v>1</v>
      </c>
      <c r="W210" s="15" t="str">
        <f t="shared" si="34"/>
        <v>Correct</v>
      </c>
      <c r="X210" s="14">
        <v>2</v>
      </c>
      <c r="Y210" s="14" t="str">
        <f t="shared" si="35"/>
        <v>Undertriaged</v>
      </c>
      <c r="Z210" s="6">
        <v>209</v>
      </c>
      <c r="AA210" s="6" t="s">
        <v>2219</v>
      </c>
      <c r="AB210" s="6" t="s">
        <v>2220</v>
      </c>
      <c r="AC210" s="6">
        <v>3</v>
      </c>
      <c r="AD210" s="6" t="s">
        <v>40</v>
      </c>
      <c r="AE210" s="6" t="s">
        <v>454</v>
      </c>
      <c r="AF210" s="6" t="s">
        <v>2221</v>
      </c>
      <c r="AG210" s="6" t="s">
        <v>2222</v>
      </c>
      <c r="AH210" s="6" t="s">
        <v>2223</v>
      </c>
      <c r="AI210" s="6" t="s">
        <v>4357</v>
      </c>
      <c r="AJ210" s="6" t="s">
        <v>2224</v>
      </c>
      <c r="AK210" s="6" t="s">
        <v>2225</v>
      </c>
      <c r="AL210" s="6" t="s">
        <v>3477</v>
      </c>
      <c r="AM210" s="6" t="s">
        <v>2226</v>
      </c>
      <c r="AN210" s="6" t="s">
        <v>2227</v>
      </c>
      <c r="AO210" s="6" t="s">
        <v>2228</v>
      </c>
      <c r="AP210" s="6" t="s">
        <v>2229</v>
      </c>
      <c r="AQ210" s="21" t="s">
        <v>4499</v>
      </c>
      <c r="AR210" s="6" t="s">
        <v>2230</v>
      </c>
      <c r="AS210" s="6" t="s">
        <v>2231</v>
      </c>
      <c r="AT210" s="14">
        <v>2</v>
      </c>
      <c r="AU210" s="14">
        <v>2</v>
      </c>
      <c r="AV210" s="14">
        <v>2</v>
      </c>
      <c r="AW210" s="14">
        <v>1</v>
      </c>
      <c r="AX210" s="14">
        <v>1</v>
      </c>
      <c r="AY210" s="14">
        <v>2</v>
      </c>
      <c r="AZ210" s="14">
        <v>2</v>
      </c>
      <c r="BA210" s="2"/>
    </row>
    <row r="211" spans="1:53" ht="44" customHeight="1" x14ac:dyDescent="0.2">
      <c r="A211" s="6">
        <v>101762</v>
      </c>
      <c r="B211" s="6">
        <v>79417982</v>
      </c>
      <c r="C211" s="8" t="s">
        <v>2166</v>
      </c>
      <c r="D211" s="6" t="s">
        <v>2232</v>
      </c>
      <c r="E211" s="6">
        <f t="shared" si="27"/>
        <v>345</v>
      </c>
      <c r="F211" s="6" t="s">
        <v>2233</v>
      </c>
      <c r="G211" s="6">
        <f t="shared" si="28"/>
        <v>84</v>
      </c>
      <c r="H211" s="9">
        <f t="shared" si="29"/>
        <v>0.75652173913043474</v>
      </c>
      <c r="I211" s="6" t="s">
        <v>5267</v>
      </c>
      <c r="J211" s="6">
        <v>6</v>
      </c>
      <c r="K211" s="9">
        <f t="shared" si="30"/>
        <v>1.7391304347826087E-2</v>
      </c>
      <c r="L211" s="6">
        <v>59</v>
      </c>
      <c r="M211" s="6">
        <v>1</v>
      </c>
      <c r="N211" s="6">
        <v>1</v>
      </c>
      <c r="O211" s="6" t="str">
        <f t="shared" si="31"/>
        <v>Correct</v>
      </c>
      <c r="P211" s="6" t="s">
        <v>2234</v>
      </c>
      <c r="Q211" s="6">
        <v>1</v>
      </c>
      <c r="R211" s="6" t="str">
        <f t="shared" si="32"/>
        <v>Correct</v>
      </c>
      <c r="S211" s="6" t="s">
        <v>3679</v>
      </c>
      <c r="T211" s="14">
        <v>1</v>
      </c>
      <c r="U211" s="6" t="str">
        <f t="shared" si="33"/>
        <v>Correct</v>
      </c>
      <c r="V211" s="15">
        <v>1</v>
      </c>
      <c r="W211" s="15" t="str">
        <f t="shared" si="34"/>
        <v>Correct</v>
      </c>
      <c r="X211" s="14">
        <v>1</v>
      </c>
      <c r="Y211" s="14" t="str">
        <f t="shared" si="35"/>
        <v>Correct</v>
      </c>
      <c r="Z211" s="6">
        <v>210</v>
      </c>
      <c r="AA211" s="6" t="s">
        <v>2235</v>
      </c>
      <c r="AB211" s="6" t="s">
        <v>2236</v>
      </c>
      <c r="AC211" s="6">
        <v>1</v>
      </c>
      <c r="AD211" s="6" t="s">
        <v>40</v>
      </c>
      <c r="AE211" s="6" t="s">
        <v>1560</v>
      </c>
      <c r="AF211" s="6" t="s">
        <v>2237</v>
      </c>
      <c r="AG211" s="6" t="s">
        <v>2238</v>
      </c>
      <c r="AH211" s="6" t="s">
        <v>4059</v>
      </c>
      <c r="AI211" s="6" t="s">
        <v>3435</v>
      </c>
      <c r="AJ211" s="6" t="s">
        <v>2239</v>
      </c>
      <c r="AK211" s="6" t="s">
        <v>2240</v>
      </c>
      <c r="AL211" s="6" t="s">
        <v>3477</v>
      </c>
      <c r="AM211" s="6" t="s">
        <v>2241</v>
      </c>
      <c r="AN211" s="6" t="s">
        <v>2242</v>
      </c>
      <c r="AO211" s="6" t="s">
        <v>2243</v>
      </c>
      <c r="AP211" s="6" t="s">
        <v>4815</v>
      </c>
      <c r="AQ211" s="21" t="s">
        <v>4500</v>
      </c>
      <c r="AR211" s="6" t="s">
        <v>2244</v>
      </c>
      <c r="AS211" s="6" t="s">
        <v>2245</v>
      </c>
      <c r="AT211" s="14">
        <v>1</v>
      </c>
      <c r="AU211" s="14">
        <v>1</v>
      </c>
      <c r="AV211" s="14">
        <v>1</v>
      </c>
      <c r="AW211" s="14">
        <v>1</v>
      </c>
      <c r="AX211" s="14">
        <v>1</v>
      </c>
      <c r="AY211" s="14">
        <v>1</v>
      </c>
      <c r="AZ211" s="14">
        <v>1</v>
      </c>
      <c r="BA211" s="2"/>
    </row>
    <row r="212" spans="1:53" ht="44" customHeight="1" x14ac:dyDescent="0.2">
      <c r="A212" s="6">
        <v>11233</v>
      </c>
      <c r="B212" s="6">
        <v>79411707</v>
      </c>
      <c r="C212" s="8" t="s">
        <v>2166</v>
      </c>
      <c r="D212" s="6" t="s">
        <v>2246</v>
      </c>
      <c r="E212" s="6">
        <f t="shared" si="27"/>
        <v>236</v>
      </c>
      <c r="F212" s="6" t="s">
        <v>2247</v>
      </c>
      <c r="G212" s="6">
        <f t="shared" si="28"/>
        <v>31</v>
      </c>
      <c r="H212" s="9">
        <f t="shared" si="29"/>
        <v>0.86864406779661019</v>
      </c>
      <c r="I212" s="6"/>
      <c r="J212" s="6">
        <v>0</v>
      </c>
      <c r="K212" s="9">
        <f t="shared" si="30"/>
        <v>0</v>
      </c>
      <c r="L212" s="6">
        <v>9</v>
      </c>
      <c r="M212" s="6">
        <v>2</v>
      </c>
      <c r="N212" s="6">
        <v>2</v>
      </c>
      <c r="O212" s="6" t="str">
        <f t="shared" si="31"/>
        <v>Correct</v>
      </c>
      <c r="P212" s="6" t="s">
        <v>2248</v>
      </c>
      <c r="Q212" s="6">
        <v>2</v>
      </c>
      <c r="R212" s="6" t="str">
        <f t="shared" si="32"/>
        <v>Correct</v>
      </c>
      <c r="S212" s="6" t="s">
        <v>3680</v>
      </c>
      <c r="T212" s="14">
        <v>2</v>
      </c>
      <c r="U212" s="6" t="str">
        <f t="shared" si="33"/>
        <v>Correct</v>
      </c>
      <c r="V212" s="15">
        <v>1</v>
      </c>
      <c r="W212" s="15" t="str">
        <f t="shared" si="34"/>
        <v>Overtriaged</v>
      </c>
      <c r="X212" s="14">
        <v>2</v>
      </c>
      <c r="Y212" s="14" t="str">
        <f t="shared" si="35"/>
        <v>Correct</v>
      </c>
      <c r="Z212" s="6">
        <v>211</v>
      </c>
      <c r="AA212" s="6" t="s">
        <v>2249</v>
      </c>
      <c r="AB212" s="6" t="s">
        <v>2250</v>
      </c>
      <c r="AC212" s="6">
        <v>2</v>
      </c>
      <c r="AD212" s="6" t="s">
        <v>40</v>
      </c>
      <c r="AE212" s="6" t="s">
        <v>4060</v>
      </c>
      <c r="AF212" s="6" t="s">
        <v>2251</v>
      </c>
      <c r="AG212" s="6" t="s">
        <v>2252</v>
      </c>
      <c r="AH212" s="6" t="s">
        <v>44</v>
      </c>
      <c r="AI212" s="6" t="s">
        <v>44</v>
      </c>
      <c r="AJ212" s="6" t="s">
        <v>44</v>
      </c>
      <c r="AK212" s="6" t="s">
        <v>4061</v>
      </c>
      <c r="AL212" s="6" t="s">
        <v>5099</v>
      </c>
      <c r="AM212" s="6" t="s">
        <v>4816</v>
      </c>
      <c r="AN212" s="6" t="s">
        <v>2253</v>
      </c>
      <c r="AO212" s="6" t="s">
        <v>2254</v>
      </c>
      <c r="AP212" s="6" t="s">
        <v>2246</v>
      </c>
      <c r="AQ212" s="21" t="s">
        <v>2246</v>
      </c>
      <c r="AR212" s="6" t="s">
        <v>2246</v>
      </c>
      <c r="AS212" s="6" t="s">
        <v>4817</v>
      </c>
      <c r="AT212" s="14">
        <v>2</v>
      </c>
      <c r="AU212" s="14">
        <v>2</v>
      </c>
      <c r="AV212" s="14">
        <v>2</v>
      </c>
      <c r="AW212" s="14">
        <v>2</v>
      </c>
      <c r="AX212" s="14">
        <v>2</v>
      </c>
      <c r="AY212" s="14">
        <v>2</v>
      </c>
      <c r="AZ212" s="14">
        <v>2</v>
      </c>
      <c r="BA212" s="2"/>
    </row>
    <row r="213" spans="1:53" ht="44" customHeight="1" x14ac:dyDescent="0.2">
      <c r="A213" s="6">
        <v>11071</v>
      </c>
      <c r="B213" s="6">
        <v>79468573</v>
      </c>
      <c r="C213" s="8" t="s">
        <v>2166</v>
      </c>
      <c r="D213" s="6" t="s">
        <v>2255</v>
      </c>
      <c r="E213" s="6">
        <f t="shared" si="27"/>
        <v>117</v>
      </c>
      <c r="F213" s="6" t="s">
        <v>2256</v>
      </c>
      <c r="G213" s="6">
        <f t="shared" si="28"/>
        <v>51</v>
      </c>
      <c r="H213" s="9">
        <f t="shared" si="29"/>
        <v>0.5641025641025641</v>
      </c>
      <c r="I213" s="6" t="s">
        <v>5268</v>
      </c>
      <c r="J213" s="6">
        <v>1</v>
      </c>
      <c r="K213" s="9">
        <f t="shared" si="30"/>
        <v>8.5470085470085479E-3</v>
      </c>
      <c r="L213" s="6">
        <v>9</v>
      </c>
      <c r="M213" s="6">
        <v>2</v>
      </c>
      <c r="N213" s="6">
        <v>2</v>
      </c>
      <c r="O213" s="6" t="str">
        <f t="shared" si="31"/>
        <v>Correct</v>
      </c>
      <c r="P213" s="6" t="s">
        <v>2257</v>
      </c>
      <c r="Q213" s="6">
        <v>2</v>
      </c>
      <c r="R213" s="6" t="str">
        <f t="shared" si="32"/>
        <v>Correct</v>
      </c>
      <c r="S213" s="6" t="s">
        <v>3681</v>
      </c>
      <c r="T213" s="14">
        <v>2</v>
      </c>
      <c r="U213" s="6" t="str">
        <f t="shared" si="33"/>
        <v>Correct</v>
      </c>
      <c r="V213" s="15">
        <v>2</v>
      </c>
      <c r="W213" s="15" t="str">
        <f t="shared" si="34"/>
        <v>Correct</v>
      </c>
      <c r="X213" s="14">
        <v>2</v>
      </c>
      <c r="Y213" s="14" t="str">
        <f t="shared" si="35"/>
        <v>Correct</v>
      </c>
      <c r="Z213" s="6">
        <v>212</v>
      </c>
      <c r="AA213" s="6" t="s">
        <v>1820</v>
      </c>
      <c r="AB213" s="6" t="s">
        <v>2258</v>
      </c>
      <c r="AC213" s="6">
        <v>1</v>
      </c>
      <c r="AD213" s="6" t="s">
        <v>40</v>
      </c>
      <c r="AE213" s="6" t="s">
        <v>2259</v>
      </c>
      <c r="AF213" s="6" t="s">
        <v>2099</v>
      </c>
      <c r="AG213" s="6" t="s">
        <v>2260</v>
      </c>
      <c r="AH213" s="6" t="s">
        <v>44</v>
      </c>
      <c r="AI213" s="6" t="s">
        <v>4326</v>
      </c>
      <c r="AJ213" s="6" t="s">
        <v>44</v>
      </c>
      <c r="AK213" s="6" t="s">
        <v>2261</v>
      </c>
      <c r="AL213" s="6" t="s">
        <v>5099</v>
      </c>
      <c r="AM213" s="6" t="s">
        <v>2262</v>
      </c>
      <c r="AN213" s="6" t="s">
        <v>2263</v>
      </c>
      <c r="AO213" s="6" t="s">
        <v>2264</v>
      </c>
      <c r="AP213" s="6" t="s">
        <v>2255</v>
      </c>
      <c r="AQ213" s="21" t="s">
        <v>4501</v>
      </c>
      <c r="AR213" s="6" t="s">
        <v>2255</v>
      </c>
      <c r="AS213" s="6" t="s">
        <v>2265</v>
      </c>
      <c r="AT213" s="14">
        <v>2</v>
      </c>
      <c r="AU213" s="14">
        <v>2</v>
      </c>
      <c r="AV213" s="14">
        <v>2</v>
      </c>
      <c r="AW213" s="14">
        <v>2</v>
      </c>
      <c r="AX213" s="14">
        <v>2</v>
      </c>
      <c r="AY213" s="14">
        <v>2</v>
      </c>
      <c r="AZ213" s="14">
        <v>2</v>
      </c>
      <c r="BA213" s="2"/>
    </row>
    <row r="214" spans="1:53" ht="44" customHeight="1" x14ac:dyDescent="0.2">
      <c r="A214" s="6">
        <v>112578</v>
      </c>
      <c r="B214" s="6">
        <v>79500805</v>
      </c>
      <c r="C214" s="8" t="s">
        <v>2166</v>
      </c>
      <c r="D214" s="6" t="s">
        <v>2266</v>
      </c>
      <c r="E214" s="6">
        <f t="shared" si="27"/>
        <v>213</v>
      </c>
      <c r="F214" s="6" t="s">
        <v>2267</v>
      </c>
      <c r="G214" s="6">
        <f t="shared" si="28"/>
        <v>40</v>
      </c>
      <c r="H214" s="9">
        <f t="shared" si="29"/>
        <v>0.81220657276995301</v>
      </c>
      <c r="I214" s="6"/>
      <c r="J214" s="6">
        <v>0</v>
      </c>
      <c r="K214" s="9">
        <f t="shared" si="30"/>
        <v>0</v>
      </c>
      <c r="L214" s="6">
        <v>13</v>
      </c>
      <c r="M214" s="6">
        <v>2</v>
      </c>
      <c r="N214" s="6">
        <v>1</v>
      </c>
      <c r="O214" s="6" t="str">
        <f t="shared" si="31"/>
        <v>Overtriaged</v>
      </c>
      <c r="P214" s="6" t="s">
        <v>2268</v>
      </c>
      <c r="Q214" s="6">
        <v>2</v>
      </c>
      <c r="R214" s="6" t="str">
        <f t="shared" si="32"/>
        <v>Correct</v>
      </c>
      <c r="S214" s="6" t="s">
        <v>3811</v>
      </c>
      <c r="T214" s="14">
        <v>2</v>
      </c>
      <c r="U214" s="6" t="str">
        <f t="shared" si="33"/>
        <v>Correct</v>
      </c>
      <c r="V214" s="15">
        <v>2</v>
      </c>
      <c r="W214" s="15" t="str">
        <f t="shared" si="34"/>
        <v>Correct</v>
      </c>
      <c r="X214" s="14">
        <v>2</v>
      </c>
      <c r="Y214" s="14" t="str">
        <f t="shared" si="35"/>
        <v>Correct</v>
      </c>
      <c r="Z214" s="6">
        <v>213</v>
      </c>
      <c r="AA214" s="6" t="s">
        <v>2269</v>
      </c>
      <c r="AB214" s="6" t="s">
        <v>2270</v>
      </c>
      <c r="AC214" s="6">
        <v>1</v>
      </c>
      <c r="AD214" s="6" t="s">
        <v>40</v>
      </c>
      <c r="AE214" s="6" t="s">
        <v>2271</v>
      </c>
      <c r="AF214" s="6" t="s">
        <v>2272</v>
      </c>
      <c r="AG214" s="6" t="s">
        <v>2273</v>
      </c>
      <c r="AH214" s="6" t="s">
        <v>1454</v>
      </c>
      <c r="AI214" s="6" t="s">
        <v>3437</v>
      </c>
      <c r="AJ214" s="6" t="s">
        <v>3455</v>
      </c>
      <c r="AK214" s="6" t="s">
        <v>2274</v>
      </c>
      <c r="AL214" s="6" t="s">
        <v>3477</v>
      </c>
      <c r="AM214" s="6" t="s">
        <v>2275</v>
      </c>
      <c r="AN214" s="6" t="s">
        <v>2276</v>
      </c>
      <c r="AO214" s="6" t="s">
        <v>2277</v>
      </c>
      <c r="AP214" s="6" t="s">
        <v>2278</v>
      </c>
      <c r="AQ214" s="21" t="s">
        <v>4502</v>
      </c>
      <c r="AR214" s="6" t="s">
        <v>4818</v>
      </c>
      <c r="AS214" s="6" t="s">
        <v>2279</v>
      </c>
      <c r="AT214" s="14">
        <v>2</v>
      </c>
      <c r="AU214" s="14">
        <v>2</v>
      </c>
      <c r="AV214" s="14">
        <v>2</v>
      </c>
      <c r="AW214" s="14">
        <v>2</v>
      </c>
      <c r="AX214" s="14">
        <v>2</v>
      </c>
      <c r="AY214" s="14">
        <v>2</v>
      </c>
      <c r="AZ214" s="14">
        <v>2</v>
      </c>
      <c r="BA214" s="2"/>
    </row>
    <row r="215" spans="1:53" ht="44" customHeight="1" x14ac:dyDescent="0.2">
      <c r="A215" s="6">
        <v>109397</v>
      </c>
      <c r="B215" s="6">
        <v>79493121</v>
      </c>
      <c r="C215" s="8" t="s">
        <v>2166</v>
      </c>
      <c r="D215" s="6" t="s">
        <v>2280</v>
      </c>
      <c r="E215" s="6">
        <f t="shared" si="27"/>
        <v>169</v>
      </c>
      <c r="F215" s="6" t="s">
        <v>2281</v>
      </c>
      <c r="G215" s="6">
        <f t="shared" si="28"/>
        <v>65</v>
      </c>
      <c r="H215" s="9">
        <f t="shared" si="29"/>
        <v>0.61538461538461542</v>
      </c>
      <c r="I215" s="6" t="s">
        <v>5269</v>
      </c>
      <c r="J215" s="6">
        <v>6</v>
      </c>
      <c r="K215" s="9">
        <f t="shared" si="30"/>
        <v>3.5502958579881658E-2</v>
      </c>
      <c r="L215" s="6">
        <v>17</v>
      </c>
      <c r="M215" s="6">
        <v>1</v>
      </c>
      <c r="N215" s="6">
        <v>2</v>
      </c>
      <c r="O215" s="6" t="str">
        <f t="shared" si="31"/>
        <v>Undertriaged</v>
      </c>
      <c r="P215" s="6" t="s">
        <v>2282</v>
      </c>
      <c r="Q215" s="6">
        <v>2</v>
      </c>
      <c r="R215" s="6" t="str">
        <f t="shared" si="32"/>
        <v>Undertriaged</v>
      </c>
      <c r="S215" s="6" t="s">
        <v>3682</v>
      </c>
      <c r="T215" s="14">
        <v>2</v>
      </c>
      <c r="U215" s="6" t="str">
        <f t="shared" si="33"/>
        <v>Undertriaged</v>
      </c>
      <c r="V215" s="15">
        <v>2</v>
      </c>
      <c r="W215" s="15" t="str">
        <f t="shared" si="34"/>
        <v>Undertriaged</v>
      </c>
      <c r="X215" s="14">
        <v>2</v>
      </c>
      <c r="Y215" s="14" t="str">
        <f t="shared" si="35"/>
        <v>Undertriaged</v>
      </c>
      <c r="Z215" s="6">
        <v>214</v>
      </c>
      <c r="AA215" s="6" t="s">
        <v>2283</v>
      </c>
      <c r="AB215" s="6" t="s">
        <v>2284</v>
      </c>
      <c r="AC215" s="6">
        <v>1</v>
      </c>
      <c r="AD215" s="6" t="s">
        <v>40</v>
      </c>
      <c r="AE215" s="6" t="s">
        <v>1622</v>
      </c>
      <c r="AF215" s="6" t="s">
        <v>2285</v>
      </c>
      <c r="AG215" s="6" t="s">
        <v>2286</v>
      </c>
      <c r="AH215" s="6" t="s">
        <v>2287</v>
      </c>
      <c r="AI215" s="6" t="s">
        <v>3436</v>
      </c>
      <c r="AJ215" s="6" t="s">
        <v>4062</v>
      </c>
      <c r="AK215" s="6" t="s">
        <v>4063</v>
      </c>
      <c r="AL215" s="6" t="s">
        <v>3477</v>
      </c>
      <c r="AM215" s="6" t="s">
        <v>2288</v>
      </c>
      <c r="AN215" s="6" t="s">
        <v>2289</v>
      </c>
      <c r="AO215" s="6" t="s">
        <v>4819</v>
      </c>
      <c r="AP215" s="6" t="s">
        <v>2290</v>
      </c>
      <c r="AQ215" s="21" t="s">
        <v>2280</v>
      </c>
      <c r="AR215" s="6" t="s">
        <v>4820</v>
      </c>
      <c r="AS215" s="6" t="s">
        <v>4821</v>
      </c>
      <c r="AT215" s="14">
        <v>2</v>
      </c>
      <c r="AU215" s="14">
        <v>2</v>
      </c>
      <c r="AV215" s="14">
        <v>2</v>
      </c>
      <c r="AW215" s="14">
        <v>2</v>
      </c>
      <c r="AX215" s="14">
        <v>2</v>
      </c>
      <c r="AY215" s="14">
        <v>2</v>
      </c>
      <c r="AZ215" s="14">
        <v>2</v>
      </c>
      <c r="BA215" s="2"/>
    </row>
    <row r="216" spans="1:53" ht="44" customHeight="1" x14ac:dyDescent="0.2">
      <c r="A216" s="6">
        <v>100874</v>
      </c>
      <c r="B216" s="6">
        <v>79652376</v>
      </c>
      <c r="C216" s="8" t="s">
        <v>2166</v>
      </c>
      <c r="D216" s="6" t="s">
        <v>2291</v>
      </c>
      <c r="E216" s="6">
        <f t="shared" si="27"/>
        <v>158</v>
      </c>
      <c r="F216" s="6" t="s">
        <v>2292</v>
      </c>
      <c r="G216" s="6">
        <f t="shared" si="28"/>
        <v>22</v>
      </c>
      <c r="H216" s="9">
        <f t="shared" si="29"/>
        <v>0.86075949367088611</v>
      </c>
      <c r="I216" s="6" t="s">
        <v>5270</v>
      </c>
      <c r="J216" s="6">
        <v>7</v>
      </c>
      <c r="K216" s="9">
        <f t="shared" si="30"/>
        <v>4.4303797468354431E-2</v>
      </c>
      <c r="L216" s="6">
        <v>29</v>
      </c>
      <c r="M216" s="6">
        <v>1</v>
      </c>
      <c r="N216" s="6">
        <v>2</v>
      </c>
      <c r="O216" s="6" t="str">
        <f t="shared" si="31"/>
        <v>Undertriaged</v>
      </c>
      <c r="P216" s="6" t="s">
        <v>2293</v>
      </c>
      <c r="Q216" s="6">
        <v>2</v>
      </c>
      <c r="R216" s="6" t="str">
        <f t="shared" si="32"/>
        <v>Undertriaged</v>
      </c>
      <c r="S216" s="6" t="s">
        <v>3683</v>
      </c>
      <c r="T216" s="14">
        <v>2</v>
      </c>
      <c r="U216" s="6" t="str">
        <f t="shared" si="33"/>
        <v>Undertriaged</v>
      </c>
      <c r="V216" s="15">
        <v>2</v>
      </c>
      <c r="W216" s="15" t="str">
        <f t="shared" si="34"/>
        <v>Undertriaged</v>
      </c>
      <c r="X216" s="14">
        <v>2</v>
      </c>
      <c r="Y216" s="14" t="str">
        <f t="shared" si="35"/>
        <v>Undertriaged</v>
      </c>
      <c r="Z216" s="6">
        <v>215</v>
      </c>
      <c r="AA216" s="6" t="s">
        <v>2294</v>
      </c>
      <c r="AB216" s="6" t="s">
        <v>2295</v>
      </c>
      <c r="AC216" s="6">
        <v>1</v>
      </c>
      <c r="AD216" s="6" t="s">
        <v>40</v>
      </c>
      <c r="AE216" s="6" t="s">
        <v>2296</v>
      </c>
      <c r="AF216" s="6" t="s">
        <v>2297</v>
      </c>
      <c r="AG216" s="6" t="s">
        <v>2298</v>
      </c>
      <c r="AH216" s="6" t="s">
        <v>2299</v>
      </c>
      <c r="AI216" s="6" t="s">
        <v>3438</v>
      </c>
      <c r="AJ216" s="6" t="s">
        <v>2300</v>
      </c>
      <c r="AK216" s="6" t="s">
        <v>2301</v>
      </c>
      <c r="AL216" s="6" t="s">
        <v>3477</v>
      </c>
      <c r="AM216" s="6" t="s">
        <v>4822</v>
      </c>
      <c r="AN216" s="6" t="s">
        <v>2302</v>
      </c>
      <c r="AO216" s="6" t="s">
        <v>2303</v>
      </c>
      <c r="AP216" s="6" t="s">
        <v>2304</v>
      </c>
      <c r="AQ216" s="21" t="s">
        <v>4503</v>
      </c>
      <c r="AR216" s="6" t="s">
        <v>2305</v>
      </c>
      <c r="AS216" s="6" t="s">
        <v>2306</v>
      </c>
      <c r="AT216" s="14">
        <v>2</v>
      </c>
      <c r="AU216" s="14">
        <v>2</v>
      </c>
      <c r="AV216" s="14">
        <v>2</v>
      </c>
      <c r="AW216" s="14">
        <v>2</v>
      </c>
      <c r="AX216" s="14">
        <v>2</v>
      </c>
      <c r="AY216" s="14">
        <v>2</v>
      </c>
      <c r="AZ216" s="14">
        <v>2</v>
      </c>
      <c r="BA216" s="2"/>
    </row>
    <row r="217" spans="1:53" ht="44" customHeight="1" x14ac:dyDescent="0.2">
      <c r="A217" s="6">
        <v>105240</v>
      </c>
      <c r="B217" s="6">
        <v>79637100</v>
      </c>
      <c r="C217" s="8" t="s">
        <v>2166</v>
      </c>
      <c r="D217" s="6" t="s">
        <v>2307</v>
      </c>
      <c r="E217" s="6">
        <f t="shared" si="27"/>
        <v>268</v>
      </c>
      <c r="F217" s="6" t="s">
        <v>2308</v>
      </c>
      <c r="G217" s="6">
        <f t="shared" si="28"/>
        <v>29</v>
      </c>
      <c r="H217" s="9">
        <f t="shared" si="29"/>
        <v>0.89179104477611937</v>
      </c>
      <c r="I217" s="6" t="s">
        <v>5271</v>
      </c>
      <c r="J217" s="6">
        <v>2</v>
      </c>
      <c r="K217" s="9">
        <f t="shared" si="30"/>
        <v>7.462686567164179E-3</v>
      </c>
      <c r="L217" s="6">
        <v>9</v>
      </c>
      <c r="M217" s="6">
        <v>2</v>
      </c>
      <c r="N217" s="6">
        <v>2</v>
      </c>
      <c r="O217" s="6" t="str">
        <f t="shared" si="31"/>
        <v>Correct</v>
      </c>
      <c r="P217" s="6" t="s">
        <v>2309</v>
      </c>
      <c r="Q217" s="6">
        <v>2</v>
      </c>
      <c r="R217" s="6" t="str">
        <f t="shared" si="32"/>
        <v>Correct</v>
      </c>
      <c r="S217" s="6" t="s">
        <v>3684</v>
      </c>
      <c r="T217" s="14">
        <v>2</v>
      </c>
      <c r="U217" s="6" t="str">
        <f t="shared" si="33"/>
        <v>Correct</v>
      </c>
      <c r="V217" s="15">
        <v>2</v>
      </c>
      <c r="W217" s="15" t="str">
        <f t="shared" si="34"/>
        <v>Correct</v>
      </c>
      <c r="X217" s="14">
        <v>2</v>
      </c>
      <c r="Y217" s="14" t="str">
        <f t="shared" si="35"/>
        <v>Correct</v>
      </c>
      <c r="Z217" s="6">
        <v>216</v>
      </c>
      <c r="AA217" s="6" t="s">
        <v>499</v>
      </c>
      <c r="AB217" s="6" t="s">
        <v>2310</v>
      </c>
      <c r="AC217" s="6">
        <v>1</v>
      </c>
      <c r="AD217" s="6" t="s">
        <v>40</v>
      </c>
      <c r="AE217" s="6" t="s">
        <v>4064</v>
      </c>
      <c r="AF217" s="6" t="s">
        <v>2311</v>
      </c>
      <c r="AG217" s="6" t="s">
        <v>2312</v>
      </c>
      <c r="AH217" s="6" t="s">
        <v>44</v>
      </c>
      <c r="AI217" s="6" t="s">
        <v>4358</v>
      </c>
      <c r="AJ217" s="6" t="s">
        <v>2313</v>
      </c>
      <c r="AK217" s="6" t="s">
        <v>4065</v>
      </c>
      <c r="AL217" s="6" t="s">
        <v>3476</v>
      </c>
      <c r="AM217" s="6" t="s">
        <v>2314</v>
      </c>
      <c r="AN217" s="6" t="s">
        <v>2315</v>
      </c>
      <c r="AO217" s="6" t="s">
        <v>2316</v>
      </c>
      <c r="AP217" s="6" t="s">
        <v>2307</v>
      </c>
      <c r="AQ217" s="21" t="s">
        <v>4504</v>
      </c>
      <c r="AR217" s="6" t="s">
        <v>2317</v>
      </c>
      <c r="AS217" s="6" t="s">
        <v>4823</v>
      </c>
      <c r="AT217" s="14">
        <v>2</v>
      </c>
      <c r="AU217" s="14">
        <v>2</v>
      </c>
      <c r="AV217" s="14">
        <v>2</v>
      </c>
      <c r="AW217" s="14">
        <v>2</v>
      </c>
      <c r="AX217" s="14">
        <v>2</v>
      </c>
      <c r="AY217" s="14">
        <v>2</v>
      </c>
      <c r="AZ217" s="14">
        <v>2</v>
      </c>
      <c r="BA217" s="2"/>
    </row>
    <row r="218" spans="1:53" ht="44" customHeight="1" x14ac:dyDescent="0.2">
      <c r="A218" s="6">
        <v>105386</v>
      </c>
      <c r="B218" s="6">
        <v>79652046</v>
      </c>
      <c r="C218" s="8" t="s">
        <v>2166</v>
      </c>
      <c r="D218" s="6" t="s">
        <v>2318</v>
      </c>
      <c r="E218" s="6">
        <f t="shared" si="27"/>
        <v>186</v>
      </c>
      <c r="F218" s="6" t="s">
        <v>2319</v>
      </c>
      <c r="G218" s="6">
        <f t="shared" si="28"/>
        <v>46</v>
      </c>
      <c r="H218" s="9">
        <f t="shared" si="29"/>
        <v>0.75268817204301075</v>
      </c>
      <c r="I218" s="6" t="s">
        <v>5272</v>
      </c>
      <c r="J218" s="6">
        <v>3</v>
      </c>
      <c r="K218" s="9">
        <f t="shared" si="30"/>
        <v>1.6129032258064516E-2</v>
      </c>
      <c r="L218" s="6">
        <v>5</v>
      </c>
      <c r="M218" s="6">
        <v>2</v>
      </c>
      <c r="N218" s="6">
        <v>2</v>
      </c>
      <c r="O218" s="6" t="str">
        <f t="shared" si="31"/>
        <v>Correct</v>
      </c>
      <c r="P218" s="6" t="s">
        <v>2320</v>
      </c>
      <c r="Q218" s="6">
        <v>2</v>
      </c>
      <c r="R218" s="6" t="str">
        <f t="shared" si="32"/>
        <v>Correct</v>
      </c>
      <c r="S218" s="6" t="s">
        <v>3812</v>
      </c>
      <c r="T218" s="14">
        <v>2</v>
      </c>
      <c r="U218" s="6" t="str">
        <f t="shared" si="33"/>
        <v>Correct</v>
      </c>
      <c r="V218" s="15">
        <v>2</v>
      </c>
      <c r="W218" s="15" t="str">
        <f t="shared" si="34"/>
        <v>Correct</v>
      </c>
      <c r="X218" s="14">
        <v>2</v>
      </c>
      <c r="Y218" s="14" t="str">
        <f t="shared" si="35"/>
        <v>Correct</v>
      </c>
      <c r="Z218" s="6">
        <v>217</v>
      </c>
      <c r="AA218" s="6" t="s">
        <v>675</v>
      </c>
      <c r="AB218" s="6" t="s">
        <v>2321</v>
      </c>
      <c r="AC218" s="6">
        <v>1</v>
      </c>
      <c r="AD218" s="6" t="s">
        <v>40</v>
      </c>
      <c r="AE218" s="6" t="s">
        <v>1186</v>
      </c>
      <c r="AF218" s="6" t="s">
        <v>2322</v>
      </c>
      <c r="AG218" s="6" t="s">
        <v>2323</v>
      </c>
      <c r="AH218" s="6" t="s">
        <v>2324</v>
      </c>
      <c r="AI218" s="6" t="s">
        <v>3439</v>
      </c>
      <c r="AJ218" s="6" t="s">
        <v>4066</v>
      </c>
      <c r="AK218" s="6" t="s">
        <v>4067</v>
      </c>
      <c r="AL218" s="6" t="s">
        <v>3477</v>
      </c>
      <c r="AM218" s="6" t="s">
        <v>2325</v>
      </c>
      <c r="AN218" s="6" t="s">
        <v>2326</v>
      </c>
      <c r="AO218" s="6" t="s">
        <v>2327</v>
      </c>
      <c r="AP218" s="6" t="s">
        <v>2328</v>
      </c>
      <c r="AQ218" s="21" t="s">
        <v>4505</v>
      </c>
      <c r="AR218" s="6" t="s">
        <v>4824</v>
      </c>
      <c r="AS218" s="6" t="s">
        <v>4825</v>
      </c>
      <c r="AT218" s="14">
        <v>2</v>
      </c>
      <c r="AU218" s="14">
        <v>2</v>
      </c>
      <c r="AV218" s="14">
        <v>2</v>
      </c>
      <c r="AW218" s="14">
        <v>2</v>
      </c>
      <c r="AX218" s="14">
        <v>2</v>
      </c>
      <c r="AY218" s="14">
        <v>2</v>
      </c>
      <c r="AZ218" s="14">
        <v>2</v>
      </c>
      <c r="BA218" s="2"/>
    </row>
    <row r="219" spans="1:53" ht="44" customHeight="1" x14ac:dyDescent="0.2">
      <c r="A219" s="6">
        <v>107084</v>
      </c>
      <c r="B219" s="6">
        <v>79605618</v>
      </c>
      <c r="C219" s="8" t="s">
        <v>2166</v>
      </c>
      <c r="D219" s="6" t="s">
        <v>2329</v>
      </c>
      <c r="E219" s="6">
        <f t="shared" si="27"/>
        <v>262</v>
      </c>
      <c r="F219" s="6" t="s">
        <v>2330</v>
      </c>
      <c r="G219" s="6">
        <f t="shared" si="28"/>
        <v>36</v>
      </c>
      <c r="H219" s="9">
        <f t="shared" si="29"/>
        <v>0.86259541984732824</v>
      </c>
      <c r="I219" s="6" t="s">
        <v>5273</v>
      </c>
      <c r="J219" s="6">
        <v>9</v>
      </c>
      <c r="K219" s="9">
        <f t="shared" si="30"/>
        <v>3.4351145038167941E-2</v>
      </c>
      <c r="L219" s="6">
        <v>29</v>
      </c>
      <c r="M219" s="6">
        <v>1</v>
      </c>
      <c r="N219" s="6">
        <v>1</v>
      </c>
      <c r="O219" s="6" t="str">
        <f t="shared" si="31"/>
        <v>Correct</v>
      </c>
      <c r="P219" s="6" t="s">
        <v>2331</v>
      </c>
      <c r="Q219" s="6">
        <v>1</v>
      </c>
      <c r="R219" s="6" t="str">
        <f t="shared" si="32"/>
        <v>Correct</v>
      </c>
      <c r="S219" s="6" t="s">
        <v>3813</v>
      </c>
      <c r="T219" s="14">
        <v>2</v>
      </c>
      <c r="U219" s="6" t="str">
        <f t="shared" si="33"/>
        <v>Undertriaged</v>
      </c>
      <c r="V219" s="15">
        <v>1</v>
      </c>
      <c r="W219" s="15" t="str">
        <f t="shared" si="34"/>
        <v>Correct</v>
      </c>
      <c r="X219" s="14">
        <v>2</v>
      </c>
      <c r="Y219" s="14" t="str">
        <f t="shared" si="35"/>
        <v>Undertriaged</v>
      </c>
      <c r="Z219" s="6">
        <v>218</v>
      </c>
      <c r="AA219" s="6" t="s">
        <v>526</v>
      </c>
      <c r="AB219" s="6" t="s">
        <v>2332</v>
      </c>
      <c r="AC219" s="6">
        <v>1</v>
      </c>
      <c r="AD219" s="6" t="s">
        <v>40</v>
      </c>
      <c r="AE219" s="6" t="s">
        <v>2333</v>
      </c>
      <c r="AF219" s="6" t="s">
        <v>2334</v>
      </c>
      <c r="AG219" s="6" t="s">
        <v>2335</v>
      </c>
      <c r="AH219" s="6" t="s">
        <v>44</v>
      </c>
      <c r="AI219" s="6" t="s">
        <v>4359</v>
      </c>
      <c r="AJ219" s="6" t="s">
        <v>4068</v>
      </c>
      <c r="AK219" s="6" t="s">
        <v>2336</v>
      </c>
      <c r="AL219" s="6" t="s">
        <v>3476</v>
      </c>
      <c r="AM219" s="6" t="s">
        <v>2337</v>
      </c>
      <c r="AN219" s="6" t="s">
        <v>2338</v>
      </c>
      <c r="AO219" s="6" t="s">
        <v>2339</v>
      </c>
      <c r="AP219" s="6" t="s">
        <v>2329</v>
      </c>
      <c r="AQ219" s="21" t="s">
        <v>4506</v>
      </c>
      <c r="AR219" s="6" t="s">
        <v>4826</v>
      </c>
      <c r="AS219" s="6" t="s">
        <v>2340</v>
      </c>
      <c r="AT219" s="14">
        <v>1</v>
      </c>
      <c r="AU219" s="14">
        <v>2</v>
      </c>
      <c r="AV219" s="14">
        <v>1</v>
      </c>
      <c r="AW219" s="14">
        <v>1</v>
      </c>
      <c r="AX219" s="14">
        <v>2</v>
      </c>
      <c r="AY219" s="14">
        <v>1</v>
      </c>
      <c r="AZ219" s="14">
        <v>1</v>
      </c>
      <c r="BA219" s="2"/>
    </row>
    <row r="220" spans="1:53" ht="44" customHeight="1" x14ac:dyDescent="0.2">
      <c r="A220" s="6">
        <v>112323</v>
      </c>
      <c r="B220" s="6">
        <v>79605316</v>
      </c>
      <c r="C220" s="8" t="s">
        <v>2166</v>
      </c>
      <c r="D220" s="6" t="s">
        <v>2341</v>
      </c>
      <c r="E220" s="6">
        <f t="shared" si="27"/>
        <v>244</v>
      </c>
      <c r="F220" s="6" t="s">
        <v>2342</v>
      </c>
      <c r="G220" s="6">
        <f t="shared" si="28"/>
        <v>42</v>
      </c>
      <c r="H220" s="9">
        <f t="shared" si="29"/>
        <v>0.82786885245901642</v>
      </c>
      <c r="I220" s="6" t="s">
        <v>5274</v>
      </c>
      <c r="J220" s="6">
        <v>7</v>
      </c>
      <c r="K220" s="9">
        <f t="shared" si="30"/>
        <v>2.8688524590163935E-2</v>
      </c>
      <c r="L220" s="6">
        <v>5</v>
      </c>
      <c r="M220" s="6">
        <v>2</v>
      </c>
      <c r="N220" s="6">
        <v>2</v>
      </c>
      <c r="O220" s="6" t="str">
        <f t="shared" si="31"/>
        <v>Correct</v>
      </c>
      <c r="P220" s="6" t="s">
        <v>2343</v>
      </c>
      <c r="Q220" s="6">
        <v>2</v>
      </c>
      <c r="R220" s="6" t="str">
        <f t="shared" si="32"/>
        <v>Correct</v>
      </c>
      <c r="S220" s="6" t="s">
        <v>3685</v>
      </c>
      <c r="T220" s="14">
        <v>2</v>
      </c>
      <c r="U220" s="6" t="str">
        <f t="shared" si="33"/>
        <v>Correct</v>
      </c>
      <c r="V220" s="15">
        <v>2</v>
      </c>
      <c r="W220" s="15" t="str">
        <f t="shared" si="34"/>
        <v>Correct</v>
      </c>
      <c r="X220" s="14">
        <v>2</v>
      </c>
      <c r="Y220" s="14" t="str">
        <f t="shared" si="35"/>
        <v>Correct</v>
      </c>
      <c r="Z220" s="6">
        <v>219</v>
      </c>
      <c r="AA220" s="6" t="s">
        <v>2344</v>
      </c>
      <c r="AB220" s="6" t="s">
        <v>2345</v>
      </c>
      <c r="AC220" s="6">
        <v>1</v>
      </c>
      <c r="AD220" s="6" t="s">
        <v>40</v>
      </c>
      <c r="AE220" s="6" t="s">
        <v>265</v>
      </c>
      <c r="AF220" s="6" t="s">
        <v>2346</v>
      </c>
      <c r="AG220" s="6" t="s">
        <v>2347</v>
      </c>
      <c r="AH220" s="6" t="s">
        <v>2348</v>
      </c>
      <c r="AI220" s="6" t="s">
        <v>44</v>
      </c>
      <c r="AJ220" s="6" t="s">
        <v>4069</v>
      </c>
      <c r="AK220" s="6" t="s">
        <v>4070</v>
      </c>
      <c r="AL220" s="6" t="s">
        <v>3477</v>
      </c>
      <c r="AM220" s="6" t="s">
        <v>2349</v>
      </c>
      <c r="AN220" s="6" t="s">
        <v>2350</v>
      </c>
      <c r="AO220" s="6" t="s">
        <v>2351</v>
      </c>
      <c r="AP220" s="6" t="s">
        <v>2352</v>
      </c>
      <c r="AQ220" s="21" t="s">
        <v>2341</v>
      </c>
      <c r="AR220" s="6" t="s">
        <v>4827</v>
      </c>
      <c r="AS220" s="6" t="s">
        <v>4828</v>
      </c>
      <c r="AT220" s="14">
        <v>2</v>
      </c>
      <c r="AU220" s="14">
        <v>2</v>
      </c>
      <c r="AV220" s="14">
        <v>2</v>
      </c>
      <c r="AW220" s="14">
        <v>1</v>
      </c>
      <c r="AX220" s="14">
        <v>2</v>
      </c>
      <c r="AY220" s="14">
        <v>2</v>
      </c>
      <c r="AZ220" s="14">
        <v>2</v>
      </c>
      <c r="BA220" s="2"/>
    </row>
    <row r="221" spans="1:53" ht="44" customHeight="1" x14ac:dyDescent="0.2">
      <c r="A221" s="6">
        <v>114312</v>
      </c>
      <c r="B221" s="6">
        <v>79621136</v>
      </c>
      <c r="C221" s="8" t="s">
        <v>2166</v>
      </c>
      <c r="D221" s="6" t="s">
        <v>2353</v>
      </c>
      <c r="E221" s="6">
        <f t="shared" si="27"/>
        <v>362</v>
      </c>
      <c r="F221" s="6" t="s">
        <v>2354</v>
      </c>
      <c r="G221" s="6">
        <f t="shared" si="28"/>
        <v>41</v>
      </c>
      <c r="H221" s="9">
        <f t="shared" si="29"/>
        <v>0.88674033149171272</v>
      </c>
      <c r="I221" s="6" t="s">
        <v>5275</v>
      </c>
      <c r="J221" s="6">
        <v>7</v>
      </c>
      <c r="K221" s="9">
        <f t="shared" si="30"/>
        <v>1.9337016574585635E-2</v>
      </c>
      <c r="L221" s="6">
        <v>25</v>
      </c>
      <c r="M221" s="6">
        <v>1</v>
      </c>
      <c r="N221" s="6">
        <v>1</v>
      </c>
      <c r="O221" s="6" t="str">
        <f t="shared" si="31"/>
        <v>Correct</v>
      </c>
      <c r="P221" s="6" t="s">
        <v>2355</v>
      </c>
      <c r="Q221" s="6">
        <v>1</v>
      </c>
      <c r="R221" s="6" t="str">
        <f t="shared" si="32"/>
        <v>Correct</v>
      </c>
      <c r="S221" s="6" t="s">
        <v>3814</v>
      </c>
      <c r="T221" s="14">
        <v>1</v>
      </c>
      <c r="U221" s="6" t="str">
        <f t="shared" si="33"/>
        <v>Correct</v>
      </c>
      <c r="V221" s="15">
        <v>1</v>
      </c>
      <c r="W221" s="15" t="str">
        <f t="shared" si="34"/>
        <v>Correct</v>
      </c>
      <c r="X221" s="14">
        <v>1</v>
      </c>
      <c r="Y221" s="14" t="str">
        <f t="shared" si="35"/>
        <v>Correct</v>
      </c>
      <c r="Z221" s="6">
        <v>220</v>
      </c>
      <c r="AA221" s="6" t="s">
        <v>2356</v>
      </c>
      <c r="AB221" s="6" t="s">
        <v>2357</v>
      </c>
      <c r="AC221" s="6">
        <v>1</v>
      </c>
      <c r="AD221" s="6" t="s">
        <v>40</v>
      </c>
      <c r="AE221" s="6" t="s">
        <v>1043</v>
      </c>
      <c r="AF221" s="6" t="s">
        <v>2358</v>
      </c>
      <c r="AG221" s="6" t="s">
        <v>2359</v>
      </c>
      <c r="AH221" s="6" t="s">
        <v>44</v>
      </c>
      <c r="AI221" s="6" t="s">
        <v>4327</v>
      </c>
      <c r="AJ221" s="6" t="s">
        <v>2360</v>
      </c>
      <c r="AK221" s="6" t="s">
        <v>4071</v>
      </c>
      <c r="AL221" s="6" t="s">
        <v>3476</v>
      </c>
      <c r="AM221" s="6" t="s">
        <v>2361</v>
      </c>
      <c r="AN221" s="6" t="s">
        <v>2362</v>
      </c>
      <c r="AO221" s="6" t="s">
        <v>2363</v>
      </c>
      <c r="AP221" s="6" t="s">
        <v>2353</v>
      </c>
      <c r="AQ221" s="21" t="s">
        <v>4507</v>
      </c>
      <c r="AR221" s="6" t="s">
        <v>4829</v>
      </c>
      <c r="AS221" s="6" t="s">
        <v>2364</v>
      </c>
      <c r="AT221" s="14">
        <v>2</v>
      </c>
      <c r="AU221" s="14">
        <v>1</v>
      </c>
      <c r="AV221" s="14">
        <v>1</v>
      </c>
      <c r="AW221" s="14">
        <v>1</v>
      </c>
      <c r="AX221" s="14">
        <v>1</v>
      </c>
      <c r="AY221" s="14">
        <v>1</v>
      </c>
      <c r="AZ221" s="14">
        <v>1</v>
      </c>
      <c r="BA221" s="2"/>
    </row>
    <row r="222" spans="1:53" ht="44" customHeight="1" x14ac:dyDescent="0.2">
      <c r="A222" s="6">
        <v>115256</v>
      </c>
      <c r="B222" s="6">
        <v>79621176</v>
      </c>
      <c r="C222" s="8" t="s">
        <v>2166</v>
      </c>
      <c r="D222" s="6" t="s">
        <v>2365</v>
      </c>
      <c r="E222" s="6">
        <f t="shared" si="27"/>
        <v>240</v>
      </c>
      <c r="F222" s="6" t="s">
        <v>2366</v>
      </c>
      <c r="G222" s="6">
        <f t="shared" si="28"/>
        <v>51</v>
      </c>
      <c r="H222" s="9">
        <f t="shared" si="29"/>
        <v>0.78749999999999998</v>
      </c>
      <c r="I222" s="6" t="s">
        <v>5276</v>
      </c>
      <c r="J222" s="6">
        <v>3</v>
      </c>
      <c r="K222" s="9">
        <f t="shared" si="30"/>
        <v>1.2500000000000001E-2</v>
      </c>
      <c r="L222" s="6">
        <v>14</v>
      </c>
      <c r="M222" s="6">
        <v>2</v>
      </c>
      <c r="N222" s="6">
        <v>1</v>
      </c>
      <c r="O222" s="6" t="str">
        <f t="shared" si="31"/>
        <v>Overtriaged</v>
      </c>
      <c r="P222" s="6" t="s">
        <v>2367</v>
      </c>
      <c r="Q222" s="6">
        <v>1</v>
      </c>
      <c r="R222" s="6" t="str">
        <f t="shared" si="32"/>
        <v>Overtriaged</v>
      </c>
      <c r="S222" s="6" t="s">
        <v>3815</v>
      </c>
      <c r="T222" s="14">
        <v>1</v>
      </c>
      <c r="U222" s="6" t="str">
        <f t="shared" si="33"/>
        <v>Overtriaged</v>
      </c>
      <c r="V222" s="15">
        <v>1</v>
      </c>
      <c r="W222" s="15" t="str">
        <f t="shared" si="34"/>
        <v>Overtriaged</v>
      </c>
      <c r="X222" s="14">
        <v>2</v>
      </c>
      <c r="Y222" s="14" t="str">
        <f t="shared" si="35"/>
        <v>Correct</v>
      </c>
      <c r="Z222" s="6">
        <v>221</v>
      </c>
      <c r="AA222" s="6" t="s">
        <v>2368</v>
      </c>
      <c r="AB222" s="6" t="s">
        <v>2369</v>
      </c>
      <c r="AC222" s="6">
        <v>3</v>
      </c>
      <c r="AD222" s="6" t="s">
        <v>40</v>
      </c>
      <c r="AE222" s="6" t="s">
        <v>2370</v>
      </c>
      <c r="AF222" s="6" t="s">
        <v>2371</v>
      </c>
      <c r="AG222" s="6" t="s">
        <v>2372</v>
      </c>
      <c r="AH222" s="6" t="s">
        <v>2373</v>
      </c>
      <c r="AI222" s="6" t="s">
        <v>4360</v>
      </c>
      <c r="AJ222" s="6" t="s">
        <v>4072</v>
      </c>
      <c r="AK222" s="6" t="s">
        <v>4073</v>
      </c>
      <c r="AL222" s="6" t="s">
        <v>3477</v>
      </c>
      <c r="AM222" s="6" t="s">
        <v>2374</v>
      </c>
      <c r="AN222" s="6" t="s">
        <v>2375</v>
      </c>
      <c r="AO222" s="6" t="s">
        <v>2376</v>
      </c>
      <c r="AP222" s="6" t="s">
        <v>2377</v>
      </c>
      <c r="AQ222" s="21" t="s">
        <v>4508</v>
      </c>
      <c r="AR222" s="6" t="s">
        <v>4830</v>
      </c>
      <c r="AS222" s="6" t="s">
        <v>4831</v>
      </c>
      <c r="AT222" s="14">
        <v>1</v>
      </c>
      <c r="AU222" s="14">
        <v>1</v>
      </c>
      <c r="AV222" s="14">
        <v>1</v>
      </c>
      <c r="AW222" s="14">
        <v>1</v>
      </c>
      <c r="AX222" s="14">
        <v>1</v>
      </c>
      <c r="AY222" s="14">
        <v>1</v>
      </c>
      <c r="AZ222" s="14">
        <v>1</v>
      </c>
      <c r="BA222" s="2"/>
    </row>
    <row r="223" spans="1:53" ht="44" customHeight="1" x14ac:dyDescent="0.2">
      <c r="A223" s="6">
        <v>100684</v>
      </c>
      <c r="B223" s="6">
        <v>79719394</v>
      </c>
      <c r="C223" s="8" t="s">
        <v>2166</v>
      </c>
      <c r="D223" s="6" t="s">
        <v>2378</v>
      </c>
      <c r="E223" s="6">
        <f t="shared" si="27"/>
        <v>530</v>
      </c>
      <c r="F223" s="6" t="s">
        <v>2379</v>
      </c>
      <c r="G223" s="6">
        <f t="shared" si="28"/>
        <v>62</v>
      </c>
      <c r="H223" s="9">
        <f t="shared" si="29"/>
        <v>0.88301886792452833</v>
      </c>
      <c r="I223" s="6" t="s">
        <v>5277</v>
      </c>
      <c r="J223" s="6">
        <v>8</v>
      </c>
      <c r="K223" s="9">
        <f t="shared" si="30"/>
        <v>1.509433962264151E-2</v>
      </c>
      <c r="L223" s="6">
        <v>29</v>
      </c>
      <c r="M223" s="6">
        <v>1</v>
      </c>
      <c r="N223" s="6">
        <v>2</v>
      </c>
      <c r="O223" s="6" t="str">
        <f t="shared" si="31"/>
        <v>Undertriaged</v>
      </c>
      <c r="P223" s="6" t="s">
        <v>2380</v>
      </c>
      <c r="Q223" s="6">
        <v>1</v>
      </c>
      <c r="R223" s="6" t="str">
        <f t="shared" si="32"/>
        <v>Correct</v>
      </c>
      <c r="S223" s="6" t="s">
        <v>3816</v>
      </c>
      <c r="T223" s="14">
        <v>1</v>
      </c>
      <c r="U223" s="6" t="str">
        <f t="shared" si="33"/>
        <v>Correct</v>
      </c>
      <c r="V223" s="15">
        <v>1</v>
      </c>
      <c r="W223" s="15" t="str">
        <f t="shared" si="34"/>
        <v>Correct</v>
      </c>
      <c r="X223" s="14">
        <v>1</v>
      </c>
      <c r="Y223" s="14" t="str">
        <f t="shared" si="35"/>
        <v>Correct</v>
      </c>
      <c r="Z223" s="6">
        <v>222</v>
      </c>
      <c r="AA223" s="6" t="s">
        <v>2381</v>
      </c>
      <c r="AB223" s="6" t="s">
        <v>2382</v>
      </c>
      <c r="AC223" s="6">
        <v>1</v>
      </c>
      <c r="AD223" s="6" t="s">
        <v>40</v>
      </c>
      <c r="AE223" s="6" t="s">
        <v>44</v>
      </c>
      <c r="AF223" s="6" t="s">
        <v>4074</v>
      </c>
      <c r="AG223" s="6" t="s">
        <v>2383</v>
      </c>
      <c r="AH223" s="6" t="s">
        <v>4075</v>
      </c>
      <c r="AI223" s="6" t="s">
        <v>4361</v>
      </c>
      <c r="AJ223" s="6" t="s">
        <v>2384</v>
      </c>
      <c r="AK223" s="6" t="s">
        <v>2385</v>
      </c>
      <c r="AL223" s="6" t="s">
        <v>5109</v>
      </c>
      <c r="AM223" s="6" t="s">
        <v>2378</v>
      </c>
      <c r="AN223" s="6" t="s">
        <v>4832</v>
      </c>
      <c r="AO223" s="6" t="s">
        <v>2386</v>
      </c>
      <c r="AP223" s="6" t="s">
        <v>4833</v>
      </c>
      <c r="AQ223" s="21" t="s">
        <v>4509</v>
      </c>
      <c r="AR223" s="6" t="s">
        <v>2387</v>
      </c>
      <c r="AS223" s="6" t="s">
        <v>2388</v>
      </c>
      <c r="AT223" s="14">
        <v>1</v>
      </c>
      <c r="AU223" s="14">
        <v>1</v>
      </c>
      <c r="AV223" s="14">
        <v>1</v>
      </c>
      <c r="AW223" s="14">
        <v>1</v>
      </c>
      <c r="AX223" s="14">
        <v>2</v>
      </c>
      <c r="AY223" s="14">
        <v>1</v>
      </c>
      <c r="AZ223" s="14">
        <v>1</v>
      </c>
      <c r="BA223" s="2"/>
    </row>
    <row r="224" spans="1:53" ht="44" customHeight="1" x14ac:dyDescent="0.2">
      <c r="A224" s="6">
        <v>109935</v>
      </c>
      <c r="B224" s="6">
        <v>79678997</v>
      </c>
      <c r="C224" s="8" t="s">
        <v>2166</v>
      </c>
      <c r="D224" s="6" t="s">
        <v>2389</v>
      </c>
      <c r="E224" s="6">
        <f t="shared" si="27"/>
        <v>182</v>
      </c>
      <c r="F224" s="6" t="s">
        <v>2390</v>
      </c>
      <c r="G224" s="6">
        <f t="shared" si="28"/>
        <v>47</v>
      </c>
      <c r="H224" s="9">
        <f t="shared" si="29"/>
        <v>0.74175824175824179</v>
      </c>
      <c r="I224" s="6"/>
      <c r="J224" s="6">
        <v>0</v>
      </c>
      <c r="K224" s="9">
        <f t="shared" si="30"/>
        <v>0</v>
      </c>
      <c r="L224" s="6">
        <v>1</v>
      </c>
      <c r="M224" s="6">
        <v>2</v>
      </c>
      <c r="N224" s="6">
        <v>2</v>
      </c>
      <c r="O224" s="6" t="str">
        <f t="shared" si="31"/>
        <v>Correct</v>
      </c>
      <c r="P224" s="6" t="s">
        <v>2391</v>
      </c>
      <c r="Q224" s="6">
        <v>2</v>
      </c>
      <c r="R224" s="6" t="str">
        <f t="shared" si="32"/>
        <v>Correct</v>
      </c>
      <c r="S224" s="6" t="s">
        <v>3686</v>
      </c>
      <c r="T224" s="14">
        <v>2</v>
      </c>
      <c r="U224" s="6" t="str">
        <f t="shared" si="33"/>
        <v>Correct</v>
      </c>
      <c r="V224" s="15">
        <v>2</v>
      </c>
      <c r="W224" s="15" t="str">
        <f t="shared" si="34"/>
        <v>Correct</v>
      </c>
      <c r="X224" s="14">
        <v>2</v>
      </c>
      <c r="Y224" s="14" t="str">
        <f t="shared" si="35"/>
        <v>Correct</v>
      </c>
      <c r="Z224" s="6">
        <v>223</v>
      </c>
      <c r="AA224" s="6" t="s">
        <v>2392</v>
      </c>
      <c r="AB224" s="6" t="s">
        <v>2393</v>
      </c>
      <c r="AC224" s="6">
        <v>1</v>
      </c>
      <c r="AD224" s="6" t="s">
        <v>40</v>
      </c>
      <c r="AE224" s="6" t="s">
        <v>2394</v>
      </c>
      <c r="AF224" s="6" t="s">
        <v>2395</v>
      </c>
      <c r="AG224" s="6" t="s">
        <v>2396</v>
      </c>
      <c r="AH224" s="6" t="s">
        <v>2397</v>
      </c>
      <c r="AI224" s="6" t="s">
        <v>4362</v>
      </c>
      <c r="AJ224" s="6" t="s">
        <v>4076</v>
      </c>
      <c r="AK224" s="6" t="s">
        <v>4077</v>
      </c>
      <c r="AL224" s="6" t="s">
        <v>3477</v>
      </c>
      <c r="AM224" s="6" t="s">
        <v>2398</v>
      </c>
      <c r="AN224" s="6" t="s">
        <v>2399</v>
      </c>
      <c r="AO224" s="6" t="s">
        <v>2400</v>
      </c>
      <c r="AP224" s="6" t="s">
        <v>2401</v>
      </c>
      <c r="AQ224" s="21" t="s">
        <v>4510</v>
      </c>
      <c r="AR224" s="6" t="s">
        <v>4834</v>
      </c>
      <c r="AS224" s="6" t="s">
        <v>4835</v>
      </c>
      <c r="AT224" s="14">
        <v>2</v>
      </c>
      <c r="AU224" s="14">
        <v>2</v>
      </c>
      <c r="AV224" s="14">
        <v>2</v>
      </c>
      <c r="AW224" s="14">
        <v>2</v>
      </c>
      <c r="AX224" s="14">
        <v>2</v>
      </c>
      <c r="AY224" s="14">
        <v>2</v>
      </c>
      <c r="AZ224" s="14">
        <v>2</v>
      </c>
      <c r="BA224" s="2"/>
    </row>
    <row r="225" spans="1:53" ht="44" customHeight="1" x14ac:dyDescent="0.2">
      <c r="A225" s="6">
        <v>114146</v>
      </c>
      <c r="B225" s="6">
        <v>79725013</v>
      </c>
      <c r="C225" s="8" t="s">
        <v>2166</v>
      </c>
      <c r="D225" s="6" t="s">
        <v>2402</v>
      </c>
      <c r="E225" s="6">
        <f t="shared" si="27"/>
        <v>252</v>
      </c>
      <c r="F225" s="6" t="s">
        <v>2403</v>
      </c>
      <c r="G225" s="6">
        <f t="shared" si="28"/>
        <v>45</v>
      </c>
      <c r="H225" s="9">
        <f t="shared" si="29"/>
        <v>0.8214285714285714</v>
      </c>
      <c r="I225" s="6" t="s">
        <v>5278</v>
      </c>
      <c r="J225" s="6">
        <v>5</v>
      </c>
      <c r="K225" s="9">
        <f t="shared" si="30"/>
        <v>1.984126984126984E-2</v>
      </c>
      <c r="L225" s="6">
        <v>9</v>
      </c>
      <c r="M225" s="6">
        <v>2</v>
      </c>
      <c r="N225" s="6">
        <v>2</v>
      </c>
      <c r="O225" s="6" t="str">
        <f t="shared" si="31"/>
        <v>Correct</v>
      </c>
      <c r="P225" s="6" t="s">
        <v>2404</v>
      </c>
      <c r="Q225" s="6">
        <v>2</v>
      </c>
      <c r="R225" s="6" t="str">
        <f t="shared" si="32"/>
        <v>Correct</v>
      </c>
      <c r="S225" s="6" t="s">
        <v>3817</v>
      </c>
      <c r="T225" s="14">
        <v>1</v>
      </c>
      <c r="U225" s="6" t="str">
        <f t="shared" si="33"/>
        <v>Overtriaged</v>
      </c>
      <c r="V225" s="15">
        <v>2</v>
      </c>
      <c r="W225" s="15" t="str">
        <f t="shared" si="34"/>
        <v>Correct</v>
      </c>
      <c r="X225" s="14">
        <v>2</v>
      </c>
      <c r="Y225" s="14" t="str">
        <f t="shared" si="35"/>
        <v>Correct</v>
      </c>
      <c r="Z225" s="6">
        <v>224</v>
      </c>
      <c r="AA225" s="6" t="s">
        <v>2405</v>
      </c>
      <c r="AB225" s="6" t="s">
        <v>2406</v>
      </c>
      <c r="AC225" s="6">
        <v>1</v>
      </c>
      <c r="AD225" s="6" t="s">
        <v>40</v>
      </c>
      <c r="AE225" s="6" t="s">
        <v>69</v>
      </c>
      <c r="AF225" s="6" t="s">
        <v>2407</v>
      </c>
      <c r="AG225" s="6" t="s">
        <v>2408</v>
      </c>
      <c r="AH225" s="6" t="s">
        <v>44</v>
      </c>
      <c r="AI225" s="6" t="s">
        <v>4328</v>
      </c>
      <c r="AJ225" s="6" t="s">
        <v>4078</v>
      </c>
      <c r="AK225" s="6" t="s">
        <v>2409</v>
      </c>
      <c r="AL225" s="6" t="s">
        <v>3476</v>
      </c>
      <c r="AM225" s="6" t="s">
        <v>2410</v>
      </c>
      <c r="AN225" s="6" t="s">
        <v>2411</v>
      </c>
      <c r="AO225" s="6" t="s">
        <v>2412</v>
      </c>
      <c r="AP225" s="6" t="s">
        <v>2402</v>
      </c>
      <c r="AQ225" s="21" t="s">
        <v>4511</v>
      </c>
      <c r="AR225" s="6" t="s">
        <v>4836</v>
      </c>
      <c r="AS225" s="6" t="s">
        <v>2413</v>
      </c>
      <c r="AT225" s="14">
        <v>2</v>
      </c>
      <c r="AU225" s="14">
        <v>2</v>
      </c>
      <c r="AV225" s="14">
        <v>2</v>
      </c>
      <c r="AW225" s="14">
        <v>2</v>
      </c>
      <c r="AX225" s="14">
        <v>2</v>
      </c>
      <c r="AY225" s="14">
        <v>2</v>
      </c>
      <c r="AZ225" s="14">
        <v>2</v>
      </c>
      <c r="BA225" s="2"/>
    </row>
    <row r="226" spans="1:53" ht="44" customHeight="1" x14ac:dyDescent="0.2">
      <c r="A226" s="6">
        <v>114263</v>
      </c>
      <c r="B226" s="6">
        <v>79666060</v>
      </c>
      <c r="C226" s="8" t="s">
        <v>2166</v>
      </c>
      <c r="D226" s="6" t="s">
        <v>2414</v>
      </c>
      <c r="E226" s="6">
        <f t="shared" si="27"/>
        <v>194</v>
      </c>
      <c r="F226" s="6" t="s">
        <v>2415</v>
      </c>
      <c r="G226" s="6">
        <f t="shared" si="28"/>
        <v>36</v>
      </c>
      <c r="H226" s="9">
        <f t="shared" si="29"/>
        <v>0.81443298969072164</v>
      </c>
      <c r="I226" s="6" t="s">
        <v>5279</v>
      </c>
      <c r="J226" s="6">
        <v>4</v>
      </c>
      <c r="K226" s="9">
        <f t="shared" si="30"/>
        <v>2.0618556701030927E-2</v>
      </c>
      <c r="L226" s="6">
        <v>9</v>
      </c>
      <c r="M226" s="6">
        <v>2</v>
      </c>
      <c r="N226" s="6">
        <v>2</v>
      </c>
      <c r="O226" s="6" t="str">
        <f t="shared" si="31"/>
        <v>Correct</v>
      </c>
      <c r="P226" s="6" t="s">
        <v>2416</v>
      </c>
      <c r="Q226" s="6">
        <v>2</v>
      </c>
      <c r="R226" s="6" t="str">
        <f t="shared" si="32"/>
        <v>Correct</v>
      </c>
      <c r="S226" s="6" t="s">
        <v>3687</v>
      </c>
      <c r="T226" s="14">
        <v>2</v>
      </c>
      <c r="U226" s="6" t="str">
        <f t="shared" si="33"/>
        <v>Correct</v>
      </c>
      <c r="V226" s="15">
        <v>2</v>
      </c>
      <c r="W226" s="15" t="str">
        <f t="shared" si="34"/>
        <v>Correct</v>
      </c>
      <c r="X226" s="14">
        <v>2</v>
      </c>
      <c r="Y226" s="14" t="str">
        <f t="shared" si="35"/>
        <v>Correct</v>
      </c>
      <c r="Z226" s="6">
        <v>225</v>
      </c>
      <c r="AA226" s="6" t="s">
        <v>2417</v>
      </c>
      <c r="AB226" s="6" t="s">
        <v>2418</v>
      </c>
      <c r="AC226" s="6">
        <v>1</v>
      </c>
      <c r="AD226" s="6" t="s">
        <v>40</v>
      </c>
      <c r="AE226" s="6" t="s">
        <v>2419</v>
      </c>
      <c r="AF226" s="6" t="s">
        <v>1275</v>
      </c>
      <c r="AG226" s="6" t="s">
        <v>2420</v>
      </c>
      <c r="AH226" s="6" t="s">
        <v>44</v>
      </c>
      <c r="AI226" s="6" t="s">
        <v>3440</v>
      </c>
      <c r="AJ226" s="6" t="s">
        <v>4079</v>
      </c>
      <c r="AK226" s="6" t="s">
        <v>4080</v>
      </c>
      <c r="AL226" s="6" t="s">
        <v>3476</v>
      </c>
      <c r="AM226" s="6" t="s">
        <v>2421</v>
      </c>
      <c r="AN226" s="6" t="s">
        <v>2422</v>
      </c>
      <c r="AO226" s="6" t="s">
        <v>2423</v>
      </c>
      <c r="AP226" s="6" t="s">
        <v>2414</v>
      </c>
      <c r="AQ226" s="21" t="s">
        <v>4512</v>
      </c>
      <c r="AR226" s="6" t="s">
        <v>4837</v>
      </c>
      <c r="AS226" s="6" t="s">
        <v>4838</v>
      </c>
      <c r="AT226" s="14">
        <v>2</v>
      </c>
      <c r="AU226" s="14">
        <v>2</v>
      </c>
      <c r="AV226" s="14">
        <v>2</v>
      </c>
      <c r="AW226" s="14">
        <v>2</v>
      </c>
      <c r="AX226" s="14">
        <v>2</v>
      </c>
      <c r="AY226" s="14">
        <v>2</v>
      </c>
      <c r="AZ226" s="14">
        <v>2</v>
      </c>
      <c r="BA226" s="2"/>
    </row>
    <row r="227" spans="1:53" ht="44" customHeight="1" x14ac:dyDescent="0.2">
      <c r="A227" s="6">
        <v>114644</v>
      </c>
      <c r="B227" s="6">
        <v>79682552</v>
      </c>
      <c r="C227" s="8" t="s">
        <v>2166</v>
      </c>
      <c r="D227" s="6" t="s">
        <v>2424</v>
      </c>
      <c r="E227" s="6">
        <f t="shared" si="27"/>
        <v>138</v>
      </c>
      <c r="F227" s="6" t="s">
        <v>2425</v>
      </c>
      <c r="G227" s="6">
        <f t="shared" si="28"/>
        <v>17</v>
      </c>
      <c r="H227" s="9">
        <f t="shared" si="29"/>
        <v>0.87681159420289856</v>
      </c>
      <c r="I227" s="6" t="s">
        <v>5280</v>
      </c>
      <c r="J227" s="6">
        <v>2</v>
      </c>
      <c r="K227" s="9">
        <f t="shared" si="30"/>
        <v>1.4492753623188406E-2</v>
      </c>
      <c r="L227" s="6">
        <v>1</v>
      </c>
      <c r="M227" s="6">
        <v>2</v>
      </c>
      <c r="N227" s="6">
        <v>2</v>
      </c>
      <c r="O227" s="6" t="str">
        <f t="shared" si="31"/>
        <v>Correct</v>
      </c>
      <c r="P227" s="6" t="s">
        <v>2426</v>
      </c>
      <c r="Q227" s="6">
        <v>2</v>
      </c>
      <c r="R227" s="6" t="str">
        <f t="shared" si="32"/>
        <v>Correct</v>
      </c>
      <c r="S227" s="6" t="s">
        <v>3688</v>
      </c>
      <c r="T227" s="14">
        <v>2</v>
      </c>
      <c r="U227" s="6" t="str">
        <f t="shared" si="33"/>
        <v>Correct</v>
      </c>
      <c r="V227" s="15">
        <v>2</v>
      </c>
      <c r="W227" s="15" t="str">
        <f t="shared" si="34"/>
        <v>Correct</v>
      </c>
      <c r="X227" s="14">
        <v>2</v>
      </c>
      <c r="Y227" s="14" t="str">
        <f t="shared" si="35"/>
        <v>Correct</v>
      </c>
      <c r="Z227" s="6">
        <v>226</v>
      </c>
      <c r="AA227" s="6" t="s">
        <v>2427</v>
      </c>
      <c r="AB227" s="6" t="s">
        <v>2428</v>
      </c>
      <c r="AC227" s="6">
        <v>1</v>
      </c>
      <c r="AD227" s="6" t="s">
        <v>40</v>
      </c>
      <c r="AE227" s="6" t="s">
        <v>2429</v>
      </c>
      <c r="AF227" s="6" t="s">
        <v>2198</v>
      </c>
      <c r="AG227" s="6" t="s">
        <v>2430</v>
      </c>
      <c r="AH227" s="6" t="s">
        <v>44</v>
      </c>
      <c r="AI227" s="6" t="s">
        <v>44</v>
      </c>
      <c r="AJ227" s="6" t="s">
        <v>2431</v>
      </c>
      <c r="AK227" s="6" t="s">
        <v>4081</v>
      </c>
      <c r="AL227" s="6" t="s">
        <v>3476</v>
      </c>
      <c r="AM227" s="6" t="s">
        <v>2432</v>
      </c>
      <c r="AN227" s="6" t="s">
        <v>2433</v>
      </c>
      <c r="AO227" s="6" t="s">
        <v>2434</v>
      </c>
      <c r="AP227" s="6" t="s">
        <v>2424</v>
      </c>
      <c r="AQ227" s="21" t="s">
        <v>2424</v>
      </c>
      <c r="AR227" s="6" t="s">
        <v>2435</v>
      </c>
      <c r="AS227" s="6" t="s">
        <v>4839</v>
      </c>
      <c r="AT227" s="14">
        <v>2</v>
      </c>
      <c r="AU227" s="14">
        <v>2</v>
      </c>
      <c r="AV227" s="14">
        <v>2</v>
      </c>
      <c r="AW227" s="14">
        <v>2</v>
      </c>
      <c r="AX227" s="14">
        <v>2</v>
      </c>
      <c r="AY227" s="14">
        <v>2</v>
      </c>
      <c r="AZ227" s="14">
        <v>2</v>
      </c>
      <c r="BA227" s="2"/>
    </row>
    <row r="228" spans="1:53" ht="44" customHeight="1" x14ac:dyDescent="0.2">
      <c r="A228" s="6">
        <v>103507</v>
      </c>
      <c r="B228" s="6">
        <v>79764994</v>
      </c>
      <c r="C228" s="8" t="s">
        <v>2166</v>
      </c>
      <c r="D228" s="6" t="s">
        <v>2436</v>
      </c>
      <c r="E228" s="6">
        <f t="shared" si="27"/>
        <v>633</v>
      </c>
      <c r="F228" s="6" t="s">
        <v>2437</v>
      </c>
      <c r="G228" s="6">
        <f t="shared" si="28"/>
        <v>103</v>
      </c>
      <c r="H228" s="9">
        <f t="shared" si="29"/>
        <v>0.83728278041074244</v>
      </c>
      <c r="I228" s="6" t="s">
        <v>5281</v>
      </c>
      <c r="J228" s="6">
        <v>10</v>
      </c>
      <c r="K228" s="9">
        <f t="shared" si="30"/>
        <v>1.579778830963665E-2</v>
      </c>
      <c r="L228" s="6">
        <v>25</v>
      </c>
      <c r="M228" s="6">
        <v>1</v>
      </c>
      <c r="N228" s="6">
        <v>1</v>
      </c>
      <c r="O228" s="6" t="str">
        <f t="shared" si="31"/>
        <v>Correct</v>
      </c>
      <c r="P228" s="6" t="s">
        <v>2438</v>
      </c>
      <c r="Q228" s="6">
        <v>1</v>
      </c>
      <c r="R228" s="6" t="str">
        <f t="shared" si="32"/>
        <v>Correct</v>
      </c>
      <c r="S228" s="6" t="s">
        <v>3689</v>
      </c>
      <c r="T228" s="14">
        <v>1</v>
      </c>
      <c r="U228" s="6" t="str">
        <f t="shared" si="33"/>
        <v>Correct</v>
      </c>
      <c r="V228" s="15">
        <v>1</v>
      </c>
      <c r="W228" s="15" t="str">
        <f t="shared" si="34"/>
        <v>Correct</v>
      </c>
      <c r="X228" s="14">
        <v>1</v>
      </c>
      <c r="Y228" s="14" t="str">
        <f t="shared" si="35"/>
        <v>Correct</v>
      </c>
      <c r="Z228" s="6">
        <v>227</v>
      </c>
      <c r="AA228" s="6" t="s">
        <v>213</v>
      </c>
      <c r="AB228" s="6" t="s">
        <v>2439</v>
      </c>
      <c r="AC228" s="6">
        <v>1</v>
      </c>
      <c r="AD228" s="6" t="s">
        <v>40</v>
      </c>
      <c r="AE228" s="6" t="s">
        <v>2440</v>
      </c>
      <c r="AF228" s="6" t="s">
        <v>2441</v>
      </c>
      <c r="AG228" s="6" t="s">
        <v>2442</v>
      </c>
      <c r="AH228" s="6" t="s">
        <v>2443</v>
      </c>
      <c r="AI228" s="6" t="s">
        <v>4363</v>
      </c>
      <c r="AJ228" s="6" t="s">
        <v>44</v>
      </c>
      <c r="AK228" s="6" t="s">
        <v>4082</v>
      </c>
      <c r="AL228" s="6" t="s">
        <v>5098</v>
      </c>
      <c r="AM228" s="6" t="s">
        <v>2444</v>
      </c>
      <c r="AN228" s="6" t="s">
        <v>2445</v>
      </c>
      <c r="AO228" s="6" t="s">
        <v>2446</v>
      </c>
      <c r="AP228" s="6" t="s">
        <v>2447</v>
      </c>
      <c r="AQ228" s="21" t="s">
        <v>4513</v>
      </c>
      <c r="AR228" s="6" t="s">
        <v>2436</v>
      </c>
      <c r="AS228" s="6" t="s">
        <v>4840</v>
      </c>
      <c r="AT228" s="14">
        <v>1</v>
      </c>
      <c r="AU228" s="14">
        <v>1</v>
      </c>
      <c r="AV228" s="14">
        <v>1</v>
      </c>
      <c r="AW228" s="14">
        <v>1</v>
      </c>
      <c r="AX228" s="14">
        <v>1</v>
      </c>
      <c r="AY228" s="14">
        <v>1</v>
      </c>
      <c r="AZ228" s="14">
        <v>1</v>
      </c>
      <c r="BA228" s="2"/>
    </row>
    <row r="229" spans="1:53" ht="44" customHeight="1" x14ac:dyDescent="0.2">
      <c r="A229" s="6">
        <v>107669</v>
      </c>
      <c r="B229" s="6">
        <v>79785677</v>
      </c>
      <c r="C229" s="8" t="s">
        <v>2166</v>
      </c>
      <c r="D229" s="6" t="s">
        <v>2448</v>
      </c>
      <c r="E229" s="6">
        <f t="shared" si="27"/>
        <v>173</v>
      </c>
      <c r="F229" s="6" t="s">
        <v>2449</v>
      </c>
      <c r="G229" s="6">
        <f t="shared" si="28"/>
        <v>49</v>
      </c>
      <c r="H229" s="9">
        <f t="shared" si="29"/>
        <v>0.7167630057803468</v>
      </c>
      <c r="I229" s="6" t="s">
        <v>5282</v>
      </c>
      <c r="J229" s="6">
        <v>3</v>
      </c>
      <c r="K229" s="9">
        <f t="shared" si="30"/>
        <v>1.7341040462427744E-2</v>
      </c>
      <c r="L229" s="6">
        <v>6</v>
      </c>
      <c r="M229" s="6">
        <v>2</v>
      </c>
      <c r="N229" s="6">
        <v>2</v>
      </c>
      <c r="O229" s="6" t="str">
        <f t="shared" si="31"/>
        <v>Correct</v>
      </c>
      <c r="P229" s="6" t="s">
        <v>2450</v>
      </c>
      <c r="Q229" s="6">
        <v>1</v>
      </c>
      <c r="R229" s="6" t="str">
        <f t="shared" si="32"/>
        <v>Overtriaged</v>
      </c>
      <c r="S229" s="6" t="s">
        <v>3818</v>
      </c>
      <c r="T229" s="14">
        <v>1</v>
      </c>
      <c r="U229" s="6" t="str">
        <f t="shared" si="33"/>
        <v>Overtriaged</v>
      </c>
      <c r="V229" s="15">
        <v>1</v>
      </c>
      <c r="W229" s="15" t="str">
        <f t="shared" si="34"/>
        <v>Overtriaged</v>
      </c>
      <c r="X229" s="14">
        <v>2</v>
      </c>
      <c r="Y229" s="14" t="str">
        <f t="shared" si="35"/>
        <v>Correct</v>
      </c>
      <c r="Z229" s="6">
        <v>228</v>
      </c>
      <c r="AA229" s="6" t="s">
        <v>2451</v>
      </c>
      <c r="AB229" s="6" t="s">
        <v>2452</v>
      </c>
      <c r="AC229" s="6">
        <v>1</v>
      </c>
      <c r="AD229" s="6" t="s">
        <v>40</v>
      </c>
      <c r="AE229" s="6" t="s">
        <v>2453</v>
      </c>
      <c r="AF229" s="6" t="s">
        <v>1203</v>
      </c>
      <c r="AG229" s="6" t="s">
        <v>2454</v>
      </c>
      <c r="AH229" s="6" t="s">
        <v>44</v>
      </c>
      <c r="AI229" s="6" t="s">
        <v>3441</v>
      </c>
      <c r="AJ229" s="6" t="s">
        <v>2455</v>
      </c>
      <c r="AK229" s="6" t="s">
        <v>2456</v>
      </c>
      <c r="AL229" s="6" t="s">
        <v>3476</v>
      </c>
      <c r="AM229" s="6" t="s">
        <v>2457</v>
      </c>
      <c r="AN229" s="6" t="s">
        <v>2458</v>
      </c>
      <c r="AO229" s="6" t="s">
        <v>2459</v>
      </c>
      <c r="AP229" s="6" t="s">
        <v>2448</v>
      </c>
      <c r="AQ229" s="21" t="s">
        <v>4514</v>
      </c>
      <c r="AR229" s="6" t="s">
        <v>2460</v>
      </c>
      <c r="AS229" s="6" t="s">
        <v>2461</v>
      </c>
      <c r="AT229" s="14">
        <v>2</v>
      </c>
      <c r="AU229" s="14">
        <v>1</v>
      </c>
      <c r="AV229" s="14">
        <v>1</v>
      </c>
      <c r="AW229" s="14">
        <v>1</v>
      </c>
      <c r="AX229" s="14">
        <v>1</v>
      </c>
      <c r="AY229" s="14">
        <v>1</v>
      </c>
      <c r="AZ229" s="14">
        <v>2</v>
      </c>
      <c r="BA229" s="2"/>
    </row>
    <row r="230" spans="1:53" ht="44" customHeight="1" x14ac:dyDescent="0.2">
      <c r="A230" s="6">
        <v>110386</v>
      </c>
      <c r="B230" s="6">
        <v>79772841</v>
      </c>
      <c r="C230" s="8" t="s">
        <v>2166</v>
      </c>
      <c r="D230" s="6" t="s">
        <v>2462</v>
      </c>
      <c r="E230" s="6">
        <f t="shared" si="27"/>
        <v>203</v>
      </c>
      <c r="F230" s="6" t="s">
        <v>2463</v>
      </c>
      <c r="G230" s="6">
        <f t="shared" si="28"/>
        <v>50</v>
      </c>
      <c r="H230" s="9">
        <f t="shared" si="29"/>
        <v>0.75369458128078815</v>
      </c>
      <c r="I230" s="6" t="s">
        <v>5283</v>
      </c>
      <c r="J230" s="6">
        <v>3</v>
      </c>
      <c r="K230" s="9">
        <f t="shared" si="30"/>
        <v>1.4778325123152709E-2</v>
      </c>
      <c r="L230" s="6">
        <v>13</v>
      </c>
      <c r="M230" s="6">
        <v>2</v>
      </c>
      <c r="N230" s="6">
        <v>2</v>
      </c>
      <c r="O230" s="6" t="str">
        <f t="shared" si="31"/>
        <v>Correct</v>
      </c>
      <c r="P230" s="6" t="s">
        <v>2464</v>
      </c>
      <c r="Q230" s="6">
        <v>2</v>
      </c>
      <c r="R230" s="6" t="str">
        <f t="shared" si="32"/>
        <v>Correct</v>
      </c>
      <c r="S230" s="6" t="s">
        <v>3690</v>
      </c>
      <c r="T230" s="14">
        <v>2</v>
      </c>
      <c r="U230" s="6" t="str">
        <f t="shared" si="33"/>
        <v>Correct</v>
      </c>
      <c r="V230" s="15">
        <v>2</v>
      </c>
      <c r="W230" s="15" t="str">
        <f t="shared" si="34"/>
        <v>Correct</v>
      </c>
      <c r="X230" s="14">
        <v>2</v>
      </c>
      <c r="Y230" s="14" t="str">
        <f t="shared" si="35"/>
        <v>Correct</v>
      </c>
      <c r="Z230" s="6">
        <v>229</v>
      </c>
      <c r="AA230" s="6" t="s">
        <v>2405</v>
      </c>
      <c r="AB230" s="6" t="s">
        <v>2465</v>
      </c>
      <c r="AC230" s="6">
        <v>1</v>
      </c>
      <c r="AD230" s="6" t="s">
        <v>40</v>
      </c>
      <c r="AE230" s="6" t="s">
        <v>480</v>
      </c>
      <c r="AF230" s="6" t="s">
        <v>833</v>
      </c>
      <c r="AG230" s="6" t="s">
        <v>2466</v>
      </c>
      <c r="AH230" s="6" t="s">
        <v>44</v>
      </c>
      <c r="AI230" s="6" t="s">
        <v>4364</v>
      </c>
      <c r="AJ230" s="6" t="s">
        <v>2467</v>
      </c>
      <c r="AK230" s="6" t="s">
        <v>2468</v>
      </c>
      <c r="AL230" s="6" t="s">
        <v>3476</v>
      </c>
      <c r="AM230" s="6" t="s">
        <v>2469</v>
      </c>
      <c r="AN230" s="6" t="s">
        <v>2470</v>
      </c>
      <c r="AO230" s="6" t="s">
        <v>2471</v>
      </c>
      <c r="AP230" s="6" t="s">
        <v>2462</v>
      </c>
      <c r="AQ230" s="21" t="s">
        <v>4515</v>
      </c>
      <c r="AR230" s="6" t="s">
        <v>2472</v>
      </c>
      <c r="AS230" s="6" t="s">
        <v>2473</v>
      </c>
      <c r="AT230" s="14">
        <v>2</v>
      </c>
      <c r="AU230" s="14">
        <v>2</v>
      </c>
      <c r="AV230" s="14">
        <v>2</v>
      </c>
      <c r="AW230" s="14">
        <v>2</v>
      </c>
      <c r="AX230" s="14">
        <v>2</v>
      </c>
      <c r="AY230" s="14">
        <v>2</v>
      </c>
      <c r="AZ230" s="14">
        <v>2</v>
      </c>
      <c r="BA230" s="2"/>
    </row>
    <row r="231" spans="1:53" ht="44" customHeight="1" x14ac:dyDescent="0.2">
      <c r="A231" s="6">
        <v>112242</v>
      </c>
      <c r="B231" s="6">
        <v>79759761</v>
      </c>
      <c r="C231" s="8" t="s">
        <v>2166</v>
      </c>
      <c r="D231" s="6" t="s">
        <v>2474</v>
      </c>
      <c r="E231" s="6">
        <f t="shared" si="27"/>
        <v>245</v>
      </c>
      <c r="F231" s="6" t="s">
        <v>2475</v>
      </c>
      <c r="G231" s="6">
        <f t="shared" si="28"/>
        <v>71</v>
      </c>
      <c r="H231" s="9">
        <f t="shared" si="29"/>
        <v>0.71020408163265303</v>
      </c>
      <c r="I231" s="6" t="s">
        <v>5284</v>
      </c>
      <c r="J231" s="6">
        <v>3</v>
      </c>
      <c r="K231" s="9">
        <f t="shared" si="30"/>
        <v>1.2244897959183673E-2</v>
      </c>
      <c r="L231" s="6">
        <v>17</v>
      </c>
      <c r="M231" s="6">
        <v>1</v>
      </c>
      <c r="N231" s="6">
        <v>2</v>
      </c>
      <c r="O231" s="6" t="str">
        <f t="shared" si="31"/>
        <v>Undertriaged</v>
      </c>
      <c r="P231" s="6" t="s">
        <v>2476</v>
      </c>
      <c r="Q231" s="6">
        <v>2</v>
      </c>
      <c r="R231" s="6" t="str">
        <f t="shared" si="32"/>
        <v>Undertriaged</v>
      </c>
      <c r="S231" s="6" t="s">
        <v>3691</v>
      </c>
      <c r="T231" s="14">
        <v>2</v>
      </c>
      <c r="U231" s="6" t="str">
        <f t="shared" si="33"/>
        <v>Undertriaged</v>
      </c>
      <c r="V231" s="15">
        <v>2</v>
      </c>
      <c r="W231" s="15" t="str">
        <f t="shared" si="34"/>
        <v>Undertriaged</v>
      </c>
      <c r="X231" s="14">
        <v>2</v>
      </c>
      <c r="Y231" s="14" t="str">
        <f t="shared" si="35"/>
        <v>Undertriaged</v>
      </c>
      <c r="Z231" s="6">
        <v>230</v>
      </c>
      <c r="AA231" s="6" t="s">
        <v>2477</v>
      </c>
      <c r="AB231" s="6" t="s">
        <v>2478</v>
      </c>
      <c r="AC231" s="6">
        <v>1</v>
      </c>
      <c r="AD231" s="6" t="s">
        <v>40</v>
      </c>
      <c r="AE231" s="6" t="s">
        <v>2098</v>
      </c>
      <c r="AF231" s="6" t="s">
        <v>2479</v>
      </c>
      <c r="AG231" s="6" t="s">
        <v>2480</v>
      </c>
      <c r="AH231" s="6" t="s">
        <v>44</v>
      </c>
      <c r="AI231" s="6" t="s">
        <v>3442</v>
      </c>
      <c r="AJ231" s="6" t="s">
        <v>2481</v>
      </c>
      <c r="AK231" s="6" t="s">
        <v>4083</v>
      </c>
      <c r="AL231" s="6" t="s">
        <v>3476</v>
      </c>
      <c r="AM231" s="6" t="s">
        <v>2482</v>
      </c>
      <c r="AN231" s="6" t="s">
        <v>2483</v>
      </c>
      <c r="AO231" s="6" t="s">
        <v>2484</v>
      </c>
      <c r="AP231" s="6" t="s">
        <v>2474</v>
      </c>
      <c r="AQ231" s="21" t="s">
        <v>4516</v>
      </c>
      <c r="AR231" s="6" t="s">
        <v>2485</v>
      </c>
      <c r="AS231" s="6" t="s">
        <v>4841</v>
      </c>
      <c r="AT231" s="14">
        <v>2</v>
      </c>
      <c r="AU231" s="14">
        <v>2</v>
      </c>
      <c r="AV231" s="14">
        <v>2</v>
      </c>
      <c r="AW231" s="14">
        <v>2</v>
      </c>
      <c r="AX231" s="14">
        <v>2</v>
      </c>
      <c r="AY231" s="14">
        <v>2</v>
      </c>
      <c r="AZ231" s="14">
        <v>2</v>
      </c>
      <c r="BA231" s="2"/>
    </row>
    <row r="232" spans="1:53" ht="44" customHeight="1" x14ac:dyDescent="0.2">
      <c r="A232" s="6">
        <v>11280416</v>
      </c>
      <c r="B232" s="6">
        <v>79772450</v>
      </c>
      <c r="C232" s="8" t="s">
        <v>2166</v>
      </c>
      <c r="D232" s="6" t="s">
        <v>2486</v>
      </c>
      <c r="E232" s="6">
        <f t="shared" si="27"/>
        <v>133</v>
      </c>
      <c r="F232" s="6" t="s">
        <v>2487</v>
      </c>
      <c r="G232" s="6">
        <f t="shared" si="28"/>
        <v>65</v>
      </c>
      <c r="H232" s="9">
        <f t="shared" si="29"/>
        <v>0.51127819548872178</v>
      </c>
      <c r="I232" s="6" t="s">
        <v>5285</v>
      </c>
      <c r="J232" s="6">
        <v>3</v>
      </c>
      <c r="K232" s="9">
        <f t="shared" si="30"/>
        <v>2.2556390977443608E-2</v>
      </c>
      <c r="L232" s="6">
        <v>45</v>
      </c>
      <c r="M232" s="6">
        <v>1</v>
      </c>
      <c r="N232" s="6">
        <v>1</v>
      </c>
      <c r="O232" s="6" t="str">
        <f t="shared" si="31"/>
        <v>Correct</v>
      </c>
      <c r="P232" s="6" t="s">
        <v>2488</v>
      </c>
      <c r="Q232" s="6">
        <v>1</v>
      </c>
      <c r="R232" s="6" t="str">
        <f t="shared" si="32"/>
        <v>Correct</v>
      </c>
      <c r="S232" s="6" t="s">
        <v>3819</v>
      </c>
      <c r="T232" s="14">
        <v>1</v>
      </c>
      <c r="U232" s="6" t="str">
        <f t="shared" si="33"/>
        <v>Correct</v>
      </c>
      <c r="V232" s="15">
        <v>2</v>
      </c>
      <c r="W232" s="15" t="str">
        <f t="shared" si="34"/>
        <v>Undertriaged</v>
      </c>
      <c r="X232" s="14">
        <v>1</v>
      </c>
      <c r="Y232" s="14" t="str">
        <f t="shared" si="35"/>
        <v>Correct</v>
      </c>
      <c r="Z232" s="6">
        <v>231</v>
      </c>
      <c r="AA232" s="6" t="s">
        <v>2489</v>
      </c>
      <c r="AB232" s="6" t="s">
        <v>2490</v>
      </c>
      <c r="AC232" s="6">
        <v>1</v>
      </c>
      <c r="AD232" s="6" t="s">
        <v>40</v>
      </c>
      <c r="AE232" s="6" t="s">
        <v>1622</v>
      </c>
      <c r="AF232" s="6" t="s">
        <v>2491</v>
      </c>
      <c r="AG232" s="6" t="s">
        <v>2492</v>
      </c>
      <c r="AH232" s="6" t="s">
        <v>44</v>
      </c>
      <c r="AI232" s="6" t="s">
        <v>3443</v>
      </c>
      <c r="AJ232" s="6" t="s">
        <v>44</v>
      </c>
      <c r="AK232" s="6" t="s">
        <v>2493</v>
      </c>
      <c r="AL232" s="6" t="s">
        <v>5099</v>
      </c>
      <c r="AM232" s="6" t="s">
        <v>2494</v>
      </c>
      <c r="AN232" s="6" t="s">
        <v>2495</v>
      </c>
      <c r="AO232" s="6" t="s">
        <v>2496</v>
      </c>
      <c r="AP232" s="6" t="s">
        <v>2486</v>
      </c>
      <c r="AQ232" s="21" t="s">
        <v>4517</v>
      </c>
      <c r="AR232" s="6" t="s">
        <v>2486</v>
      </c>
      <c r="AS232" s="6" t="s">
        <v>2497</v>
      </c>
      <c r="AT232" s="14">
        <v>1</v>
      </c>
      <c r="AU232" s="14">
        <v>1</v>
      </c>
      <c r="AV232" s="14">
        <v>1</v>
      </c>
      <c r="AW232" s="14">
        <v>1</v>
      </c>
      <c r="AX232" s="14">
        <v>1</v>
      </c>
      <c r="AY232" s="14">
        <v>1</v>
      </c>
      <c r="AZ232" s="14">
        <v>1</v>
      </c>
      <c r="BA232" s="2"/>
    </row>
    <row r="233" spans="1:53" ht="44" customHeight="1" x14ac:dyDescent="0.2">
      <c r="A233" s="6">
        <v>1152121</v>
      </c>
      <c r="B233" s="6">
        <v>79788465</v>
      </c>
      <c r="C233" s="8" t="s">
        <v>2166</v>
      </c>
      <c r="D233" s="6" t="s">
        <v>2498</v>
      </c>
      <c r="E233" s="6">
        <f t="shared" si="27"/>
        <v>408</v>
      </c>
      <c r="F233" s="6" t="s">
        <v>2499</v>
      </c>
      <c r="G233" s="6">
        <f t="shared" si="28"/>
        <v>53</v>
      </c>
      <c r="H233" s="9">
        <f t="shared" si="29"/>
        <v>0.87009803921568629</v>
      </c>
      <c r="I233" s="6" t="s">
        <v>5286</v>
      </c>
      <c r="J233" s="6">
        <v>4</v>
      </c>
      <c r="K233" s="9">
        <f t="shared" si="30"/>
        <v>9.8039215686274508E-3</v>
      </c>
      <c r="L233" s="6">
        <v>10</v>
      </c>
      <c r="M233" s="6">
        <v>2</v>
      </c>
      <c r="N233" s="6">
        <v>2</v>
      </c>
      <c r="O233" s="6" t="str">
        <f t="shared" si="31"/>
        <v>Correct</v>
      </c>
      <c r="P233" s="6" t="s">
        <v>2500</v>
      </c>
      <c r="Q233" s="6">
        <v>2</v>
      </c>
      <c r="R233" s="6" t="str">
        <f t="shared" si="32"/>
        <v>Correct</v>
      </c>
      <c r="S233" s="6" t="s">
        <v>3692</v>
      </c>
      <c r="T233" s="14">
        <v>2</v>
      </c>
      <c r="U233" s="6" t="str">
        <f t="shared" si="33"/>
        <v>Correct</v>
      </c>
      <c r="V233" s="15">
        <v>2</v>
      </c>
      <c r="W233" s="15" t="str">
        <f t="shared" si="34"/>
        <v>Correct</v>
      </c>
      <c r="X233" s="14">
        <v>2</v>
      </c>
      <c r="Y233" s="14" t="str">
        <f t="shared" si="35"/>
        <v>Correct</v>
      </c>
      <c r="Z233" s="6">
        <v>232</v>
      </c>
      <c r="AA233" s="6" t="s">
        <v>2501</v>
      </c>
      <c r="AB233" s="6" t="s">
        <v>2502</v>
      </c>
      <c r="AC233" s="6">
        <v>1</v>
      </c>
      <c r="AD233" s="6" t="s">
        <v>40</v>
      </c>
      <c r="AE233" s="6" t="s">
        <v>717</v>
      </c>
      <c r="AF233" s="6" t="s">
        <v>2503</v>
      </c>
      <c r="AG233" s="6" t="s">
        <v>2504</v>
      </c>
      <c r="AH233" s="6" t="s">
        <v>2505</v>
      </c>
      <c r="AI233" s="6" t="s">
        <v>3444</v>
      </c>
      <c r="AJ233" s="6" t="s">
        <v>4084</v>
      </c>
      <c r="AK233" s="6" t="s">
        <v>2506</v>
      </c>
      <c r="AL233" s="6" t="s">
        <v>3477</v>
      </c>
      <c r="AM233" s="6" t="s">
        <v>2507</v>
      </c>
      <c r="AN233" s="6" t="s">
        <v>2508</v>
      </c>
      <c r="AO233" s="6" t="s">
        <v>2509</v>
      </c>
      <c r="AP233" s="6" t="s">
        <v>2510</v>
      </c>
      <c r="AQ233" s="21" t="s">
        <v>4518</v>
      </c>
      <c r="AR233" s="6" t="s">
        <v>4842</v>
      </c>
      <c r="AS233" s="6" t="s">
        <v>2511</v>
      </c>
      <c r="AT233" s="14">
        <v>2</v>
      </c>
      <c r="AU233" s="14">
        <v>2</v>
      </c>
      <c r="AV233" s="14">
        <v>2</v>
      </c>
      <c r="AW233" s="14">
        <v>2</v>
      </c>
      <c r="AX233" s="14">
        <v>2</v>
      </c>
      <c r="AY233" s="14">
        <v>2</v>
      </c>
      <c r="AZ233" s="14">
        <v>2</v>
      </c>
      <c r="BA233" s="2"/>
    </row>
    <row r="234" spans="1:53" ht="44" customHeight="1" x14ac:dyDescent="0.2">
      <c r="A234" s="6">
        <v>1016731</v>
      </c>
      <c r="B234" s="6">
        <v>79799764</v>
      </c>
      <c r="C234" s="8" t="s">
        <v>2166</v>
      </c>
      <c r="D234" s="6" t="s">
        <v>2512</v>
      </c>
      <c r="E234" s="6">
        <f t="shared" si="27"/>
        <v>197</v>
      </c>
      <c r="F234" s="6" t="s">
        <v>2513</v>
      </c>
      <c r="G234" s="6">
        <f t="shared" si="28"/>
        <v>59</v>
      </c>
      <c r="H234" s="9">
        <f t="shared" si="29"/>
        <v>0.70050761421319796</v>
      </c>
      <c r="I234" s="6" t="s">
        <v>5287</v>
      </c>
      <c r="J234" s="6">
        <v>3</v>
      </c>
      <c r="K234" s="9">
        <f t="shared" si="30"/>
        <v>1.5228426395939087E-2</v>
      </c>
      <c r="L234" s="6">
        <v>4</v>
      </c>
      <c r="M234" s="6">
        <v>2</v>
      </c>
      <c r="N234" s="6">
        <v>2</v>
      </c>
      <c r="O234" s="6" t="str">
        <f t="shared" si="31"/>
        <v>Correct</v>
      </c>
      <c r="P234" s="6" t="s">
        <v>2514</v>
      </c>
      <c r="Q234" s="6">
        <v>2</v>
      </c>
      <c r="R234" s="6" t="str">
        <f t="shared" si="32"/>
        <v>Correct</v>
      </c>
      <c r="S234" s="6" t="s">
        <v>3693</v>
      </c>
      <c r="T234" s="14">
        <v>2</v>
      </c>
      <c r="U234" s="6" t="str">
        <f t="shared" si="33"/>
        <v>Correct</v>
      </c>
      <c r="V234" s="15">
        <v>2</v>
      </c>
      <c r="W234" s="15" t="str">
        <f t="shared" si="34"/>
        <v>Correct</v>
      </c>
      <c r="X234" s="14">
        <v>2</v>
      </c>
      <c r="Y234" s="14" t="str">
        <f t="shared" si="35"/>
        <v>Correct</v>
      </c>
      <c r="Z234" s="6">
        <v>233</v>
      </c>
      <c r="AA234" s="6" t="s">
        <v>2515</v>
      </c>
      <c r="AB234" s="6" t="s">
        <v>2516</v>
      </c>
      <c r="AC234" s="6">
        <v>1</v>
      </c>
      <c r="AD234" s="6" t="s">
        <v>40</v>
      </c>
      <c r="AE234" s="6" t="s">
        <v>2517</v>
      </c>
      <c r="AF234" s="6" t="s">
        <v>4085</v>
      </c>
      <c r="AG234" s="6" t="s">
        <v>4086</v>
      </c>
      <c r="AH234" s="6" t="s">
        <v>44</v>
      </c>
      <c r="AI234" s="6" t="s">
        <v>44</v>
      </c>
      <c r="AJ234" s="6" t="s">
        <v>4087</v>
      </c>
      <c r="AK234" s="6" t="s">
        <v>4088</v>
      </c>
      <c r="AL234" s="6" t="s">
        <v>3476</v>
      </c>
      <c r="AM234" s="6" t="s">
        <v>2518</v>
      </c>
      <c r="AN234" s="6" t="s">
        <v>4843</v>
      </c>
      <c r="AO234" s="6" t="s">
        <v>2512</v>
      </c>
      <c r="AP234" s="6" t="s">
        <v>2512</v>
      </c>
      <c r="AQ234" s="21" t="s">
        <v>2512</v>
      </c>
      <c r="AR234" s="6" t="s">
        <v>4844</v>
      </c>
      <c r="AS234" s="6" t="s">
        <v>4845</v>
      </c>
      <c r="AT234" s="14">
        <v>2</v>
      </c>
      <c r="AU234" s="14">
        <v>2</v>
      </c>
      <c r="AV234" s="14">
        <v>2</v>
      </c>
      <c r="AW234" s="14">
        <v>2</v>
      </c>
      <c r="AX234" s="14">
        <v>2</v>
      </c>
      <c r="AY234" s="14">
        <v>2</v>
      </c>
      <c r="AZ234" s="14">
        <v>2</v>
      </c>
      <c r="BA234" s="2"/>
    </row>
    <row r="235" spans="1:53" ht="44" customHeight="1" x14ac:dyDescent="0.2">
      <c r="A235" s="6">
        <v>106854</v>
      </c>
      <c r="B235" s="6">
        <v>79805940</v>
      </c>
      <c r="C235" s="8" t="s">
        <v>2166</v>
      </c>
      <c r="D235" s="6" t="s">
        <v>2519</v>
      </c>
      <c r="E235" s="6">
        <f t="shared" si="27"/>
        <v>263</v>
      </c>
      <c r="F235" s="6" t="s">
        <v>2520</v>
      </c>
      <c r="G235" s="6">
        <f t="shared" si="28"/>
        <v>72</v>
      </c>
      <c r="H235" s="9">
        <f t="shared" si="29"/>
        <v>0.72623574144486691</v>
      </c>
      <c r="I235" s="6" t="s">
        <v>5288</v>
      </c>
      <c r="J235" s="6">
        <v>2</v>
      </c>
      <c r="K235" s="9">
        <f t="shared" si="30"/>
        <v>7.6045627376425855E-3</v>
      </c>
      <c r="L235" s="6">
        <v>9</v>
      </c>
      <c r="M235" s="6">
        <v>2</v>
      </c>
      <c r="N235" s="6">
        <v>2</v>
      </c>
      <c r="O235" s="6" t="str">
        <f t="shared" si="31"/>
        <v>Correct</v>
      </c>
      <c r="P235" s="6" t="s">
        <v>2521</v>
      </c>
      <c r="Q235" s="6">
        <v>2</v>
      </c>
      <c r="R235" s="6" t="str">
        <f t="shared" si="32"/>
        <v>Correct</v>
      </c>
      <c r="S235" s="6" t="s">
        <v>3820</v>
      </c>
      <c r="T235" s="14">
        <v>2</v>
      </c>
      <c r="U235" s="6" t="str">
        <f t="shared" si="33"/>
        <v>Correct</v>
      </c>
      <c r="V235" s="15">
        <v>2</v>
      </c>
      <c r="W235" s="15" t="str">
        <f t="shared" si="34"/>
        <v>Correct</v>
      </c>
      <c r="X235" s="14">
        <v>2</v>
      </c>
      <c r="Y235" s="14" t="str">
        <f t="shared" si="35"/>
        <v>Correct</v>
      </c>
      <c r="Z235" s="6">
        <v>234</v>
      </c>
      <c r="AA235" s="6" t="s">
        <v>2522</v>
      </c>
      <c r="AB235" s="6" t="s">
        <v>2523</v>
      </c>
      <c r="AC235" s="6">
        <v>1</v>
      </c>
      <c r="AD235" s="6" t="s">
        <v>40</v>
      </c>
      <c r="AE235" s="6" t="s">
        <v>480</v>
      </c>
      <c r="AF235" s="6" t="s">
        <v>2524</v>
      </c>
      <c r="AG235" s="6" t="s">
        <v>2525</v>
      </c>
      <c r="AH235" s="6" t="s">
        <v>44</v>
      </c>
      <c r="AI235" s="6" t="s">
        <v>4365</v>
      </c>
      <c r="AJ235" s="6" t="s">
        <v>4089</v>
      </c>
      <c r="AK235" s="6" t="s">
        <v>2526</v>
      </c>
      <c r="AL235" s="6" t="s">
        <v>3476</v>
      </c>
      <c r="AM235" s="6" t="s">
        <v>2527</v>
      </c>
      <c r="AN235" s="6" t="s">
        <v>2528</v>
      </c>
      <c r="AO235" s="6" t="s">
        <v>2529</v>
      </c>
      <c r="AP235" s="6" t="s">
        <v>2519</v>
      </c>
      <c r="AQ235" s="21" t="s">
        <v>4519</v>
      </c>
      <c r="AR235" s="6" t="s">
        <v>4846</v>
      </c>
      <c r="AS235" s="6" t="s">
        <v>2530</v>
      </c>
      <c r="AT235" s="14">
        <v>1</v>
      </c>
      <c r="AU235" s="14">
        <v>2</v>
      </c>
      <c r="AV235" s="14">
        <v>2</v>
      </c>
      <c r="AW235" s="14">
        <v>1</v>
      </c>
      <c r="AX235" s="14">
        <v>2</v>
      </c>
      <c r="AY235" s="14">
        <v>2</v>
      </c>
      <c r="AZ235" s="14">
        <v>1</v>
      </c>
      <c r="BA235" s="2"/>
    </row>
    <row r="236" spans="1:53" ht="44" customHeight="1" x14ac:dyDescent="0.2">
      <c r="A236" s="6">
        <v>109861</v>
      </c>
      <c r="B236" s="6">
        <v>79844604</v>
      </c>
      <c r="C236" s="8" t="s">
        <v>2166</v>
      </c>
      <c r="D236" s="6" t="s">
        <v>2531</v>
      </c>
      <c r="E236" s="6">
        <f t="shared" si="27"/>
        <v>296</v>
      </c>
      <c r="F236" s="6" t="s">
        <v>2532</v>
      </c>
      <c r="G236" s="6">
        <f t="shared" si="28"/>
        <v>50</v>
      </c>
      <c r="H236" s="9">
        <f t="shared" si="29"/>
        <v>0.83108108108108103</v>
      </c>
      <c r="I236" s="6" t="s">
        <v>5289</v>
      </c>
      <c r="J236" s="6">
        <v>2</v>
      </c>
      <c r="K236" s="9">
        <f t="shared" si="30"/>
        <v>6.7567567567567571E-3</v>
      </c>
      <c r="L236" s="6">
        <v>10</v>
      </c>
      <c r="M236" s="6">
        <v>2</v>
      </c>
      <c r="N236" s="6">
        <v>1</v>
      </c>
      <c r="O236" s="6" t="str">
        <f t="shared" si="31"/>
        <v>Overtriaged</v>
      </c>
      <c r="P236" s="6" t="s">
        <v>2533</v>
      </c>
      <c r="Q236" s="6">
        <v>2</v>
      </c>
      <c r="R236" s="6" t="str">
        <f t="shared" si="32"/>
        <v>Correct</v>
      </c>
      <c r="S236" s="6" t="s">
        <v>3821</v>
      </c>
      <c r="T236" s="14">
        <v>2</v>
      </c>
      <c r="U236" s="6" t="str">
        <f t="shared" si="33"/>
        <v>Correct</v>
      </c>
      <c r="V236" s="15">
        <v>1</v>
      </c>
      <c r="W236" s="15" t="str">
        <f t="shared" si="34"/>
        <v>Overtriaged</v>
      </c>
      <c r="X236" s="14">
        <v>2</v>
      </c>
      <c r="Y236" s="14" t="str">
        <f t="shared" si="35"/>
        <v>Correct</v>
      </c>
      <c r="Z236" s="6">
        <v>235</v>
      </c>
      <c r="AA236" s="6" t="s">
        <v>2534</v>
      </c>
      <c r="AB236" s="6" t="s">
        <v>2535</v>
      </c>
      <c r="AC236" s="6">
        <v>1</v>
      </c>
      <c r="AD236" s="6" t="s">
        <v>40</v>
      </c>
      <c r="AE236" s="6" t="s">
        <v>454</v>
      </c>
      <c r="AF236" s="6" t="s">
        <v>1062</v>
      </c>
      <c r="AG236" s="6" t="s">
        <v>4090</v>
      </c>
      <c r="AH236" s="6" t="s">
        <v>2536</v>
      </c>
      <c r="AI236" s="6" t="s">
        <v>2537</v>
      </c>
      <c r="AJ236" s="6" t="s">
        <v>2537</v>
      </c>
      <c r="AK236" s="6" t="s">
        <v>2538</v>
      </c>
      <c r="AL236" s="6" t="s">
        <v>3477</v>
      </c>
      <c r="AM236" s="6" t="s">
        <v>2539</v>
      </c>
      <c r="AN236" s="6" t="s">
        <v>2540</v>
      </c>
      <c r="AO236" s="6" t="s">
        <v>4847</v>
      </c>
      <c r="AP236" s="6" t="s">
        <v>2541</v>
      </c>
      <c r="AQ236" s="21" t="s">
        <v>2542</v>
      </c>
      <c r="AR236" s="6" t="s">
        <v>2542</v>
      </c>
      <c r="AS236" s="6" t="s">
        <v>2543</v>
      </c>
      <c r="AT236" s="14">
        <v>2</v>
      </c>
      <c r="AU236" s="14">
        <v>2</v>
      </c>
      <c r="AV236" s="14">
        <v>2</v>
      </c>
      <c r="AW236" s="14">
        <v>1</v>
      </c>
      <c r="AX236" s="14">
        <v>1</v>
      </c>
      <c r="AY236" s="14">
        <v>2</v>
      </c>
      <c r="AZ236" s="14">
        <v>2</v>
      </c>
      <c r="BA236" s="2"/>
    </row>
    <row r="237" spans="1:53" ht="44" customHeight="1" x14ac:dyDescent="0.2">
      <c r="A237" s="6">
        <v>111020</v>
      </c>
      <c r="B237" s="6">
        <v>79822650</v>
      </c>
      <c r="C237" s="8" t="s">
        <v>2166</v>
      </c>
      <c r="D237" s="6" t="s">
        <v>2544</v>
      </c>
      <c r="E237" s="6">
        <f t="shared" si="27"/>
        <v>188</v>
      </c>
      <c r="F237" s="6" t="s">
        <v>2545</v>
      </c>
      <c r="G237" s="6">
        <f t="shared" si="28"/>
        <v>62</v>
      </c>
      <c r="H237" s="9">
        <f t="shared" si="29"/>
        <v>0.67021276595744683</v>
      </c>
      <c r="I237" s="6" t="s">
        <v>5290</v>
      </c>
      <c r="J237" s="6">
        <v>4</v>
      </c>
      <c r="K237" s="9">
        <f t="shared" si="30"/>
        <v>2.1276595744680851E-2</v>
      </c>
      <c r="L237" s="6">
        <v>5</v>
      </c>
      <c r="M237" s="6">
        <v>2</v>
      </c>
      <c r="N237" s="6">
        <v>1</v>
      </c>
      <c r="O237" s="6" t="str">
        <f t="shared" si="31"/>
        <v>Overtriaged</v>
      </c>
      <c r="P237" s="6" t="s">
        <v>2546</v>
      </c>
      <c r="Q237" s="6">
        <v>1</v>
      </c>
      <c r="R237" s="6" t="str">
        <f t="shared" si="32"/>
        <v>Overtriaged</v>
      </c>
      <c r="S237" s="6" t="s">
        <v>3822</v>
      </c>
      <c r="T237" s="14">
        <v>1</v>
      </c>
      <c r="U237" s="6" t="str">
        <f t="shared" si="33"/>
        <v>Overtriaged</v>
      </c>
      <c r="V237" s="15">
        <v>2</v>
      </c>
      <c r="W237" s="15" t="str">
        <f t="shared" si="34"/>
        <v>Correct</v>
      </c>
      <c r="X237" s="14">
        <v>2</v>
      </c>
      <c r="Y237" s="14" t="str">
        <f t="shared" si="35"/>
        <v>Correct</v>
      </c>
      <c r="Z237" s="6">
        <v>236</v>
      </c>
      <c r="AA237" s="6" t="s">
        <v>2547</v>
      </c>
      <c r="AB237" s="6" t="s">
        <v>2548</v>
      </c>
      <c r="AC237" s="6">
        <v>1</v>
      </c>
      <c r="AD237" s="6" t="s">
        <v>40</v>
      </c>
      <c r="AE237" s="6" t="s">
        <v>2549</v>
      </c>
      <c r="AF237" s="6" t="s">
        <v>2550</v>
      </c>
      <c r="AG237" s="6" t="s">
        <v>2551</v>
      </c>
      <c r="AH237" s="6" t="s">
        <v>2552</v>
      </c>
      <c r="AI237" s="6" t="s">
        <v>4329</v>
      </c>
      <c r="AJ237" s="6" t="s">
        <v>2553</v>
      </c>
      <c r="AK237" s="6" t="s">
        <v>4091</v>
      </c>
      <c r="AL237" s="6" t="s">
        <v>3477</v>
      </c>
      <c r="AM237" s="6" t="s">
        <v>2554</v>
      </c>
      <c r="AN237" s="6" t="s">
        <v>2555</v>
      </c>
      <c r="AO237" s="6" t="s">
        <v>2556</v>
      </c>
      <c r="AP237" s="6" t="s">
        <v>2557</v>
      </c>
      <c r="AQ237" s="21" t="s">
        <v>2544</v>
      </c>
      <c r="AR237" s="6" t="s">
        <v>2558</v>
      </c>
      <c r="AS237" s="6" t="s">
        <v>4848</v>
      </c>
      <c r="AT237" s="14">
        <v>1</v>
      </c>
      <c r="AU237" s="14">
        <v>1</v>
      </c>
      <c r="AV237" s="14">
        <v>1</v>
      </c>
      <c r="AW237" s="14">
        <v>1</v>
      </c>
      <c r="AX237" s="14">
        <v>1</v>
      </c>
      <c r="AY237" s="14">
        <v>2</v>
      </c>
      <c r="AZ237" s="14">
        <v>1</v>
      </c>
      <c r="BA237" s="2"/>
    </row>
    <row r="238" spans="1:53" ht="44" customHeight="1" x14ac:dyDescent="0.2">
      <c r="A238" s="6">
        <v>111268</v>
      </c>
      <c r="B238" s="6">
        <v>79820089</v>
      </c>
      <c r="C238" s="8" t="s">
        <v>2166</v>
      </c>
      <c r="D238" s="6" t="s">
        <v>2559</v>
      </c>
      <c r="E238" s="6">
        <f t="shared" si="27"/>
        <v>321</v>
      </c>
      <c r="F238" s="6" t="s">
        <v>2560</v>
      </c>
      <c r="G238" s="6">
        <f t="shared" si="28"/>
        <v>78</v>
      </c>
      <c r="H238" s="9">
        <f t="shared" si="29"/>
        <v>0.7570093457943925</v>
      </c>
      <c r="I238" s="6" t="s">
        <v>5291</v>
      </c>
      <c r="J238" s="6">
        <v>2</v>
      </c>
      <c r="K238" s="9">
        <f t="shared" si="30"/>
        <v>6.2305295950155761E-3</v>
      </c>
      <c r="L238" s="6">
        <v>6</v>
      </c>
      <c r="M238" s="6">
        <v>2</v>
      </c>
      <c r="N238" s="6">
        <v>1</v>
      </c>
      <c r="O238" s="6" t="str">
        <f t="shared" si="31"/>
        <v>Overtriaged</v>
      </c>
      <c r="P238" s="6" t="s">
        <v>2561</v>
      </c>
      <c r="Q238" s="6">
        <v>1</v>
      </c>
      <c r="R238" s="6" t="str">
        <f t="shared" si="32"/>
        <v>Overtriaged</v>
      </c>
      <c r="S238" s="6" t="s">
        <v>3823</v>
      </c>
      <c r="T238" s="14">
        <v>1</v>
      </c>
      <c r="U238" s="6" t="str">
        <f t="shared" si="33"/>
        <v>Overtriaged</v>
      </c>
      <c r="V238" s="15">
        <v>1</v>
      </c>
      <c r="W238" s="15" t="str">
        <f t="shared" si="34"/>
        <v>Overtriaged</v>
      </c>
      <c r="X238" s="14">
        <v>2</v>
      </c>
      <c r="Y238" s="14" t="str">
        <f t="shared" si="35"/>
        <v>Correct</v>
      </c>
      <c r="Z238" s="6">
        <v>237</v>
      </c>
      <c r="AA238" s="6" t="s">
        <v>2562</v>
      </c>
      <c r="AB238" s="6" t="s">
        <v>2563</v>
      </c>
      <c r="AC238" s="6">
        <v>1</v>
      </c>
      <c r="AD238" s="6" t="s">
        <v>40</v>
      </c>
      <c r="AE238" s="6" t="s">
        <v>4092</v>
      </c>
      <c r="AF238" s="6" t="s">
        <v>2564</v>
      </c>
      <c r="AG238" s="6" t="s">
        <v>2565</v>
      </c>
      <c r="AH238" s="6" t="s">
        <v>2566</v>
      </c>
      <c r="AI238" s="6" t="s">
        <v>4366</v>
      </c>
      <c r="AJ238" s="6" t="s">
        <v>4093</v>
      </c>
      <c r="AK238" s="6" t="s">
        <v>4094</v>
      </c>
      <c r="AL238" s="6" t="s">
        <v>3477</v>
      </c>
      <c r="AM238" s="6" t="s">
        <v>4849</v>
      </c>
      <c r="AN238" s="6" t="s">
        <v>2567</v>
      </c>
      <c r="AO238" s="6" t="s">
        <v>2568</v>
      </c>
      <c r="AP238" s="6" t="s">
        <v>2569</v>
      </c>
      <c r="AQ238" s="21" t="s">
        <v>4520</v>
      </c>
      <c r="AR238" s="6" t="s">
        <v>4850</v>
      </c>
      <c r="AS238" s="6" t="s">
        <v>4851</v>
      </c>
      <c r="AT238" s="14">
        <v>1</v>
      </c>
      <c r="AU238" s="14">
        <v>1</v>
      </c>
      <c r="AV238" s="14">
        <v>1</v>
      </c>
      <c r="AW238" s="14">
        <v>1</v>
      </c>
      <c r="AX238" s="14">
        <v>2</v>
      </c>
      <c r="AY238" s="14">
        <v>2</v>
      </c>
      <c r="AZ238" s="14">
        <v>2</v>
      </c>
      <c r="BA238" s="2"/>
    </row>
    <row r="239" spans="1:53" ht="44" customHeight="1" x14ac:dyDescent="0.2">
      <c r="A239" s="6">
        <v>113813</v>
      </c>
      <c r="B239" s="6">
        <v>79841910</v>
      </c>
      <c r="C239" s="8" t="s">
        <v>2166</v>
      </c>
      <c r="D239" s="6" t="s">
        <v>2570</v>
      </c>
      <c r="E239" s="6">
        <f t="shared" si="27"/>
        <v>280</v>
      </c>
      <c r="F239" s="6" t="s">
        <v>2572</v>
      </c>
      <c r="G239" s="6">
        <f t="shared" si="28"/>
        <v>48</v>
      </c>
      <c r="H239" s="9">
        <f t="shared" si="29"/>
        <v>0.82857142857142863</v>
      </c>
      <c r="I239" s="6"/>
      <c r="J239" s="6">
        <v>0</v>
      </c>
      <c r="K239" s="9">
        <f t="shared" si="30"/>
        <v>0</v>
      </c>
      <c r="L239" s="6">
        <v>1</v>
      </c>
      <c r="M239" s="6">
        <v>2</v>
      </c>
      <c r="N239" s="6">
        <v>2</v>
      </c>
      <c r="O239" s="6" t="str">
        <f t="shared" si="31"/>
        <v>Correct</v>
      </c>
      <c r="P239" s="6" t="s">
        <v>2573</v>
      </c>
      <c r="Q239" s="6">
        <v>2</v>
      </c>
      <c r="R239" s="6" t="str">
        <f t="shared" si="32"/>
        <v>Correct</v>
      </c>
      <c r="S239" s="6" t="s">
        <v>2571</v>
      </c>
      <c r="T239" s="14">
        <v>2</v>
      </c>
      <c r="U239" s="6" t="str">
        <f t="shared" si="33"/>
        <v>Correct</v>
      </c>
      <c r="V239" s="15">
        <v>2</v>
      </c>
      <c r="W239" s="15" t="str">
        <f t="shared" si="34"/>
        <v>Correct</v>
      </c>
      <c r="X239" s="14">
        <v>2</v>
      </c>
      <c r="Y239" s="14" t="str">
        <f t="shared" si="35"/>
        <v>Correct</v>
      </c>
      <c r="Z239" s="6">
        <v>238</v>
      </c>
      <c r="AA239" s="6" t="s">
        <v>2574</v>
      </c>
      <c r="AB239" s="6" t="s">
        <v>2575</v>
      </c>
      <c r="AC239" s="6">
        <v>1</v>
      </c>
      <c r="AD239" s="6" t="s">
        <v>40</v>
      </c>
      <c r="AE239" s="6" t="s">
        <v>69</v>
      </c>
      <c r="AF239" s="6" t="s">
        <v>2576</v>
      </c>
      <c r="AG239" s="6" t="s">
        <v>2577</v>
      </c>
      <c r="AH239" s="6" t="s">
        <v>44</v>
      </c>
      <c r="AI239" s="6" t="s">
        <v>3445</v>
      </c>
      <c r="AJ239" s="6" t="s">
        <v>4095</v>
      </c>
      <c r="AK239" s="6" t="s">
        <v>4096</v>
      </c>
      <c r="AL239" s="6" t="s">
        <v>3476</v>
      </c>
      <c r="AM239" s="6" t="s">
        <v>2578</v>
      </c>
      <c r="AN239" s="6" t="s">
        <v>2579</v>
      </c>
      <c r="AO239" s="6" t="s">
        <v>2580</v>
      </c>
      <c r="AP239" s="6" t="s">
        <v>2570</v>
      </c>
      <c r="AQ239" s="21" t="s">
        <v>4521</v>
      </c>
      <c r="AR239" s="6" t="s">
        <v>4852</v>
      </c>
      <c r="AS239" s="6" t="s">
        <v>4853</v>
      </c>
      <c r="AT239" s="14">
        <v>2</v>
      </c>
      <c r="AU239" s="14">
        <v>2</v>
      </c>
      <c r="AV239" s="14">
        <v>2</v>
      </c>
      <c r="AW239" s="14">
        <v>2</v>
      </c>
      <c r="AX239" s="14">
        <v>2</v>
      </c>
      <c r="AY239" s="14">
        <v>2</v>
      </c>
      <c r="AZ239" s="14">
        <v>2</v>
      </c>
      <c r="BA239" s="2"/>
    </row>
    <row r="240" spans="1:53" ht="44" customHeight="1" x14ac:dyDescent="0.2">
      <c r="A240" s="6">
        <v>109267</v>
      </c>
      <c r="B240" s="6">
        <v>79880171</v>
      </c>
      <c r="C240" s="8" t="s">
        <v>2166</v>
      </c>
      <c r="D240" s="6" t="s">
        <v>2581</v>
      </c>
      <c r="E240" s="6">
        <f t="shared" si="27"/>
        <v>181</v>
      </c>
      <c r="F240" s="6" t="s">
        <v>2582</v>
      </c>
      <c r="G240" s="6">
        <f t="shared" si="28"/>
        <v>64</v>
      </c>
      <c r="H240" s="9">
        <f t="shared" si="29"/>
        <v>0.64640883977900554</v>
      </c>
      <c r="I240" s="6" t="s">
        <v>5292</v>
      </c>
      <c r="J240" s="6">
        <v>5</v>
      </c>
      <c r="K240" s="9">
        <f t="shared" si="30"/>
        <v>2.7624309392265192E-2</v>
      </c>
      <c r="L240" s="6">
        <v>8</v>
      </c>
      <c r="M240" s="6">
        <v>2</v>
      </c>
      <c r="N240" s="6">
        <v>2</v>
      </c>
      <c r="O240" s="6" t="str">
        <f t="shared" si="31"/>
        <v>Correct</v>
      </c>
      <c r="P240" s="6" t="s">
        <v>2583</v>
      </c>
      <c r="Q240" s="6">
        <v>2</v>
      </c>
      <c r="R240" s="6" t="str">
        <f t="shared" si="32"/>
        <v>Correct</v>
      </c>
      <c r="S240" s="6" t="s">
        <v>3694</v>
      </c>
      <c r="T240" s="14">
        <v>2</v>
      </c>
      <c r="U240" s="6" t="str">
        <f t="shared" si="33"/>
        <v>Correct</v>
      </c>
      <c r="V240" s="15">
        <v>2</v>
      </c>
      <c r="W240" s="15" t="str">
        <f t="shared" si="34"/>
        <v>Correct</v>
      </c>
      <c r="X240" s="14">
        <v>2</v>
      </c>
      <c r="Y240" s="14" t="str">
        <f t="shared" si="35"/>
        <v>Correct</v>
      </c>
      <c r="Z240" s="6">
        <v>239</v>
      </c>
      <c r="AA240" s="6" t="s">
        <v>2584</v>
      </c>
      <c r="AB240" s="6" t="s">
        <v>2585</v>
      </c>
      <c r="AC240" s="6">
        <v>1</v>
      </c>
      <c r="AD240" s="6" t="s">
        <v>40</v>
      </c>
      <c r="AE240" s="6" t="s">
        <v>2586</v>
      </c>
      <c r="AF240" s="6" t="s">
        <v>2587</v>
      </c>
      <c r="AG240" s="6" t="s">
        <v>4097</v>
      </c>
      <c r="AH240" s="6" t="s">
        <v>44</v>
      </c>
      <c r="AI240" s="6" t="s">
        <v>4367</v>
      </c>
      <c r="AJ240" s="6" t="s">
        <v>2588</v>
      </c>
      <c r="AK240" s="6" t="s">
        <v>2589</v>
      </c>
      <c r="AL240" s="6" t="s">
        <v>3476</v>
      </c>
      <c r="AM240" s="6" t="s">
        <v>2590</v>
      </c>
      <c r="AN240" s="6" t="s">
        <v>2591</v>
      </c>
      <c r="AO240" s="6" t="s">
        <v>4854</v>
      </c>
      <c r="AP240" s="6" t="s">
        <v>2581</v>
      </c>
      <c r="AQ240" s="21" t="s">
        <v>4522</v>
      </c>
      <c r="AR240" s="6" t="s">
        <v>2592</v>
      </c>
      <c r="AS240" s="6" t="s">
        <v>2593</v>
      </c>
      <c r="AT240" s="14">
        <v>2</v>
      </c>
      <c r="AU240" s="14">
        <v>2</v>
      </c>
      <c r="AV240" s="14">
        <v>2</v>
      </c>
      <c r="AW240" s="14">
        <v>2</v>
      </c>
      <c r="AX240" s="14">
        <v>2</v>
      </c>
      <c r="AY240" s="14">
        <v>2</v>
      </c>
      <c r="AZ240" s="14">
        <v>2</v>
      </c>
      <c r="BA240" s="2"/>
    </row>
    <row r="241" spans="1:53" ht="44" customHeight="1" x14ac:dyDescent="0.2">
      <c r="A241" s="6">
        <v>110010</v>
      </c>
      <c r="B241" s="6">
        <v>79880584</v>
      </c>
      <c r="C241" s="8" t="s">
        <v>2166</v>
      </c>
      <c r="D241" s="6" t="s">
        <v>2594</v>
      </c>
      <c r="E241" s="6">
        <f t="shared" si="27"/>
        <v>217</v>
      </c>
      <c r="F241" s="6" t="s">
        <v>2595</v>
      </c>
      <c r="G241" s="6">
        <f t="shared" si="28"/>
        <v>67</v>
      </c>
      <c r="H241" s="9">
        <f t="shared" si="29"/>
        <v>0.69124423963133641</v>
      </c>
      <c r="I241" s="6" t="s">
        <v>5293</v>
      </c>
      <c r="J241" s="6">
        <v>6</v>
      </c>
      <c r="K241" s="9">
        <f t="shared" si="30"/>
        <v>2.7649769585253458E-2</v>
      </c>
      <c r="L241" s="6">
        <v>5</v>
      </c>
      <c r="M241" s="6">
        <v>2</v>
      </c>
      <c r="N241" s="6">
        <v>2</v>
      </c>
      <c r="O241" s="6" t="str">
        <f t="shared" si="31"/>
        <v>Correct</v>
      </c>
      <c r="P241" s="6" t="s">
        <v>2596</v>
      </c>
      <c r="Q241" s="6">
        <v>2</v>
      </c>
      <c r="R241" s="6" t="str">
        <f t="shared" si="32"/>
        <v>Correct</v>
      </c>
      <c r="S241" s="6" t="s">
        <v>3824</v>
      </c>
      <c r="T241" s="14">
        <v>2</v>
      </c>
      <c r="U241" s="6" t="str">
        <f t="shared" si="33"/>
        <v>Correct</v>
      </c>
      <c r="V241" s="15">
        <v>2</v>
      </c>
      <c r="W241" s="15" t="str">
        <f t="shared" si="34"/>
        <v>Correct</v>
      </c>
      <c r="X241" s="14">
        <v>2</v>
      </c>
      <c r="Y241" s="14" t="str">
        <f t="shared" si="35"/>
        <v>Correct</v>
      </c>
      <c r="Z241" s="6">
        <v>240</v>
      </c>
      <c r="AA241" s="6" t="s">
        <v>2597</v>
      </c>
      <c r="AB241" s="6" t="s">
        <v>2598</v>
      </c>
      <c r="AC241" s="6">
        <v>1</v>
      </c>
      <c r="AD241" s="6" t="s">
        <v>40</v>
      </c>
      <c r="AE241" s="6" t="s">
        <v>41</v>
      </c>
      <c r="AF241" s="6" t="s">
        <v>1130</v>
      </c>
      <c r="AG241" s="6" t="s">
        <v>2599</v>
      </c>
      <c r="AH241" s="6" t="s">
        <v>2600</v>
      </c>
      <c r="AI241" s="6" t="s">
        <v>4330</v>
      </c>
      <c r="AJ241" s="6" t="s">
        <v>2601</v>
      </c>
      <c r="AK241" s="6" t="s">
        <v>4098</v>
      </c>
      <c r="AL241" s="6" t="s">
        <v>3477</v>
      </c>
      <c r="AM241" s="6" t="s">
        <v>2602</v>
      </c>
      <c r="AN241" s="6" t="s">
        <v>2603</v>
      </c>
      <c r="AO241" s="6" t="s">
        <v>2604</v>
      </c>
      <c r="AP241" s="6" t="s">
        <v>2605</v>
      </c>
      <c r="AQ241" s="21" t="s">
        <v>4523</v>
      </c>
      <c r="AR241" s="6" t="s">
        <v>2606</v>
      </c>
      <c r="AS241" s="6" t="s">
        <v>4855</v>
      </c>
      <c r="AT241" s="14">
        <v>2</v>
      </c>
      <c r="AU241" s="14">
        <v>1</v>
      </c>
      <c r="AV241" s="14">
        <v>2</v>
      </c>
      <c r="AW241" s="14">
        <v>2</v>
      </c>
      <c r="AX241" s="14">
        <v>2</v>
      </c>
      <c r="AY241" s="14">
        <v>2</v>
      </c>
      <c r="AZ241" s="14">
        <v>2</v>
      </c>
      <c r="BA241" s="2"/>
    </row>
    <row r="242" spans="1:53" ht="44" customHeight="1" x14ac:dyDescent="0.2">
      <c r="A242" s="6">
        <v>110323</v>
      </c>
      <c r="B242" s="6">
        <v>79910211</v>
      </c>
      <c r="C242" s="8" t="s">
        <v>2166</v>
      </c>
      <c r="D242" s="6" t="s">
        <v>2607</v>
      </c>
      <c r="E242" s="6">
        <f t="shared" si="27"/>
        <v>116</v>
      </c>
      <c r="F242" s="6" t="s">
        <v>2608</v>
      </c>
      <c r="G242" s="6">
        <f t="shared" si="28"/>
        <v>28</v>
      </c>
      <c r="H242" s="9">
        <f t="shared" si="29"/>
        <v>0.75862068965517238</v>
      </c>
      <c r="I242" s="6" t="s">
        <v>5294</v>
      </c>
      <c r="J242" s="6">
        <v>6</v>
      </c>
      <c r="K242" s="9">
        <f t="shared" si="30"/>
        <v>5.1724137931034482E-2</v>
      </c>
      <c r="L242" s="6">
        <v>4</v>
      </c>
      <c r="M242" s="6">
        <v>2</v>
      </c>
      <c r="N242" s="6">
        <v>1</v>
      </c>
      <c r="O242" s="6" t="str">
        <f t="shared" si="31"/>
        <v>Overtriaged</v>
      </c>
      <c r="P242" s="6" t="s">
        <v>2609</v>
      </c>
      <c r="Q242" s="6">
        <v>2</v>
      </c>
      <c r="R242" s="6" t="str">
        <f t="shared" si="32"/>
        <v>Correct</v>
      </c>
      <c r="S242" s="6" t="s">
        <v>3825</v>
      </c>
      <c r="T242" s="14">
        <v>2</v>
      </c>
      <c r="U242" s="6" t="str">
        <f t="shared" si="33"/>
        <v>Correct</v>
      </c>
      <c r="V242" s="15">
        <v>1</v>
      </c>
      <c r="W242" s="15" t="str">
        <f t="shared" si="34"/>
        <v>Overtriaged</v>
      </c>
      <c r="X242" s="14">
        <v>2</v>
      </c>
      <c r="Y242" s="14" t="str">
        <f t="shared" si="35"/>
        <v>Correct</v>
      </c>
      <c r="Z242" s="6">
        <v>241</v>
      </c>
      <c r="AA242" s="6" t="s">
        <v>2610</v>
      </c>
      <c r="AB242" s="6" t="s">
        <v>2611</v>
      </c>
      <c r="AC242" s="6">
        <v>1</v>
      </c>
      <c r="AD242" s="6" t="s">
        <v>40</v>
      </c>
      <c r="AE242" s="6" t="s">
        <v>4099</v>
      </c>
      <c r="AF242" s="6" t="s">
        <v>2612</v>
      </c>
      <c r="AG242" s="6" t="s">
        <v>2613</v>
      </c>
      <c r="AH242" s="6" t="s">
        <v>44</v>
      </c>
      <c r="AI242" s="6" t="s">
        <v>3377</v>
      </c>
      <c r="AJ242" s="6" t="s">
        <v>44</v>
      </c>
      <c r="AK242" s="6" t="s">
        <v>4100</v>
      </c>
      <c r="AL242" s="6" t="s">
        <v>5099</v>
      </c>
      <c r="AM242" s="6" t="s">
        <v>4856</v>
      </c>
      <c r="AN242" s="6" t="s">
        <v>2614</v>
      </c>
      <c r="AO242" s="6" t="s">
        <v>2615</v>
      </c>
      <c r="AP242" s="6" t="s">
        <v>2607</v>
      </c>
      <c r="AQ242" s="21" t="s">
        <v>4524</v>
      </c>
      <c r="AR242" s="6" t="s">
        <v>2607</v>
      </c>
      <c r="AS242" s="6" t="s">
        <v>4857</v>
      </c>
      <c r="AT242" s="14">
        <v>2</v>
      </c>
      <c r="AU242" s="14">
        <v>2</v>
      </c>
      <c r="AV242" s="14">
        <v>2</v>
      </c>
      <c r="AW242" s="14">
        <v>2</v>
      </c>
      <c r="AX242" s="14">
        <v>2</v>
      </c>
      <c r="AY242" s="14">
        <v>2</v>
      </c>
      <c r="AZ242" s="14">
        <v>2</v>
      </c>
      <c r="BA242" s="2"/>
    </row>
    <row r="243" spans="1:53" ht="44" customHeight="1" x14ac:dyDescent="0.2">
      <c r="A243" s="6">
        <v>1115991</v>
      </c>
      <c r="B243" s="6">
        <v>79865374</v>
      </c>
      <c r="C243" s="8" t="s">
        <v>2166</v>
      </c>
      <c r="D243" s="6" t="s">
        <v>2616</v>
      </c>
      <c r="E243" s="6">
        <f t="shared" si="27"/>
        <v>173</v>
      </c>
      <c r="F243" s="6" t="s">
        <v>2617</v>
      </c>
      <c r="G243" s="6">
        <f t="shared" si="28"/>
        <v>69</v>
      </c>
      <c r="H243" s="9">
        <f t="shared" si="29"/>
        <v>0.60115606936416188</v>
      </c>
      <c r="I243" s="6" t="s">
        <v>5295</v>
      </c>
      <c r="J243" s="6">
        <v>2</v>
      </c>
      <c r="K243" s="9">
        <f t="shared" si="30"/>
        <v>1.1560693641618497E-2</v>
      </c>
      <c r="L243" s="6">
        <v>10</v>
      </c>
      <c r="M243" s="6">
        <v>2</v>
      </c>
      <c r="N243" s="6">
        <v>2</v>
      </c>
      <c r="O243" s="6" t="str">
        <f t="shared" si="31"/>
        <v>Correct</v>
      </c>
      <c r="P243" s="6" t="s">
        <v>2618</v>
      </c>
      <c r="Q243" s="6">
        <v>2</v>
      </c>
      <c r="R243" s="6" t="str">
        <f t="shared" si="32"/>
        <v>Correct</v>
      </c>
      <c r="S243" s="6" t="s">
        <v>3695</v>
      </c>
      <c r="T243" s="14">
        <v>2</v>
      </c>
      <c r="U243" s="6" t="str">
        <f t="shared" si="33"/>
        <v>Correct</v>
      </c>
      <c r="V243" s="15">
        <v>2</v>
      </c>
      <c r="W243" s="15" t="str">
        <f t="shared" si="34"/>
        <v>Correct</v>
      </c>
      <c r="X243" s="14">
        <v>2</v>
      </c>
      <c r="Y243" s="14" t="str">
        <f t="shared" si="35"/>
        <v>Correct</v>
      </c>
      <c r="Z243" s="6">
        <v>242</v>
      </c>
      <c r="AA243" s="6" t="s">
        <v>2619</v>
      </c>
      <c r="AB243" s="6" t="s">
        <v>2620</v>
      </c>
      <c r="AC243" s="6">
        <v>1</v>
      </c>
      <c r="AD243" s="6" t="s">
        <v>40</v>
      </c>
      <c r="AE243" s="6" t="s">
        <v>215</v>
      </c>
      <c r="AF243" s="6" t="s">
        <v>2621</v>
      </c>
      <c r="AG243" s="6" t="s">
        <v>2622</v>
      </c>
      <c r="AH243" s="6" t="s">
        <v>44</v>
      </c>
      <c r="AI243" s="6" t="s">
        <v>3446</v>
      </c>
      <c r="AJ243" s="6" t="s">
        <v>4101</v>
      </c>
      <c r="AK243" s="6" t="s">
        <v>4102</v>
      </c>
      <c r="AL243" s="6" t="s">
        <v>3476</v>
      </c>
      <c r="AM243" s="6" t="s">
        <v>2623</v>
      </c>
      <c r="AN243" s="6" t="s">
        <v>2624</v>
      </c>
      <c r="AO243" s="6" t="s">
        <v>2625</v>
      </c>
      <c r="AP243" s="6" t="s">
        <v>2616</v>
      </c>
      <c r="AQ243" s="21" t="s">
        <v>4525</v>
      </c>
      <c r="AR243" s="6" t="s">
        <v>4858</v>
      </c>
      <c r="AS243" s="6" t="s">
        <v>4859</v>
      </c>
      <c r="AT243" s="14">
        <v>2</v>
      </c>
      <c r="AU243" s="14">
        <v>2</v>
      </c>
      <c r="AV243" s="14">
        <v>2</v>
      </c>
      <c r="AW243" s="14">
        <v>2</v>
      </c>
      <c r="AX243" s="14">
        <v>2</v>
      </c>
      <c r="AY243" s="14">
        <v>2</v>
      </c>
      <c r="AZ243" s="14">
        <v>2</v>
      </c>
      <c r="BA243" s="2"/>
    </row>
    <row r="244" spans="1:53" ht="44" customHeight="1" x14ac:dyDescent="0.2">
      <c r="A244" s="6">
        <v>103605</v>
      </c>
      <c r="B244" s="6">
        <v>79950264</v>
      </c>
      <c r="C244" s="8" t="s">
        <v>2166</v>
      </c>
      <c r="D244" s="6" t="s">
        <v>2626</v>
      </c>
      <c r="E244" s="6">
        <f t="shared" si="27"/>
        <v>243</v>
      </c>
      <c r="F244" s="6" t="s">
        <v>2627</v>
      </c>
      <c r="G244" s="6">
        <f t="shared" si="28"/>
        <v>31</v>
      </c>
      <c r="H244" s="9">
        <f t="shared" si="29"/>
        <v>0.87242798353909468</v>
      </c>
      <c r="I244" s="6" t="s">
        <v>5296</v>
      </c>
      <c r="J244" s="6">
        <v>3</v>
      </c>
      <c r="K244" s="9">
        <f t="shared" si="30"/>
        <v>1.2345679012345678E-2</v>
      </c>
      <c r="L244" s="6">
        <v>4</v>
      </c>
      <c r="M244" s="6">
        <v>2</v>
      </c>
      <c r="N244" s="6">
        <v>2</v>
      </c>
      <c r="O244" s="6" t="str">
        <f t="shared" si="31"/>
        <v>Correct</v>
      </c>
      <c r="P244" s="6" t="s">
        <v>2628</v>
      </c>
      <c r="Q244" s="6">
        <v>2</v>
      </c>
      <c r="R244" s="6" t="str">
        <f t="shared" si="32"/>
        <v>Correct</v>
      </c>
      <c r="S244" s="6" t="s">
        <v>3696</v>
      </c>
      <c r="T244" s="14">
        <v>2</v>
      </c>
      <c r="U244" s="6" t="str">
        <f t="shared" si="33"/>
        <v>Correct</v>
      </c>
      <c r="V244" s="15">
        <v>2</v>
      </c>
      <c r="W244" s="15" t="str">
        <f t="shared" si="34"/>
        <v>Correct</v>
      </c>
      <c r="X244" s="14">
        <v>2</v>
      </c>
      <c r="Y244" s="14" t="str">
        <f t="shared" si="35"/>
        <v>Correct</v>
      </c>
      <c r="Z244" s="6">
        <v>243</v>
      </c>
      <c r="AA244" s="6" t="s">
        <v>2629</v>
      </c>
      <c r="AB244" s="6" t="s">
        <v>2630</v>
      </c>
      <c r="AC244" s="6">
        <v>1</v>
      </c>
      <c r="AD244" s="6" t="s">
        <v>40</v>
      </c>
      <c r="AE244" s="6" t="s">
        <v>41</v>
      </c>
      <c r="AF244" s="6" t="s">
        <v>44</v>
      </c>
      <c r="AG244" s="6" t="s">
        <v>2631</v>
      </c>
      <c r="AH244" s="6" t="s">
        <v>44</v>
      </c>
      <c r="AI244" s="6" t="s">
        <v>44</v>
      </c>
      <c r="AJ244" s="6" t="s">
        <v>44</v>
      </c>
      <c r="AK244" s="6" t="s">
        <v>4103</v>
      </c>
      <c r="AL244" s="6" t="s">
        <v>5101</v>
      </c>
      <c r="AM244" s="6" t="s">
        <v>2632</v>
      </c>
      <c r="AN244" s="6" t="s">
        <v>2626</v>
      </c>
      <c r="AO244" s="6" t="s">
        <v>2633</v>
      </c>
      <c r="AP244" s="6" t="s">
        <v>2626</v>
      </c>
      <c r="AQ244" s="21" t="s">
        <v>2626</v>
      </c>
      <c r="AR244" s="6" t="s">
        <v>2626</v>
      </c>
      <c r="AS244" s="6" t="s">
        <v>4860</v>
      </c>
      <c r="AT244" s="14">
        <v>2</v>
      </c>
      <c r="AU244" s="14">
        <v>2</v>
      </c>
      <c r="AV244" s="14">
        <v>2</v>
      </c>
      <c r="AW244" s="14">
        <v>2</v>
      </c>
      <c r="AX244" s="14">
        <v>2</v>
      </c>
      <c r="AY244" s="14">
        <v>2</v>
      </c>
      <c r="AZ244" s="14">
        <v>2</v>
      </c>
      <c r="BA244" s="2"/>
    </row>
    <row r="245" spans="1:53" ht="44" customHeight="1" x14ac:dyDescent="0.2">
      <c r="A245" s="6">
        <v>108619</v>
      </c>
      <c r="B245" s="6">
        <v>79947673</v>
      </c>
      <c r="C245" s="8" t="s">
        <v>2166</v>
      </c>
      <c r="D245" s="6" t="s">
        <v>2634</v>
      </c>
      <c r="E245" s="6">
        <f t="shared" si="27"/>
        <v>170</v>
      </c>
      <c r="F245" s="6" t="s">
        <v>2635</v>
      </c>
      <c r="G245" s="6">
        <f t="shared" si="28"/>
        <v>52</v>
      </c>
      <c r="H245" s="9">
        <f t="shared" si="29"/>
        <v>0.69411764705882351</v>
      </c>
      <c r="I245" s="6" t="s">
        <v>5297</v>
      </c>
      <c r="J245" s="6">
        <v>2</v>
      </c>
      <c r="K245" s="9">
        <f t="shared" si="30"/>
        <v>1.1764705882352941E-2</v>
      </c>
      <c r="L245" s="6">
        <v>5</v>
      </c>
      <c r="M245" s="6">
        <v>2</v>
      </c>
      <c r="N245" s="6">
        <v>2</v>
      </c>
      <c r="O245" s="6" t="str">
        <f t="shared" si="31"/>
        <v>Correct</v>
      </c>
      <c r="P245" s="6" t="s">
        <v>2636</v>
      </c>
      <c r="Q245" s="6">
        <v>2</v>
      </c>
      <c r="R245" s="6" t="str">
        <f t="shared" si="32"/>
        <v>Correct</v>
      </c>
      <c r="S245" s="6" t="s">
        <v>3697</v>
      </c>
      <c r="T245" s="14">
        <v>2</v>
      </c>
      <c r="U245" s="6" t="str">
        <f t="shared" si="33"/>
        <v>Correct</v>
      </c>
      <c r="V245" s="15">
        <v>2</v>
      </c>
      <c r="W245" s="15" t="str">
        <f t="shared" si="34"/>
        <v>Correct</v>
      </c>
      <c r="X245" s="14">
        <v>2</v>
      </c>
      <c r="Y245" s="14" t="str">
        <f t="shared" si="35"/>
        <v>Correct</v>
      </c>
      <c r="Z245" s="6">
        <v>244</v>
      </c>
      <c r="AA245" s="6" t="s">
        <v>2637</v>
      </c>
      <c r="AB245" s="6" t="s">
        <v>2638</v>
      </c>
      <c r="AC245" s="6">
        <v>1</v>
      </c>
      <c r="AD245" s="6" t="s">
        <v>40</v>
      </c>
      <c r="AE245" s="6" t="s">
        <v>454</v>
      </c>
      <c r="AF245" s="6" t="s">
        <v>2639</v>
      </c>
      <c r="AG245" s="6" t="s">
        <v>2640</v>
      </c>
      <c r="AH245" s="6" t="s">
        <v>2641</v>
      </c>
      <c r="AI245" s="6" t="s">
        <v>3378</v>
      </c>
      <c r="AJ245" s="6" t="s">
        <v>4104</v>
      </c>
      <c r="AK245" s="6" t="s">
        <v>4105</v>
      </c>
      <c r="AL245" s="6" t="s">
        <v>3477</v>
      </c>
      <c r="AM245" s="6" t="s">
        <v>2642</v>
      </c>
      <c r="AN245" s="6" t="s">
        <v>2643</v>
      </c>
      <c r="AO245" s="6" t="s">
        <v>2644</v>
      </c>
      <c r="AP245" s="6" t="s">
        <v>2645</v>
      </c>
      <c r="AQ245" s="21" t="s">
        <v>4526</v>
      </c>
      <c r="AR245" s="6" t="s">
        <v>4861</v>
      </c>
      <c r="AS245" s="6" t="s">
        <v>4862</v>
      </c>
      <c r="AT245" s="14">
        <v>2</v>
      </c>
      <c r="AU245" s="14">
        <v>2</v>
      </c>
      <c r="AV245" s="14">
        <v>2</v>
      </c>
      <c r="AW245" s="14">
        <v>2</v>
      </c>
      <c r="AX245" s="14">
        <v>2</v>
      </c>
      <c r="AY245" s="14">
        <v>2</v>
      </c>
      <c r="AZ245" s="14">
        <v>2</v>
      </c>
      <c r="BA245" s="2"/>
    </row>
    <row r="246" spans="1:53" ht="44" customHeight="1" x14ac:dyDescent="0.2">
      <c r="A246" s="6">
        <v>1085</v>
      </c>
      <c r="B246" s="6">
        <v>79997039</v>
      </c>
      <c r="C246" s="8" t="s">
        <v>2166</v>
      </c>
      <c r="D246" s="6" t="s">
        <v>2646</v>
      </c>
      <c r="E246" s="6">
        <f t="shared" si="27"/>
        <v>316</v>
      </c>
      <c r="F246" s="6" t="s">
        <v>2647</v>
      </c>
      <c r="G246" s="6">
        <f t="shared" si="28"/>
        <v>37</v>
      </c>
      <c r="H246" s="9">
        <f t="shared" si="29"/>
        <v>0.88291139240506333</v>
      </c>
      <c r="I246" s="6" t="s">
        <v>5298</v>
      </c>
      <c r="J246" s="6">
        <v>11</v>
      </c>
      <c r="K246" s="9">
        <f t="shared" si="30"/>
        <v>3.4810126582278479E-2</v>
      </c>
      <c r="L246" s="6">
        <v>24</v>
      </c>
      <c r="M246" s="6">
        <v>1</v>
      </c>
      <c r="N246" s="6">
        <v>1</v>
      </c>
      <c r="O246" s="6" t="str">
        <f t="shared" si="31"/>
        <v>Correct</v>
      </c>
      <c r="P246" s="6" t="s">
        <v>2648</v>
      </c>
      <c r="Q246" s="6">
        <v>2</v>
      </c>
      <c r="R246" s="6" t="str">
        <f t="shared" si="32"/>
        <v>Undertriaged</v>
      </c>
      <c r="S246" s="6" t="s">
        <v>3698</v>
      </c>
      <c r="T246" s="14">
        <v>2</v>
      </c>
      <c r="U246" s="6" t="str">
        <f t="shared" si="33"/>
        <v>Undertriaged</v>
      </c>
      <c r="V246" s="15">
        <v>2</v>
      </c>
      <c r="W246" s="15" t="str">
        <f t="shared" si="34"/>
        <v>Undertriaged</v>
      </c>
      <c r="X246" s="14">
        <v>2</v>
      </c>
      <c r="Y246" s="14" t="str">
        <f t="shared" si="35"/>
        <v>Undertriaged</v>
      </c>
      <c r="Z246" s="6">
        <v>245</v>
      </c>
      <c r="AA246" s="6" t="s">
        <v>2405</v>
      </c>
      <c r="AB246" s="6" t="s">
        <v>2649</v>
      </c>
      <c r="AC246" s="6">
        <v>1</v>
      </c>
      <c r="AD246" s="6" t="s">
        <v>40</v>
      </c>
      <c r="AE246" s="6" t="s">
        <v>2650</v>
      </c>
      <c r="AF246" s="6" t="s">
        <v>2651</v>
      </c>
      <c r="AG246" s="6" t="s">
        <v>2652</v>
      </c>
      <c r="AH246" s="6" t="s">
        <v>4106</v>
      </c>
      <c r="AI246" s="6" t="s">
        <v>3447</v>
      </c>
      <c r="AJ246" s="6" t="s">
        <v>2653</v>
      </c>
      <c r="AK246" s="6" t="s">
        <v>4107</v>
      </c>
      <c r="AL246" s="6" t="s">
        <v>3477</v>
      </c>
      <c r="AM246" s="6" t="s">
        <v>2654</v>
      </c>
      <c r="AN246" s="6" t="s">
        <v>2655</v>
      </c>
      <c r="AO246" s="6" t="s">
        <v>2656</v>
      </c>
      <c r="AP246" s="6" t="s">
        <v>4863</v>
      </c>
      <c r="AQ246" s="21" t="s">
        <v>4527</v>
      </c>
      <c r="AR246" s="6" t="s">
        <v>2657</v>
      </c>
      <c r="AS246" s="6" t="s">
        <v>4864</v>
      </c>
      <c r="AT246" s="14">
        <v>2</v>
      </c>
      <c r="AU246" s="14">
        <v>2</v>
      </c>
      <c r="AV246" s="14">
        <v>2</v>
      </c>
      <c r="AW246" s="14">
        <v>2</v>
      </c>
      <c r="AX246" s="14">
        <v>2</v>
      </c>
      <c r="AY246" s="14">
        <v>2</v>
      </c>
      <c r="AZ246" s="14">
        <v>2</v>
      </c>
      <c r="BA246" s="2"/>
    </row>
    <row r="247" spans="1:53" ht="44" customHeight="1" x14ac:dyDescent="0.2">
      <c r="A247" s="6">
        <v>110877</v>
      </c>
      <c r="B247" s="6">
        <v>79986900</v>
      </c>
      <c r="C247" s="8" t="s">
        <v>2166</v>
      </c>
      <c r="D247" s="6" t="s">
        <v>2658</v>
      </c>
      <c r="E247" s="6">
        <f t="shared" si="27"/>
        <v>168</v>
      </c>
      <c r="F247" s="6" t="s">
        <v>2659</v>
      </c>
      <c r="G247" s="6">
        <f t="shared" si="28"/>
        <v>58</v>
      </c>
      <c r="H247" s="9">
        <f t="shared" si="29"/>
        <v>0.65476190476190477</v>
      </c>
      <c r="I247" s="6" t="s">
        <v>5299</v>
      </c>
      <c r="J247" s="6">
        <v>4</v>
      </c>
      <c r="K247" s="9">
        <f t="shared" si="30"/>
        <v>2.3809523809523808E-2</v>
      </c>
      <c r="L247" s="6">
        <v>4</v>
      </c>
      <c r="M247" s="6">
        <v>2</v>
      </c>
      <c r="N247" s="6">
        <v>2</v>
      </c>
      <c r="O247" s="6" t="str">
        <f t="shared" si="31"/>
        <v>Correct</v>
      </c>
      <c r="P247" s="6" t="s">
        <v>2660</v>
      </c>
      <c r="Q247" s="6">
        <v>2</v>
      </c>
      <c r="R247" s="6" t="str">
        <f t="shared" si="32"/>
        <v>Correct</v>
      </c>
      <c r="S247" s="6" t="s">
        <v>3699</v>
      </c>
      <c r="T247" s="14">
        <v>2</v>
      </c>
      <c r="U247" s="6" t="str">
        <f t="shared" si="33"/>
        <v>Correct</v>
      </c>
      <c r="V247" s="15">
        <v>2</v>
      </c>
      <c r="W247" s="15" t="str">
        <f t="shared" si="34"/>
        <v>Correct</v>
      </c>
      <c r="X247" s="14">
        <v>2</v>
      </c>
      <c r="Y247" s="14" t="str">
        <f t="shared" si="35"/>
        <v>Correct</v>
      </c>
      <c r="Z247" s="6">
        <v>246</v>
      </c>
      <c r="AA247" s="6" t="s">
        <v>2661</v>
      </c>
      <c r="AB247" s="6" t="s">
        <v>2662</v>
      </c>
      <c r="AC247" s="6">
        <v>1</v>
      </c>
      <c r="AD247" s="6" t="s">
        <v>40</v>
      </c>
      <c r="AE247" s="6" t="s">
        <v>480</v>
      </c>
      <c r="AF247" s="6" t="s">
        <v>2663</v>
      </c>
      <c r="AG247" s="6" t="s">
        <v>2664</v>
      </c>
      <c r="AH247" s="6" t="s">
        <v>2665</v>
      </c>
      <c r="AI247" s="6" t="s">
        <v>3448</v>
      </c>
      <c r="AJ247" s="6" t="s">
        <v>4108</v>
      </c>
      <c r="AK247" s="6" t="s">
        <v>2666</v>
      </c>
      <c r="AL247" s="6" t="s">
        <v>3477</v>
      </c>
      <c r="AM247" s="6" t="s">
        <v>2667</v>
      </c>
      <c r="AN247" s="6" t="s">
        <v>2668</v>
      </c>
      <c r="AO247" s="6" t="s">
        <v>2669</v>
      </c>
      <c r="AP247" s="6" t="s">
        <v>2670</v>
      </c>
      <c r="AQ247" s="21" t="s">
        <v>4528</v>
      </c>
      <c r="AR247" s="6" t="s">
        <v>4865</v>
      </c>
      <c r="AS247" s="6" t="s">
        <v>2671</v>
      </c>
      <c r="AT247" s="14">
        <v>2</v>
      </c>
      <c r="AU247" s="14">
        <v>2</v>
      </c>
      <c r="AV247" s="14">
        <v>2</v>
      </c>
      <c r="AW247" s="14">
        <v>2</v>
      </c>
      <c r="AX247" s="14">
        <v>2</v>
      </c>
      <c r="AY247" s="14">
        <v>2</v>
      </c>
      <c r="AZ247" s="14">
        <v>2</v>
      </c>
      <c r="BA247" s="2"/>
    </row>
    <row r="248" spans="1:53" ht="44" customHeight="1" x14ac:dyDescent="0.2">
      <c r="A248" s="6">
        <v>112945</v>
      </c>
      <c r="B248" s="6">
        <v>80002625</v>
      </c>
      <c r="C248" s="8" t="s">
        <v>2166</v>
      </c>
      <c r="D248" s="6" t="s">
        <v>2672</v>
      </c>
      <c r="E248" s="6">
        <f t="shared" si="27"/>
        <v>126</v>
      </c>
      <c r="F248" s="6" t="s">
        <v>2673</v>
      </c>
      <c r="G248" s="6">
        <f t="shared" si="28"/>
        <v>54</v>
      </c>
      <c r="H248" s="9">
        <f t="shared" si="29"/>
        <v>0.5714285714285714</v>
      </c>
      <c r="I248" s="6" t="s">
        <v>5300</v>
      </c>
      <c r="J248" s="6">
        <v>2</v>
      </c>
      <c r="K248" s="9">
        <f t="shared" si="30"/>
        <v>1.5873015873015872E-2</v>
      </c>
      <c r="L248" s="6">
        <v>13</v>
      </c>
      <c r="M248" s="6">
        <v>2</v>
      </c>
      <c r="N248" s="6">
        <v>1</v>
      </c>
      <c r="O248" s="6" t="str">
        <f t="shared" si="31"/>
        <v>Overtriaged</v>
      </c>
      <c r="P248" s="6" t="s">
        <v>2674</v>
      </c>
      <c r="Q248" s="6">
        <v>1</v>
      </c>
      <c r="R248" s="6" t="str">
        <f t="shared" si="32"/>
        <v>Overtriaged</v>
      </c>
      <c r="S248" s="6" t="s">
        <v>3700</v>
      </c>
      <c r="T248" s="14">
        <v>1</v>
      </c>
      <c r="U248" s="6" t="str">
        <f t="shared" si="33"/>
        <v>Overtriaged</v>
      </c>
      <c r="V248" s="15">
        <v>1</v>
      </c>
      <c r="W248" s="15" t="str">
        <f t="shared" si="34"/>
        <v>Overtriaged</v>
      </c>
      <c r="X248" s="14">
        <v>1</v>
      </c>
      <c r="Y248" s="14" t="str">
        <f t="shared" si="35"/>
        <v>Overtriaged</v>
      </c>
      <c r="Z248" s="6">
        <v>247</v>
      </c>
      <c r="AA248" s="6" t="s">
        <v>125</v>
      </c>
      <c r="AB248" s="6" t="s">
        <v>2675</v>
      </c>
      <c r="AC248" s="6">
        <v>1</v>
      </c>
      <c r="AD248" s="6" t="s">
        <v>40</v>
      </c>
      <c r="AE248" s="6" t="s">
        <v>717</v>
      </c>
      <c r="AF248" s="6" t="s">
        <v>4109</v>
      </c>
      <c r="AG248" s="6" t="s">
        <v>2676</v>
      </c>
      <c r="AH248" s="6" t="s">
        <v>44</v>
      </c>
      <c r="AI248" s="6" t="s">
        <v>4368</v>
      </c>
      <c r="AJ248" s="6" t="s">
        <v>4110</v>
      </c>
      <c r="AK248" s="6" t="s">
        <v>2677</v>
      </c>
      <c r="AL248" s="6" t="s">
        <v>3476</v>
      </c>
      <c r="AM248" s="6" t="s">
        <v>2678</v>
      </c>
      <c r="AN248" s="6" t="s">
        <v>2672</v>
      </c>
      <c r="AO248" s="6" t="s">
        <v>2679</v>
      </c>
      <c r="AP248" s="6" t="s">
        <v>2672</v>
      </c>
      <c r="AQ248" s="21" t="s">
        <v>4529</v>
      </c>
      <c r="AR248" s="6" t="s">
        <v>4866</v>
      </c>
      <c r="AS248" s="6" t="s">
        <v>2680</v>
      </c>
      <c r="AT248" s="14">
        <v>1</v>
      </c>
      <c r="AU248" s="14">
        <v>1</v>
      </c>
      <c r="AV248" s="14">
        <v>1</v>
      </c>
      <c r="AW248" s="14">
        <v>1</v>
      </c>
      <c r="AX248" s="14">
        <v>2</v>
      </c>
      <c r="AY248" s="14">
        <v>1</v>
      </c>
      <c r="AZ248" s="14">
        <v>1</v>
      </c>
      <c r="BA248" s="2"/>
    </row>
    <row r="249" spans="1:53" ht="44" customHeight="1" x14ac:dyDescent="0.2">
      <c r="A249" s="6">
        <v>109460</v>
      </c>
      <c r="B249" s="6">
        <v>80057422</v>
      </c>
      <c r="C249" s="8" t="s">
        <v>2166</v>
      </c>
      <c r="D249" s="6" t="s">
        <v>2681</v>
      </c>
      <c r="E249" s="6">
        <f t="shared" si="27"/>
        <v>128</v>
      </c>
      <c r="F249" s="6" t="s">
        <v>2682</v>
      </c>
      <c r="G249" s="6">
        <f t="shared" si="28"/>
        <v>55</v>
      </c>
      <c r="H249" s="9">
        <f t="shared" si="29"/>
        <v>0.5703125</v>
      </c>
      <c r="I249" s="6" t="s">
        <v>5301</v>
      </c>
      <c r="J249" s="6">
        <v>5</v>
      </c>
      <c r="K249" s="9">
        <f t="shared" si="30"/>
        <v>3.90625E-2</v>
      </c>
      <c r="L249" s="6">
        <v>17</v>
      </c>
      <c r="M249" s="6">
        <v>1</v>
      </c>
      <c r="N249" s="6">
        <v>1</v>
      </c>
      <c r="O249" s="6" t="str">
        <f t="shared" si="31"/>
        <v>Correct</v>
      </c>
      <c r="P249" s="6" t="s">
        <v>2683</v>
      </c>
      <c r="Q249" s="6">
        <v>1</v>
      </c>
      <c r="R249" s="6" t="str">
        <f t="shared" si="32"/>
        <v>Correct</v>
      </c>
      <c r="S249" s="6" t="s">
        <v>3701</v>
      </c>
      <c r="T249" s="14">
        <v>1</v>
      </c>
      <c r="U249" s="6" t="str">
        <f t="shared" si="33"/>
        <v>Correct</v>
      </c>
      <c r="V249" s="15">
        <v>1</v>
      </c>
      <c r="W249" s="15" t="str">
        <f t="shared" si="34"/>
        <v>Correct</v>
      </c>
      <c r="X249" s="14">
        <v>1</v>
      </c>
      <c r="Y249" s="14" t="str">
        <f t="shared" si="35"/>
        <v>Correct</v>
      </c>
      <c r="Z249" s="6">
        <v>248</v>
      </c>
      <c r="AA249" s="6" t="s">
        <v>2684</v>
      </c>
      <c r="AB249" s="6" t="s">
        <v>2685</v>
      </c>
      <c r="AC249" s="6">
        <v>1</v>
      </c>
      <c r="AD249" s="6" t="s">
        <v>40</v>
      </c>
      <c r="AE249" s="6" t="s">
        <v>2686</v>
      </c>
      <c r="AF249" s="6" t="s">
        <v>2687</v>
      </c>
      <c r="AG249" s="6" t="s">
        <v>2688</v>
      </c>
      <c r="AH249" s="6" t="s">
        <v>44</v>
      </c>
      <c r="AI249" s="6" t="s">
        <v>2689</v>
      </c>
      <c r="AJ249" s="6" t="s">
        <v>2689</v>
      </c>
      <c r="AK249" s="6" t="s">
        <v>2690</v>
      </c>
      <c r="AL249" s="6" t="s">
        <v>3476</v>
      </c>
      <c r="AM249" s="6" t="s">
        <v>2691</v>
      </c>
      <c r="AN249" s="6" t="s">
        <v>2692</v>
      </c>
      <c r="AO249" s="6" t="s">
        <v>2693</v>
      </c>
      <c r="AP249" s="6" t="s">
        <v>2681</v>
      </c>
      <c r="AQ249" s="21" t="s">
        <v>2694</v>
      </c>
      <c r="AR249" s="6" t="s">
        <v>2694</v>
      </c>
      <c r="AS249" s="6" t="s">
        <v>2695</v>
      </c>
      <c r="AT249" s="14">
        <v>1</v>
      </c>
      <c r="AU249" s="14">
        <v>1</v>
      </c>
      <c r="AV249" s="14">
        <v>1</v>
      </c>
      <c r="AW249" s="14">
        <v>1</v>
      </c>
      <c r="AX249" s="14">
        <v>1</v>
      </c>
      <c r="AY249" s="14">
        <v>1</v>
      </c>
      <c r="AZ249" s="14">
        <v>1</v>
      </c>
      <c r="BA249" s="2"/>
    </row>
    <row r="250" spans="1:53" ht="44" customHeight="1" x14ac:dyDescent="0.2">
      <c r="A250" s="6">
        <v>114571</v>
      </c>
      <c r="B250" s="6">
        <v>80008727</v>
      </c>
      <c r="C250" s="8" t="s">
        <v>2166</v>
      </c>
      <c r="D250" s="6" t="s">
        <v>2696</v>
      </c>
      <c r="E250" s="6">
        <f t="shared" si="27"/>
        <v>172</v>
      </c>
      <c r="F250" s="6" t="s">
        <v>2697</v>
      </c>
      <c r="G250" s="6">
        <f t="shared" si="28"/>
        <v>38</v>
      </c>
      <c r="H250" s="9">
        <f t="shared" si="29"/>
        <v>0.77906976744186052</v>
      </c>
      <c r="I250" s="6"/>
      <c r="J250" s="6">
        <v>0</v>
      </c>
      <c r="K250" s="9">
        <f t="shared" si="30"/>
        <v>0</v>
      </c>
      <c r="L250" s="6">
        <v>5</v>
      </c>
      <c r="M250" s="6">
        <v>2</v>
      </c>
      <c r="N250" s="6">
        <v>2</v>
      </c>
      <c r="O250" s="6" t="str">
        <f t="shared" si="31"/>
        <v>Correct</v>
      </c>
      <c r="P250" s="6" t="s">
        <v>2698</v>
      </c>
      <c r="Q250" s="6">
        <v>2</v>
      </c>
      <c r="R250" s="6" t="str">
        <f t="shared" si="32"/>
        <v>Correct</v>
      </c>
      <c r="S250" s="6" t="s">
        <v>3702</v>
      </c>
      <c r="T250" s="14">
        <v>2</v>
      </c>
      <c r="U250" s="6" t="str">
        <f t="shared" si="33"/>
        <v>Correct</v>
      </c>
      <c r="V250" s="15">
        <v>2</v>
      </c>
      <c r="W250" s="15" t="str">
        <f t="shared" si="34"/>
        <v>Correct</v>
      </c>
      <c r="X250" s="14">
        <v>2</v>
      </c>
      <c r="Y250" s="14" t="str">
        <f t="shared" si="35"/>
        <v>Correct</v>
      </c>
      <c r="Z250" s="6">
        <v>249</v>
      </c>
      <c r="AA250" s="6" t="s">
        <v>526</v>
      </c>
      <c r="AB250" s="6" t="s">
        <v>2699</v>
      </c>
      <c r="AC250" s="6">
        <v>1</v>
      </c>
      <c r="AD250" s="6" t="s">
        <v>40</v>
      </c>
      <c r="AE250" s="6" t="s">
        <v>44</v>
      </c>
      <c r="AF250" s="6" t="s">
        <v>2700</v>
      </c>
      <c r="AG250" s="6" t="s">
        <v>2701</v>
      </c>
      <c r="AH250" s="6" t="s">
        <v>44</v>
      </c>
      <c r="AI250" s="6" t="s">
        <v>44</v>
      </c>
      <c r="AJ250" s="6" t="s">
        <v>44</v>
      </c>
      <c r="AK250" s="6" t="s">
        <v>44</v>
      </c>
      <c r="AL250" s="6" t="s">
        <v>5110</v>
      </c>
      <c r="AM250" s="6" t="s">
        <v>2696</v>
      </c>
      <c r="AN250" s="6" t="s">
        <v>2702</v>
      </c>
      <c r="AO250" s="6" t="s">
        <v>2703</v>
      </c>
      <c r="AP250" s="6" t="s">
        <v>2696</v>
      </c>
      <c r="AQ250" s="21" t="s">
        <v>2696</v>
      </c>
      <c r="AR250" s="6" t="s">
        <v>2696</v>
      </c>
      <c r="AS250" s="6" t="s">
        <v>2696</v>
      </c>
      <c r="AT250" s="14">
        <v>2</v>
      </c>
      <c r="AU250" s="14">
        <v>2</v>
      </c>
      <c r="AV250" s="14">
        <v>2</v>
      </c>
      <c r="AW250" s="14">
        <v>2</v>
      </c>
      <c r="AX250" s="14">
        <v>2</v>
      </c>
      <c r="AY250" s="14">
        <v>2</v>
      </c>
      <c r="AZ250" s="14">
        <v>2</v>
      </c>
      <c r="BA250" s="2"/>
    </row>
    <row r="251" spans="1:53" ht="44" customHeight="1" x14ac:dyDescent="0.2">
      <c r="A251" s="6">
        <v>10948</v>
      </c>
      <c r="B251" s="6">
        <v>80104389</v>
      </c>
      <c r="C251" s="8" t="s">
        <v>2166</v>
      </c>
      <c r="D251" s="6" t="s">
        <v>2704</v>
      </c>
      <c r="E251" s="6">
        <f t="shared" si="27"/>
        <v>671</v>
      </c>
      <c r="F251" s="6" t="s">
        <v>2705</v>
      </c>
      <c r="G251" s="6">
        <f t="shared" si="28"/>
        <v>84</v>
      </c>
      <c r="H251" s="9">
        <f t="shared" si="29"/>
        <v>0.87481371087928461</v>
      </c>
      <c r="I251" s="6" t="s">
        <v>5302</v>
      </c>
      <c r="J251" s="6">
        <v>4</v>
      </c>
      <c r="K251" s="9">
        <f t="shared" si="30"/>
        <v>5.9612518628912071E-3</v>
      </c>
      <c r="L251" s="6">
        <v>5</v>
      </c>
      <c r="M251" s="6">
        <v>2</v>
      </c>
      <c r="N251" s="6">
        <v>2</v>
      </c>
      <c r="O251" s="6" t="str">
        <f t="shared" si="31"/>
        <v>Correct</v>
      </c>
      <c r="P251" s="6" t="s">
        <v>2706</v>
      </c>
      <c r="Q251" s="6">
        <v>2</v>
      </c>
      <c r="R251" s="6" t="str">
        <f t="shared" si="32"/>
        <v>Correct</v>
      </c>
      <c r="S251" s="6" t="s">
        <v>3826</v>
      </c>
      <c r="T251" s="14">
        <v>2</v>
      </c>
      <c r="U251" s="6" t="str">
        <f t="shared" si="33"/>
        <v>Correct</v>
      </c>
      <c r="V251" s="15">
        <v>1</v>
      </c>
      <c r="W251" s="15" t="str">
        <f t="shared" si="34"/>
        <v>Overtriaged</v>
      </c>
      <c r="X251" s="14">
        <v>2</v>
      </c>
      <c r="Y251" s="14" t="str">
        <f t="shared" si="35"/>
        <v>Correct</v>
      </c>
      <c r="Z251" s="6">
        <v>250</v>
      </c>
      <c r="AA251" s="6" t="s">
        <v>2707</v>
      </c>
      <c r="AB251" s="6" t="s">
        <v>2708</v>
      </c>
      <c r="AC251" s="6">
        <v>2</v>
      </c>
      <c r="AD251" s="6" t="s">
        <v>40</v>
      </c>
      <c r="AE251" s="6" t="s">
        <v>2709</v>
      </c>
      <c r="AF251" s="6" t="s">
        <v>2710</v>
      </c>
      <c r="AG251" s="6" t="s">
        <v>2711</v>
      </c>
      <c r="AH251" s="6" t="s">
        <v>44</v>
      </c>
      <c r="AI251" s="6" t="s">
        <v>3449</v>
      </c>
      <c r="AJ251" s="6" t="s">
        <v>2712</v>
      </c>
      <c r="AK251" s="6" t="s">
        <v>4111</v>
      </c>
      <c r="AL251" s="6" t="s">
        <v>3476</v>
      </c>
      <c r="AM251" s="6" t="s">
        <v>2713</v>
      </c>
      <c r="AN251" s="6" t="s">
        <v>2714</v>
      </c>
      <c r="AO251" s="6" t="s">
        <v>2715</v>
      </c>
      <c r="AP251" s="6" t="s">
        <v>2704</v>
      </c>
      <c r="AQ251" s="21" t="s">
        <v>4530</v>
      </c>
      <c r="AR251" s="6" t="s">
        <v>2716</v>
      </c>
      <c r="AS251" s="6" t="s">
        <v>4867</v>
      </c>
      <c r="AT251" s="14">
        <v>2</v>
      </c>
      <c r="AU251" s="14">
        <v>2</v>
      </c>
      <c r="AV251" s="14">
        <v>2</v>
      </c>
      <c r="AW251" s="14">
        <v>1</v>
      </c>
      <c r="AX251" s="14">
        <v>2</v>
      </c>
      <c r="AY251" s="14">
        <v>1</v>
      </c>
      <c r="AZ251" s="14">
        <v>2</v>
      </c>
      <c r="BA251" s="2"/>
    </row>
    <row r="252" spans="1:53" ht="44" customHeight="1" x14ac:dyDescent="0.2">
      <c r="A252" s="6">
        <v>113848</v>
      </c>
      <c r="B252" s="6">
        <v>80099538</v>
      </c>
      <c r="C252" s="8" t="s">
        <v>2166</v>
      </c>
      <c r="D252" s="6" t="s">
        <v>2717</v>
      </c>
      <c r="E252" s="6">
        <f t="shared" si="27"/>
        <v>222</v>
      </c>
      <c r="F252" s="6" t="s">
        <v>2718</v>
      </c>
      <c r="G252" s="6">
        <f t="shared" si="28"/>
        <v>50</v>
      </c>
      <c r="H252" s="9">
        <f t="shared" si="29"/>
        <v>0.77477477477477474</v>
      </c>
      <c r="I252" s="6" t="s">
        <v>5303</v>
      </c>
      <c r="J252" s="6">
        <v>2</v>
      </c>
      <c r="K252" s="9">
        <f t="shared" si="30"/>
        <v>9.0090090090090089E-3</v>
      </c>
      <c r="L252" s="6">
        <v>26</v>
      </c>
      <c r="M252" s="6">
        <v>1</v>
      </c>
      <c r="N252" s="6">
        <v>2</v>
      </c>
      <c r="O252" s="6" t="str">
        <f t="shared" si="31"/>
        <v>Undertriaged</v>
      </c>
      <c r="P252" s="6" t="s">
        <v>2719</v>
      </c>
      <c r="Q252" s="6">
        <v>1</v>
      </c>
      <c r="R252" s="6" t="str">
        <f t="shared" si="32"/>
        <v>Correct</v>
      </c>
      <c r="S252" s="6" t="s">
        <v>3827</v>
      </c>
      <c r="T252" s="14">
        <v>2</v>
      </c>
      <c r="U252" s="6" t="str">
        <f t="shared" si="33"/>
        <v>Undertriaged</v>
      </c>
      <c r="V252" s="15">
        <v>1</v>
      </c>
      <c r="W252" s="15" t="str">
        <f t="shared" si="34"/>
        <v>Correct</v>
      </c>
      <c r="X252" s="14">
        <v>1</v>
      </c>
      <c r="Y252" s="14" t="str">
        <f t="shared" si="35"/>
        <v>Correct</v>
      </c>
      <c r="Z252" s="6">
        <v>251</v>
      </c>
      <c r="AA252" s="6" t="s">
        <v>2720</v>
      </c>
      <c r="AB252" s="6" t="s">
        <v>2721</v>
      </c>
      <c r="AC252" s="6">
        <v>1</v>
      </c>
      <c r="AD252" s="6" t="s">
        <v>40</v>
      </c>
      <c r="AE252" s="6" t="s">
        <v>4112</v>
      </c>
      <c r="AF252" s="6" t="s">
        <v>2722</v>
      </c>
      <c r="AG252" s="6" t="s">
        <v>44</v>
      </c>
      <c r="AH252" s="6" t="s">
        <v>44</v>
      </c>
      <c r="AI252" s="6" t="s">
        <v>44</v>
      </c>
      <c r="AJ252" s="6" t="s">
        <v>4113</v>
      </c>
      <c r="AK252" s="6" t="s">
        <v>2723</v>
      </c>
      <c r="AL252" s="6" t="s">
        <v>3478</v>
      </c>
      <c r="AM252" s="6" t="s">
        <v>4868</v>
      </c>
      <c r="AN252" s="6" t="s">
        <v>2724</v>
      </c>
      <c r="AO252" s="6" t="s">
        <v>2717</v>
      </c>
      <c r="AP252" s="6" t="s">
        <v>2717</v>
      </c>
      <c r="AQ252" s="21" t="s">
        <v>2717</v>
      </c>
      <c r="AR252" s="6" t="s">
        <v>4869</v>
      </c>
      <c r="AS252" s="6" t="s">
        <v>4870</v>
      </c>
      <c r="AT252" s="14">
        <v>1</v>
      </c>
      <c r="AU252" s="14">
        <v>1</v>
      </c>
      <c r="AV252" s="14">
        <v>1</v>
      </c>
      <c r="AW252" s="14">
        <v>1</v>
      </c>
      <c r="AX252" s="14">
        <v>1</v>
      </c>
      <c r="AY252" s="14">
        <v>1</v>
      </c>
      <c r="AZ252" s="14">
        <v>1</v>
      </c>
      <c r="BA252" s="2"/>
    </row>
    <row r="253" spans="1:53" ht="44" customHeight="1" x14ac:dyDescent="0.2">
      <c r="A253" s="6">
        <v>1063</v>
      </c>
      <c r="B253" s="6">
        <v>80361004</v>
      </c>
      <c r="C253" s="8" t="s">
        <v>2166</v>
      </c>
      <c r="D253" s="6" t="s">
        <v>2725</v>
      </c>
      <c r="E253" s="6">
        <f t="shared" si="27"/>
        <v>245</v>
      </c>
      <c r="F253" s="6" t="s">
        <v>2726</v>
      </c>
      <c r="G253" s="6">
        <f t="shared" si="28"/>
        <v>33</v>
      </c>
      <c r="H253" s="9">
        <f t="shared" si="29"/>
        <v>0.86530612244897964</v>
      </c>
      <c r="I253" s="6" t="s">
        <v>5304</v>
      </c>
      <c r="J253" s="6">
        <v>1</v>
      </c>
      <c r="K253" s="9">
        <f t="shared" si="30"/>
        <v>4.0816326530612249E-3</v>
      </c>
      <c r="L253" s="6">
        <v>1</v>
      </c>
      <c r="M253" s="6">
        <v>2</v>
      </c>
      <c r="N253" s="6">
        <v>2</v>
      </c>
      <c r="O253" s="6" t="str">
        <f t="shared" si="31"/>
        <v>Correct</v>
      </c>
      <c r="P253" s="6" t="s">
        <v>2727</v>
      </c>
      <c r="Q253" s="6">
        <v>2</v>
      </c>
      <c r="R253" s="6" t="str">
        <f t="shared" si="32"/>
        <v>Correct</v>
      </c>
      <c r="S253" s="6" t="s">
        <v>3703</v>
      </c>
      <c r="T253" s="14">
        <v>2</v>
      </c>
      <c r="U253" s="6" t="str">
        <f t="shared" si="33"/>
        <v>Correct</v>
      </c>
      <c r="V253" s="15">
        <v>2</v>
      </c>
      <c r="W253" s="15" t="str">
        <f t="shared" si="34"/>
        <v>Correct</v>
      </c>
      <c r="X253" s="14">
        <v>2</v>
      </c>
      <c r="Y253" s="14" t="str">
        <f t="shared" si="35"/>
        <v>Correct</v>
      </c>
      <c r="Z253" s="6">
        <v>252</v>
      </c>
      <c r="AA253" s="6" t="s">
        <v>2728</v>
      </c>
      <c r="AB253" s="6" t="s">
        <v>2729</v>
      </c>
      <c r="AC253" s="6">
        <v>2</v>
      </c>
      <c r="AD253" s="6" t="s">
        <v>40</v>
      </c>
      <c r="AE253" s="6" t="s">
        <v>44</v>
      </c>
      <c r="AF253" s="6" t="s">
        <v>1887</v>
      </c>
      <c r="AG253" s="6" t="s">
        <v>2730</v>
      </c>
      <c r="AH253" s="6" t="s">
        <v>44</v>
      </c>
      <c r="AI253" s="6" t="s">
        <v>3436</v>
      </c>
      <c r="AJ253" s="6" t="s">
        <v>44</v>
      </c>
      <c r="AK253" s="6" t="s">
        <v>2731</v>
      </c>
      <c r="AL253" s="6" t="s">
        <v>5111</v>
      </c>
      <c r="AM253" s="6" t="s">
        <v>2725</v>
      </c>
      <c r="AN253" s="6" t="s">
        <v>2732</v>
      </c>
      <c r="AO253" s="6" t="s">
        <v>2733</v>
      </c>
      <c r="AP253" s="6" t="s">
        <v>2725</v>
      </c>
      <c r="AQ253" s="21" t="s">
        <v>4531</v>
      </c>
      <c r="AR253" s="6" t="s">
        <v>2725</v>
      </c>
      <c r="AS253" s="6" t="s">
        <v>2734</v>
      </c>
      <c r="AT253" s="14">
        <v>2</v>
      </c>
      <c r="AU253" s="14">
        <v>2</v>
      </c>
      <c r="AV253" s="14">
        <v>2</v>
      </c>
      <c r="AW253" s="14">
        <v>2</v>
      </c>
      <c r="AX253" s="14">
        <v>2</v>
      </c>
      <c r="AY253" s="14">
        <v>2</v>
      </c>
      <c r="AZ253" s="14">
        <v>2</v>
      </c>
      <c r="BA253" s="2"/>
    </row>
    <row r="254" spans="1:53" ht="44" customHeight="1" x14ac:dyDescent="0.2">
      <c r="A254" s="6">
        <v>1011</v>
      </c>
      <c r="B254" s="6">
        <v>80386691</v>
      </c>
      <c r="C254" s="8" t="s">
        <v>2166</v>
      </c>
      <c r="D254" s="6" t="s">
        <v>2735</v>
      </c>
      <c r="E254" s="6">
        <f t="shared" si="27"/>
        <v>122</v>
      </c>
      <c r="F254" s="6" t="s">
        <v>2736</v>
      </c>
      <c r="G254" s="6">
        <f t="shared" si="28"/>
        <v>37</v>
      </c>
      <c r="H254" s="9">
        <f t="shared" si="29"/>
        <v>0.69672131147540983</v>
      </c>
      <c r="I254" s="6" t="s">
        <v>5305</v>
      </c>
      <c r="J254" s="6">
        <v>4</v>
      </c>
      <c r="K254" s="9">
        <f t="shared" si="30"/>
        <v>3.2786885245901641E-2</v>
      </c>
      <c r="L254" s="6">
        <v>5</v>
      </c>
      <c r="M254" s="6">
        <v>2</v>
      </c>
      <c r="N254" s="6">
        <v>2</v>
      </c>
      <c r="O254" s="6" t="str">
        <f t="shared" si="31"/>
        <v>Correct</v>
      </c>
      <c r="P254" s="6" t="s">
        <v>2737</v>
      </c>
      <c r="Q254" s="6">
        <v>2</v>
      </c>
      <c r="R254" s="6" t="str">
        <f t="shared" si="32"/>
        <v>Correct</v>
      </c>
      <c r="S254" s="6" t="s">
        <v>3704</v>
      </c>
      <c r="T254" s="14">
        <v>2</v>
      </c>
      <c r="U254" s="6" t="str">
        <f t="shared" si="33"/>
        <v>Correct</v>
      </c>
      <c r="V254" s="15">
        <v>2</v>
      </c>
      <c r="W254" s="15" t="str">
        <f t="shared" si="34"/>
        <v>Correct</v>
      </c>
      <c r="X254" s="14">
        <v>2</v>
      </c>
      <c r="Y254" s="14" t="str">
        <f t="shared" si="35"/>
        <v>Correct</v>
      </c>
      <c r="Z254" s="6">
        <v>253</v>
      </c>
      <c r="AA254" s="6" t="s">
        <v>2738</v>
      </c>
      <c r="AB254" s="6" t="s">
        <v>2739</v>
      </c>
      <c r="AC254" s="6">
        <v>1</v>
      </c>
      <c r="AD254" s="6" t="s">
        <v>40</v>
      </c>
      <c r="AE254" s="6" t="s">
        <v>2586</v>
      </c>
      <c r="AF254" s="6" t="s">
        <v>4114</v>
      </c>
      <c r="AG254" s="6" t="s">
        <v>2740</v>
      </c>
      <c r="AH254" s="6" t="s">
        <v>2741</v>
      </c>
      <c r="AI254" s="6" t="s">
        <v>3450</v>
      </c>
      <c r="AJ254" s="6" t="s">
        <v>2742</v>
      </c>
      <c r="AK254" s="6" t="s">
        <v>2743</v>
      </c>
      <c r="AL254" s="6" t="s">
        <v>3477</v>
      </c>
      <c r="AM254" s="6" t="s">
        <v>2744</v>
      </c>
      <c r="AN254" s="6" t="s">
        <v>4871</v>
      </c>
      <c r="AO254" s="6" t="s">
        <v>2745</v>
      </c>
      <c r="AP254" s="6" t="s">
        <v>2746</v>
      </c>
      <c r="AQ254" s="21" t="s">
        <v>4532</v>
      </c>
      <c r="AR254" s="6" t="s">
        <v>4872</v>
      </c>
      <c r="AS254" s="6" t="s">
        <v>2747</v>
      </c>
      <c r="AT254" s="14">
        <v>2</v>
      </c>
      <c r="AU254" s="14">
        <v>2</v>
      </c>
      <c r="AV254" s="14">
        <v>1</v>
      </c>
      <c r="AW254" s="14">
        <v>2</v>
      </c>
      <c r="AX254" s="14">
        <v>2</v>
      </c>
      <c r="AY254" s="14">
        <v>2</v>
      </c>
      <c r="AZ254" s="14">
        <v>2</v>
      </c>
      <c r="BA254" s="2"/>
    </row>
    <row r="255" spans="1:53" ht="44" customHeight="1" x14ac:dyDescent="0.2">
      <c r="A255" s="6">
        <v>1018</v>
      </c>
      <c r="B255" s="6">
        <v>80454104</v>
      </c>
      <c r="C255" s="8" t="s">
        <v>2166</v>
      </c>
      <c r="D255" s="6" t="s">
        <v>2748</v>
      </c>
      <c r="E255" s="6">
        <f t="shared" si="27"/>
        <v>202</v>
      </c>
      <c r="F255" s="6" t="s">
        <v>2749</v>
      </c>
      <c r="G255" s="6">
        <f t="shared" si="28"/>
        <v>61</v>
      </c>
      <c r="H255" s="9">
        <f t="shared" si="29"/>
        <v>0.69801980198019797</v>
      </c>
      <c r="I255" s="6" t="s">
        <v>5306</v>
      </c>
      <c r="J255" s="6">
        <v>4</v>
      </c>
      <c r="K255" s="9">
        <f t="shared" si="30"/>
        <v>1.9801980198019802E-2</v>
      </c>
      <c r="L255" s="6">
        <v>5</v>
      </c>
      <c r="M255" s="6">
        <v>2</v>
      </c>
      <c r="N255" s="6">
        <v>2</v>
      </c>
      <c r="O255" s="6" t="str">
        <f t="shared" si="31"/>
        <v>Correct</v>
      </c>
      <c r="P255" s="6" t="s">
        <v>2750</v>
      </c>
      <c r="Q255" s="6">
        <v>2</v>
      </c>
      <c r="R255" s="6" t="str">
        <f t="shared" si="32"/>
        <v>Correct</v>
      </c>
      <c r="S255" s="6" t="s">
        <v>3705</v>
      </c>
      <c r="T255" s="14">
        <v>2</v>
      </c>
      <c r="U255" s="6" t="str">
        <f t="shared" si="33"/>
        <v>Correct</v>
      </c>
      <c r="V255" s="15">
        <v>2</v>
      </c>
      <c r="W255" s="15" t="str">
        <f t="shared" si="34"/>
        <v>Correct</v>
      </c>
      <c r="X255" s="14">
        <v>2</v>
      </c>
      <c r="Y255" s="14" t="str">
        <f t="shared" si="35"/>
        <v>Correct</v>
      </c>
      <c r="Z255" s="6">
        <v>254</v>
      </c>
      <c r="AA255" s="6" t="s">
        <v>125</v>
      </c>
      <c r="AB255" s="6" t="s">
        <v>2751</v>
      </c>
      <c r="AC255" s="6">
        <v>1</v>
      </c>
      <c r="AD255" s="6" t="s">
        <v>40</v>
      </c>
      <c r="AE255" s="6" t="s">
        <v>518</v>
      </c>
      <c r="AF255" s="6" t="s">
        <v>4115</v>
      </c>
      <c r="AG255" s="6" t="s">
        <v>2752</v>
      </c>
      <c r="AH255" s="6" t="s">
        <v>44</v>
      </c>
      <c r="AI255" s="6" t="s">
        <v>3451</v>
      </c>
      <c r="AJ255" s="6" t="s">
        <v>2753</v>
      </c>
      <c r="AK255" s="6" t="s">
        <v>4116</v>
      </c>
      <c r="AL255" s="6" t="s">
        <v>3476</v>
      </c>
      <c r="AM255" s="6" t="s">
        <v>2754</v>
      </c>
      <c r="AN255" s="6" t="s">
        <v>4873</v>
      </c>
      <c r="AO255" s="6" t="s">
        <v>2755</v>
      </c>
      <c r="AP255" s="6" t="s">
        <v>2748</v>
      </c>
      <c r="AQ255" s="21" t="s">
        <v>4533</v>
      </c>
      <c r="AR255" s="6" t="s">
        <v>2756</v>
      </c>
      <c r="AS255" s="6" t="s">
        <v>4874</v>
      </c>
      <c r="AT255" s="14">
        <v>2</v>
      </c>
      <c r="AU255" s="14">
        <v>2</v>
      </c>
      <c r="AV255" s="14">
        <v>2</v>
      </c>
      <c r="AW255" s="14">
        <v>2</v>
      </c>
      <c r="AX255" s="14">
        <v>2</v>
      </c>
      <c r="AY255" s="14">
        <v>2</v>
      </c>
      <c r="AZ255" s="14">
        <v>2</v>
      </c>
      <c r="BA255" s="2"/>
    </row>
    <row r="256" spans="1:53" ht="44" customHeight="1" x14ac:dyDescent="0.2">
      <c r="A256" s="6">
        <v>1141</v>
      </c>
      <c r="B256" s="6">
        <v>80491403</v>
      </c>
      <c r="C256" s="8" t="s">
        <v>2166</v>
      </c>
      <c r="D256" s="6" t="s">
        <v>2757</v>
      </c>
      <c r="E256" s="6">
        <f t="shared" si="27"/>
        <v>197</v>
      </c>
      <c r="F256" s="6" t="s">
        <v>2758</v>
      </c>
      <c r="G256" s="6">
        <f t="shared" si="28"/>
        <v>69</v>
      </c>
      <c r="H256" s="9">
        <f t="shared" si="29"/>
        <v>0.64974619289340096</v>
      </c>
      <c r="I256" s="6" t="s">
        <v>5307</v>
      </c>
      <c r="J256" s="6">
        <v>5</v>
      </c>
      <c r="K256" s="9">
        <f t="shared" si="30"/>
        <v>2.5380710659898477E-2</v>
      </c>
      <c r="L256" s="6">
        <v>0</v>
      </c>
      <c r="M256" s="6">
        <v>2</v>
      </c>
      <c r="N256" s="6">
        <v>2</v>
      </c>
      <c r="O256" s="6" t="str">
        <f t="shared" si="31"/>
        <v>Correct</v>
      </c>
      <c r="P256" s="6" t="s">
        <v>2759</v>
      </c>
      <c r="Q256" s="6">
        <v>2</v>
      </c>
      <c r="R256" s="6" t="str">
        <f t="shared" si="32"/>
        <v>Correct</v>
      </c>
      <c r="S256" s="6" t="s">
        <v>3828</v>
      </c>
      <c r="T256" s="14">
        <v>2</v>
      </c>
      <c r="U256" s="6" t="str">
        <f t="shared" si="33"/>
        <v>Correct</v>
      </c>
      <c r="V256" s="15">
        <v>2</v>
      </c>
      <c r="W256" s="15" t="str">
        <f t="shared" si="34"/>
        <v>Correct</v>
      </c>
      <c r="X256" s="14">
        <v>2</v>
      </c>
      <c r="Y256" s="14" t="str">
        <f t="shared" si="35"/>
        <v>Correct</v>
      </c>
      <c r="Z256" s="6">
        <v>255</v>
      </c>
      <c r="AA256" s="6" t="s">
        <v>2760</v>
      </c>
      <c r="AB256" s="6" t="s">
        <v>2761</v>
      </c>
      <c r="AC256" s="6">
        <v>1</v>
      </c>
      <c r="AD256" s="6" t="s">
        <v>40</v>
      </c>
      <c r="AE256" s="6" t="s">
        <v>2762</v>
      </c>
      <c r="AF256" s="6" t="s">
        <v>4117</v>
      </c>
      <c r="AG256" s="6" t="s">
        <v>2763</v>
      </c>
      <c r="AH256" s="6" t="s">
        <v>4118</v>
      </c>
      <c r="AI256" s="6" t="s">
        <v>44</v>
      </c>
      <c r="AJ256" s="6" t="s">
        <v>44</v>
      </c>
      <c r="AK256" s="6" t="s">
        <v>2764</v>
      </c>
      <c r="AL256" s="6" t="s">
        <v>5098</v>
      </c>
      <c r="AM256" s="6" t="s">
        <v>2765</v>
      </c>
      <c r="AN256" s="6" t="s">
        <v>4875</v>
      </c>
      <c r="AO256" s="6" t="s">
        <v>2766</v>
      </c>
      <c r="AP256" s="6" t="s">
        <v>4876</v>
      </c>
      <c r="AQ256" s="21" t="s">
        <v>2757</v>
      </c>
      <c r="AR256" s="6" t="s">
        <v>2757</v>
      </c>
      <c r="AS256" s="6" t="s">
        <v>2767</v>
      </c>
      <c r="AT256" s="14">
        <v>2</v>
      </c>
      <c r="AU256" s="14">
        <v>2</v>
      </c>
      <c r="AV256" s="14">
        <v>2</v>
      </c>
      <c r="AW256" s="14">
        <v>1</v>
      </c>
      <c r="AX256" s="14">
        <v>1</v>
      </c>
      <c r="AY256" s="14">
        <v>2</v>
      </c>
      <c r="AZ256" s="14">
        <v>2</v>
      </c>
      <c r="BA256" s="2"/>
    </row>
    <row r="257" spans="1:53" ht="44" customHeight="1" x14ac:dyDescent="0.2">
      <c r="A257" s="6">
        <v>1120</v>
      </c>
      <c r="B257" s="6">
        <v>80508519</v>
      </c>
      <c r="C257" s="8" t="s">
        <v>2166</v>
      </c>
      <c r="D257" s="6" t="s">
        <v>2768</v>
      </c>
      <c r="E257" s="6">
        <f t="shared" si="27"/>
        <v>283</v>
      </c>
      <c r="F257" s="6" t="s">
        <v>2769</v>
      </c>
      <c r="G257" s="6">
        <f t="shared" si="28"/>
        <v>36</v>
      </c>
      <c r="H257" s="9">
        <f t="shared" si="29"/>
        <v>0.87279151943462896</v>
      </c>
      <c r="I257" s="6" t="s">
        <v>5308</v>
      </c>
      <c r="J257" s="6">
        <v>4</v>
      </c>
      <c r="K257" s="9">
        <f t="shared" si="30"/>
        <v>1.4134275618374558E-2</v>
      </c>
      <c r="L257" s="6">
        <v>16</v>
      </c>
      <c r="M257" s="6">
        <v>1</v>
      </c>
      <c r="N257" s="6">
        <v>1</v>
      </c>
      <c r="O257" s="6" t="str">
        <f t="shared" si="31"/>
        <v>Correct</v>
      </c>
      <c r="P257" s="6" t="s">
        <v>2770</v>
      </c>
      <c r="Q257" s="6">
        <v>1</v>
      </c>
      <c r="R257" s="6" t="str">
        <f t="shared" si="32"/>
        <v>Correct</v>
      </c>
      <c r="S257" s="6" t="s">
        <v>3706</v>
      </c>
      <c r="T257" s="14">
        <v>1</v>
      </c>
      <c r="U257" s="6" t="str">
        <f t="shared" si="33"/>
        <v>Correct</v>
      </c>
      <c r="V257" s="15">
        <v>1</v>
      </c>
      <c r="W257" s="15" t="str">
        <f t="shared" si="34"/>
        <v>Correct</v>
      </c>
      <c r="X257" s="14">
        <v>1</v>
      </c>
      <c r="Y257" s="14" t="str">
        <f t="shared" si="35"/>
        <v>Correct</v>
      </c>
      <c r="Z257" s="6">
        <v>256</v>
      </c>
      <c r="AA257" s="6" t="s">
        <v>2771</v>
      </c>
      <c r="AB257" s="6" t="s">
        <v>2772</v>
      </c>
      <c r="AC257" s="6">
        <v>1</v>
      </c>
      <c r="AD257" s="6" t="s">
        <v>40</v>
      </c>
      <c r="AE257" s="6" t="s">
        <v>44</v>
      </c>
      <c r="AF257" s="6" t="s">
        <v>2773</v>
      </c>
      <c r="AG257" s="6" t="s">
        <v>2774</v>
      </c>
      <c r="AH257" s="6" t="s">
        <v>2775</v>
      </c>
      <c r="AI257" s="6" t="s">
        <v>4331</v>
      </c>
      <c r="AJ257" s="6" t="s">
        <v>4119</v>
      </c>
      <c r="AK257" s="6" t="s">
        <v>4120</v>
      </c>
      <c r="AL257" s="6" t="s">
        <v>5109</v>
      </c>
      <c r="AM257" s="6" t="s">
        <v>2768</v>
      </c>
      <c r="AN257" s="6" t="s">
        <v>2776</v>
      </c>
      <c r="AO257" s="6" t="s">
        <v>2777</v>
      </c>
      <c r="AP257" s="6" t="s">
        <v>2778</v>
      </c>
      <c r="AQ257" s="21" t="s">
        <v>4534</v>
      </c>
      <c r="AR257" s="6" t="s">
        <v>2779</v>
      </c>
      <c r="AS257" s="6" t="s">
        <v>4877</v>
      </c>
      <c r="AT257" s="14">
        <v>1</v>
      </c>
      <c r="AU257" s="14">
        <v>1</v>
      </c>
      <c r="AV257" s="14">
        <v>1</v>
      </c>
      <c r="AW257" s="14">
        <v>1</v>
      </c>
      <c r="AX257" s="14">
        <v>1</v>
      </c>
      <c r="AY257" s="14">
        <v>1</v>
      </c>
      <c r="AZ257" s="14">
        <v>1</v>
      </c>
      <c r="BA257" s="2"/>
    </row>
    <row r="258" spans="1:53" ht="44" customHeight="1" x14ac:dyDescent="0.2">
      <c r="A258" s="6">
        <v>1138</v>
      </c>
      <c r="B258" s="6">
        <v>80534779</v>
      </c>
      <c r="C258" s="8" t="s">
        <v>2166</v>
      </c>
      <c r="D258" s="6" t="s">
        <v>2780</v>
      </c>
      <c r="E258" s="6">
        <f t="shared" ref="E258:E321" si="36">IF(LEN(TRIM(D258))=0, 0, LEN(TRIM(D258)) - LEN(SUBSTITUTE(D258, " ", "")) + 1)</f>
        <v>263</v>
      </c>
      <c r="F258" s="6" t="s">
        <v>2781</v>
      </c>
      <c r="G258" s="6">
        <f t="shared" ref="G258:G321" si="37">IF(LEN(TRIM(F258))=0, 0, LEN(TRIM(F258)) - LEN(SUBSTITUTE(F258, " ", "")) + 1)</f>
        <v>87</v>
      </c>
      <c r="H258" s="9">
        <f t="shared" ref="H258:H321" si="38">((E258-G258)/E258)</f>
        <v>0.66920152091254748</v>
      </c>
      <c r="I258" s="6" t="s">
        <v>5309</v>
      </c>
      <c r="J258" s="6">
        <v>15</v>
      </c>
      <c r="K258" s="9">
        <f t="shared" ref="K258:K321" si="39">J258/E258</f>
        <v>5.7034220532319393E-2</v>
      </c>
      <c r="L258" s="6">
        <v>10</v>
      </c>
      <c r="M258" s="6">
        <v>2</v>
      </c>
      <c r="N258" s="6">
        <v>1</v>
      </c>
      <c r="O258" s="6" t="str">
        <f t="shared" ref="O258:O309" si="40">IF(N258=M258, "Correct", IF(N258=1, "Overtriaged", "Undertriaged"))</f>
        <v>Overtriaged</v>
      </c>
      <c r="P258" s="6" t="s">
        <v>2782</v>
      </c>
      <c r="Q258" s="6">
        <v>1</v>
      </c>
      <c r="R258" s="6" t="str">
        <f t="shared" ref="R258:R321" si="41">IF(Q258=M258, "Correct", IF(Q258=1, "Overtriaged", "Undertriaged"))</f>
        <v>Overtriaged</v>
      </c>
      <c r="S258" s="6" t="s">
        <v>3829</v>
      </c>
      <c r="T258" s="14">
        <v>1</v>
      </c>
      <c r="U258" s="6" t="str">
        <f t="shared" ref="U258:U321" si="42">IF(T258=M258, "Correct", IF(T258=1, "Overtriaged", "Undertriaged"))</f>
        <v>Overtriaged</v>
      </c>
      <c r="V258" s="15">
        <v>1</v>
      </c>
      <c r="W258" s="15" t="str">
        <f t="shared" ref="W258:W310" si="43">IF(V258=M258, "Correct", IF(V258=1, "Overtriaged", "Undertriaged"))</f>
        <v>Overtriaged</v>
      </c>
      <c r="X258" s="14">
        <v>1</v>
      </c>
      <c r="Y258" s="14" t="str">
        <f t="shared" si="35"/>
        <v>Overtriaged</v>
      </c>
      <c r="Z258" s="6">
        <v>257</v>
      </c>
      <c r="AA258" s="6" t="s">
        <v>2783</v>
      </c>
      <c r="AB258" s="6" t="s">
        <v>2784</v>
      </c>
      <c r="AC258" s="6">
        <v>1</v>
      </c>
      <c r="AD258" s="6" t="s">
        <v>40</v>
      </c>
      <c r="AE258" s="6" t="s">
        <v>69</v>
      </c>
      <c r="AF258" s="6" t="s">
        <v>2785</v>
      </c>
      <c r="AG258" s="6" t="s">
        <v>2786</v>
      </c>
      <c r="AH258" s="6" t="s">
        <v>44</v>
      </c>
      <c r="AI258" s="6" t="s">
        <v>4369</v>
      </c>
      <c r="AJ258" s="6" t="s">
        <v>2787</v>
      </c>
      <c r="AK258" s="6" t="s">
        <v>2788</v>
      </c>
      <c r="AL258" s="6" t="s">
        <v>3476</v>
      </c>
      <c r="AM258" s="6" t="s">
        <v>2789</v>
      </c>
      <c r="AN258" s="6" t="s">
        <v>2790</v>
      </c>
      <c r="AO258" s="6" t="s">
        <v>2791</v>
      </c>
      <c r="AP258" s="6" t="s">
        <v>2780</v>
      </c>
      <c r="AQ258" s="21" t="s">
        <v>4535</v>
      </c>
      <c r="AR258" s="6" t="s">
        <v>2792</v>
      </c>
      <c r="AS258" s="6" t="s">
        <v>2793</v>
      </c>
      <c r="AT258" s="14">
        <v>1</v>
      </c>
      <c r="AU258" s="14">
        <v>1</v>
      </c>
      <c r="AV258" s="14">
        <v>1</v>
      </c>
      <c r="AW258" s="14">
        <v>1</v>
      </c>
      <c r="AX258" s="14">
        <v>1</v>
      </c>
      <c r="AY258" s="14">
        <v>1</v>
      </c>
      <c r="AZ258" s="14">
        <v>1</v>
      </c>
      <c r="BA258" s="2"/>
    </row>
    <row r="259" spans="1:53" ht="44" customHeight="1" x14ac:dyDescent="0.2">
      <c r="A259" s="6">
        <v>10235</v>
      </c>
      <c r="B259" s="6">
        <v>80568124</v>
      </c>
      <c r="C259" s="8" t="s">
        <v>2166</v>
      </c>
      <c r="D259" s="6" t="s">
        <v>2794</v>
      </c>
      <c r="E259" s="6">
        <f t="shared" si="36"/>
        <v>176</v>
      </c>
      <c r="F259" s="6" t="s">
        <v>2795</v>
      </c>
      <c r="G259" s="6">
        <f t="shared" si="37"/>
        <v>51</v>
      </c>
      <c r="H259" s="9">
        <f t="shared" si="38"/>
        <v>0.71022727272727271</v>
      </c>
      <c r="I259" s="6" t="s">
        <v>5310</v>
      </c>
      <c r="J259" s="6">
        <v>3</v>
      </c>
      <c r="K259" s="9">
        <f t="shared" si="39"/>
        <v>1.7045454545454544E-2</v>
      </c>
      <c r="L259" s="6">
        <v>17</v>
      </c>
      <c r="M259" s="6">
        <v>1</v>
      </c>
      <c r="N259" s="6">
        <v>2</v>
      </c>
      <c r="O259" s="6" t="str">
        <f t="shared" si="40"/>
        <v>Undertriaged</v>
      </c>
      <c r="P259" s="6" t="s">
        <v>2796</v>
      </c>
      <c r="Q259" s="6">
        <v>2</v>
      </c>
      <c r="R259" s="6" t="str">
        <f t="shared" si="41"/>
        <v>Undertriaged</v>
      </c>
      <c r="S259" s="6" t="s">
        <v>3830</v>
      </c>
      <c r="T259" s="14">
        <v>2</v>
      </c>
      <c r="U259" s="6" t="str">
        <f t="shared" si="42"/>
        <v>Undertriaged</v>
      </c>
      <c r="V259" s="15">
        <v>2</v>
      </c>
      <c r="W259" s="15" t="str">
        <f t="shared" si="43"/>
        <v>Undertriaged</v>
      </c>
      <c r="X259" s="14">
        <v>2</v>
      </c>
      <c r="Y259" s="14" t="str">
        <f t="shared" ref="Y259:Y322" si="44">IF(X259=M259, "Correct", IF(X259=1, "Overtriaged", "Undertriaged"))</f>
        <v>Undertriaged</v>
      </c>
      <c r="Z259" s="6">
        <v>258</v>
      </c>
      <c r="AA259" s="6" t="s">
        <v>892</v>
      </c>
      <c r="AB259" s="6" t="s">
        <v>2797</v>
      </c>
      <c r="AC259" s="6">
        <v>1</v>
      </c>
      <c r="AD259" s="6" t="s">
        <v>40</v>
      </c>
      <c r="AE259" s="6" t="s">
        <v>853</v>
      </c>
      <c r="AF259" s="6" t="s">
        <v>2798</v>
      </c>
      <c r="AG259" s="6" t="s">
        <v>2799</v>
      </c>
      <c r="AH259" s="6" t="s">
        <v>4121</v>
      </c>
      <c r="AI259" s="6" t="s">
        <v>3436</v>
      </c>
      <c r="AJ259" s="6" t="s">
        <v>2800</v>
      </c>
      <c r="AK259" s="6" t="s">
        <v>4122</v>
      </c>
      <c r="AL259" s="6" t="s">
        <v>3477</v>
      </c>
      <c r="AM259" s="6" t="s">
        <v>2801</v>
      </c>
      <c r="AN259" s="6" t="s">
        <v>2802</v>
      </c>
      <c r="AO259" s="6" t="s">
        <v>2803</v>
      </c>
      <c r="AP259" s="6" t="s">
        <v>4878</v>
      </c>
      <c r="AQ259" s="21" t="s">
        <v>2794</v>
      </c>
      <c r="AR259" s="6" t="s">
        <v>2804</v>
      </c>
      <c r="AS259" s="6" t="s">
        <v>4879</v>
      </c>
      <c r="AT259" s="14">
        <v>2</v>
      </c>
      <c r="AU259" s="14">
        <v>2</v>
      </c>
      <c r="AV259" s="14">
        <v>2</v>
      </c>
      <c r="AW259" s="14">
        <v>1</v>
      </c>
      <c r="AX259" s="14">
        <v>2</v>
      </c>
      <c r="AY259" s="14">
        <v>1</v>
      </c>
      <c r="AZ259" s="14">
        <v>2</v>
      </c>
      <c r="BA259" s="2"/>
    </row>
    <row r="260" spans="1:53" ht="44" customHeight="1" x14ac:dyDescent="0.2">
      <c r="A260" s="6">
        <v>1095</v>
      </c>
      <c r="B260" s="6">
        <v>80576166</v>
      </c>
      <c r="C260" s="8" t="s">
        <v>2166</v>
      </c>
      <c r="D260" s="6" t="s">
        <v>2805</v>
      </c>
      <c r="E260" s="6">
        <f t="shared" si="36"/>
        <v>240</v>
      </c>
      <c r="F260" s="6" t="s">
        <v>2806</v>
      </c>
      <c r="G260" s="6">
        <f t="shared" si="37"/>
        <v>62</v>
      </c>
      <c r="H260" s="9">
        <f t="shared" si="38"/>
        <v>0.7416666666666667</v>
      </c>
      <c r="I260" s="6" t="s">
        <v>5311</v>
      </c>
      <c r="J260" s="6">
        <v>3</v>
      </c>
      <c r="K260" s="9">
        <f t="shared" si="39"/>
        <v>1.2500000000000001E-2</v>
      </c>
      <c r="L260" s="6">
        <v>16</v>
      </c>
      <c r="M260" s="6">
        <v>1</v>
      </c>
      <c r="N260" s="6">
        <v>1</v>
      </c>
      <c r="O260" s="6" t="str">
        <f t="shared" si="40"/>
        <v>Correct</v>
      </c>
      <c r="P260" s="6" t="s">
        <v>2807</v>
      </c>
      <c r="Q260" s="6">
        <v>1</v>
      </c>
      <c r="R260" s="6" t="str">
        <f t="shared" si="41"/>
        <v>Correct</v>
      </c>
      <c r="S260" s="6" t="s">
        <v>3707</v>
      </c>
      <c r="T260" s="14">
        <v>1</v>
      </c>
      <c r="U260" s="6" t="str">
        <f t="shared" si="42"/>
        <v>Correct</v>
      </c>
      <c r="V260" s="15">
        <v>1</v>
      </c>
      <c r="W260" s="15" t="str">
        <f t="shared" si="43"/>
        <v>Correct</v>
      </c>
      <c r="X260" s="14">
        <v>1</v>
      </c>
      <c r="Y260" s="14" t="str">
        <f t="shared" si="44"/>
        <v>Correct</v>
      </c>
      <c r="Z260" s="6">
        <v>259</v>
      </c>
      <c r="AA260" s="6" t="s">
        <v>2808</v>
      </c>
      <c r="AB260" s="6" t="s">
        <v>2809</v>
      </c>
      <c r="AC260" s="6">
        <v>1</v>
      </c>
      <c r="AD260" s="6" t="s">
        <v>40</v>
      </c>
      <c r="AE260" s="6" t="s">
        <v>265</v>
      </c>
      <c r="AF260" s="6" t="s">
        <v>4123</v>
      </c>
      <c r="AG260" s="6" t="s">
        <v>4124</v>
      </c>
      <c r="AH260" s="6" t="s">
        <v>44</v>
      </c>
      <c r="AI260" s="6" t="s">
        <v>3452</v>
      </c>
      <c r="AJ260" s="6" t="s">
        <v>2810</v>
      </c>
      <c r="AK260" s="6" t="s">
        <v>2811</v>
      </c>
      <c r="AL260" s="6" t="s">
        <v>3476</v>
      </c>
      <c r="AM260" s="6" t="s">
        <v>2812</v>
      </c>
      <c r="AN260" s="6" t="s">
        <v>4880</v>
      </c>
      <c r="AO260" s="6" t="s">
        <v>4881</v>
      </c>
      <c r="AP260" s="6" t="s">
        <v>2805</v>
      </c>
      <c r="AQ260" s="21" t="s">
        <v>4536</v>
      </c>
      <c r="AR260" s="6" t="s">
        <v>2813</v>
      </c>
      <c r="AS260" s="6" t="s">
        <v>2814</v>
      </c>
      <c r="AT260" s="14">
        <v>1</v>
      </c>
      <c r="AU260" s="14">
        <v>1</v>
      </c>
      <c r="AV260" s="14">
        <v>2</v>
      </c>
      <c r="AW260" s="14">
        <v>1</v>
      </c>
      <c r="AX260" s="14">
        <v>1</v>
      </c>
      <c r="AY260" s="14">
        <v>1</v>
      </c>
      <c r="AZ260" s="14">
        <v>1</v>
      </c>
      <c r="BA260" s="2"/>
    </row>
    <row r="261" spans="1:53" ht="44" customHeight="1" x14ac:dyDescent="0.2">
      <c r="A261" s="6">
        <v>10176</v>
      </c>
      <c r="B261" s="6">
        <v>80555356</v>
      </c>
      <c r="C261" s="8" t="s">
        <v>2166</v>
      </c>
      <c r="D261" s="6" t="s">
        <v>2815</v>
      </c>
      <c r="E261" s="6">
        <f t="shared" si="36"/>
        <v>534</v>
      </c>
      <c r="F261" s="6" t="s">
        <v>2816</v>
      </c>
      <c r="G261" s="6">
        <f t="shared" si="37"/>
        <v>77</v>
      </c>
      <c r="H261" s="9">
        <f t="shared" si="38"/>
        <v>0.85580524344569286</v>
      </c>
      <c r="I261" s="6" t="s">
        <v>5312</v>
      </c>
      <c r="J261" s="6">
        <v>9</v>
      </c>
      <c r="K261" s="9">
        <f t="shared" si="39"/>
        <v>1.6853932584269662E-2</v>
      </c>
      <c r="L261" s="6">
        <v>14</v>
      </c>
      <c r="M261" s="6">
        <v>2</v>
      </c>
      <c r="N261" s="6">
        <v>2</v>
      </c>
      <c r="O261" s="6" t="str">
        <f t="shared" si="40"/>
        <v>Correct</v>
      </c>
      <c r="P261" s="6" t="s">
        <v>2817</v>
      </c>
      <c r="Q261" s="6">
        <v>1</v>
      </c>
      <c r="R261" s="6" t="str">
        <f t="shared" si="41"/>
        <v>Overtriaged</v>
      </c>
      <c r="S261" s="6" t="s">
        <v>3831</v>
      </c>
      <c r="T261" s="14">
        <v>2</v>
      </c>
      <c r="U261" s="6" t="str">
        <f t="shared" si="42"/>
        <v>Correct</v>
      </c>
      <c r="V261" s="15">
        <v>1</v>
      </c>
      <c r="W261" s="15" t="str">
        <f t="shared" si="43"/>
        <v>Overtriaged</v>
      </c>
      <c r="X261" s="14">
        <v>2</v>
      </c>
      <c r="Y261" s="14" t="str">
        <f t="shared" si="44"/>
        <v>Correct</v>
      </c>
      <c r="Z261" s="6">
        <v>260</v>
      </c>
      <c r="AA261" s="6" t="s">
        <v>499</v>
      </c>
      <c r="AB261" s="6" t="s">
        <v>2818</v>
      </c>
      <c r="AC261" s="6">
        <v>1</v>
      </c>
      <c r="AD261" s="6" t="s">
        <v>40</v>
      </c>
      <c r="AE261" s="6" t="s">
        <v>2819</v>
      </c>
      <c r="AF261" s="6" t="s">
        <v>2820</v>
      </c>
      <c r="AG261" s="6" t="s">
        <v>2821</v>
      </c>
      <c r="AH261" s="6" t="s">
        <v>2822</v>
      </c>
      <c r="AI261" s="6" t="s">
        <v>3453</v>
      </c>
      <c r="AJ261" s="6" t="s">
        <v>4125</v>
      </c>
      <c r="AK261" s="6" t="s">
        <v>4126</v>
      </c>
      <c r="AL261" s="6" t="s">
        <v>3477</v>
      </c>
      <c r="AM261" s="6" t="s">
        <v>4882</v>
      </c>
      <c r="AN261" s="6" t="s">
        <v>2823</v>
      </c>
      <c r="AO261" s="6" t="s">
        <v>2824</v>
      </c>
      <c r="AP261" s="6" t="s">
        <v>2825</v>
      </c>
      <c r="AQ261" s="21" t="s">
        <v>4537</v>
      </c>
      <c r="AR261" s="6" t="s">
        <v>4883</v>
      </c>
      <c r="AS261" s="6" t="s">
        <v>4884</v>
      </c>
      <c r="AT261" s="14">
        <v>2</v>
      </c>
      <c r="AU261" s="14">
        <v>1</v>
      </c>
      <c r="AV261" s="14">
        <v>2</v>
      </c>
      <c r="AW261" s="14">
        <v>1</v>
      </c>
      <c r="AX261" s="14">
        <v>1</v>
      </c>
      <c r="AY261" s="14">
        <v>2</v>
      </c>
      <c r="AZ261" s="14">
        <v>1</v>
      </c>
      <c r="BA261" s="2"/>
    </row>
    <row r="262" spans="1:53" ht="44" customHeight="1" x14ac:dyDescent="0.2">
      <c r="A262" s="6">
        <v>1009</v>
      </c>
      <c r="B262" s="6">
        <v>80576312</v>
      </c>
      <c r="C262" s="8" t="s">
        <v>2166</v>
      </c>
      <c r="D262" s="6" t="s">
        <v>2826</v>
      </c>
      <c r="E262" s="6">
        <f t="shared" si="36"/>
        <v>69</v>
      </c>
      <c r="F262" s="6" t="s">
        <v>2827</v>
      </c>
      <c r="G262" s="6">
        <f t="shared" si="37"/>
        <v>17</v>
      </c>
      <c r="H262" s="9">
        <f t="shared" si="38"/>
        <v>0.75362318840579712</v>
      </c>
      <c r="I262" s="6" t="s">
        <v>5313</v>
      </c>
      <c r="J262" s="6">
        <v>3</v>
      </c>
      <c r="K262" s="9">
        <f t="shared" si="39"/>
        <v>4.3478260869565216E-2</v>
      </c>
      <c r="L262" s="6">
        <v>0</v>
      </c>
      <c r="M262" s="6">
        <v>2</v>
      </c>
      <c r="N262" s="6">
        <v>2</v>
      </c>
      <c r="O262" s="6" t="str">
        <f t="shared" si="40"/>
        <v>Correct</v>
      </c>
      <c r="P262" s="6" t="s">
        <v>2828</v>
      </c>
      <c r="Q262" s="6">
        <v>1</v>
      </c>
      <c r="R262" s="6" t="str">
        <f t="shared" si="41"/>
        <v>Overtriaged</v>
      </c>
      <c r="S262" s="6" t="s">
        <v>3832</v>
      </c>
      <c r="T262" s="14">
        <v>1</v>
      </c>
      <c r="U262" s="6" t="str">
        <f t="shared" si="42"/>
        <v>Overtriaged</v>
      </c>
      <c r="V262" s="15">
        <v>1</v>
      </c>
      <c r="W262" s="15" t="str">
        <f t="shared" si="43"/>
        <v>Overtriaged</v>
      </c>
      <c r="X262" s="14">
        <v>2</v>
      </c>
      <c r="Y262" s="14" t="str">
        <f t="shared" si="44"/>
        <v>Correct</v>
      </c>
      <c r="Z262" s="6">
        <v>261</v>
      </c>
      <c r="AA262" s="6" t="s">
        <v>743</v>
      </c>
      <c r="AB262" s="6" t="s">
        <v>2829</v>
      </c>
      <c r="AC262" s="6">
        <v>1</v>
      </c>
      <c r="AD262" s="6" t="s">
        <v>40</v>
      </c>
      <c r="AE262" s="6" t="s">
        <v>2830</v>
      </c>
      <c r="AF262" s="6" t="s">
        <v>44</v>
      </c>
      <c r="AG262" s="6" t="s">
        <v>44</v>
      </c>
      <c r="AH262" s="6" t="s">
        <v>44</v>
      </c>
      <c r="AI262" s="6" t="s">
        <v>3358</v>
      </c>
      <c r="AJ262" s="6" t="s">
        <v>2831</v>
      </c>
      <c r="AK262" s="6" t="s">
        <v>4127</v>
      </c>
      <c r="AL262" s="6" t="s">
        <v>3480</v>
      </c>
      <c r="AM262" s="6" t="s">
        <v>2833</v>
      </c>
      <c r="AN262" s="6" t="s">
        <v>2826</v>
      </c>
      <c r="AO262" s="6" t="s">
        <v>2826</v>
      </c>
      <c r="AP262" s="6" t="s">
        <v>2826</v>
      </c>
      <c r="AQ262" s="21" t="s">
        <v>2834</v>
      </c>
      <c r="AR262" s="6" t="s">
        <v>2834</v>
      </c>
      <c r="AS262" s="6" t="s">
        <v>2835</v>
      </c>
      <c r="AT262" s="14">
        <v>1</v>
      </c>
      <c r="AU262" s="14">
        <v>1</v>
      </c>
      <c r="AV262" s="14">
        <v>1</v>
      </c>
      <c r="AW262" s="14">
        <v>1</v>
      </c>
      <c r="AX262" s="14">
        <v>2</v>
      </c>
      <c r="AY262" s="14">
        <v>2</v>
      </c>
      <c r="AZ262" s="14">
        <v>1</v>
      </c>
      <c r="BA262" s="2"/>
    </row>
    <row r="263" spans="1:53" ht="44" customHeight="1" x14ac:dyDescent="0.2">
      <c r="A263" s="6">
        <v>109526</v>
      </c>
      <c r="B263" s="6">
        <v>80582966</v>
      </c>
      <c r="C263" s="8" t="s">
        <v>2166</v>
      </c>
      <c r="D263" s="6" t="s">
        <v>2836</v>
      </c>
      <c r="E263" s="6">
        <f t="shared" si="36"/>
        <v>248</v>
      </c>
      <c r="F263" s="6" t="s">
        <v>2837</v>
      </c>
      <c r="G263" s="6">
        <f t="shared" si="37"/>
        <v>52</v>
      </c>
      <c r="H263" s="9">
        <f t="shared" si="38"/>
        <v>0.79032258064516125</v>
      </c>
      <c r="I263" s="6" t="s">
        <v>5314</v>
      </c>
      <c r="J263" s="6">
        <v>6</v>
      </c>
      <c r="K263" s="9">
        <f t="shared" si="39"/>
        <v>2.4193548387096774E-2</v>
      </c>
      <c r="L263" s="6">
        <v>1</v>
      </c>
      <c r="M263" s="6">
        <v>2</v>
      </c>
      <c r="N263" s="6">
        <v>2</v>
      </c>
      <c r="O263" s="6" t="str">
        <f t="shared" si="40"/>
        <v>Correct</v>
      </c>
      <c r="P263" s="6" t="s">
        <v>2838</v>
      </c>
      <c r="Q263" s="6">
        <v>2</v>
      </c>
      <c r="R263" s="6" t="str">
        <f t="shared" si="41"/>
        <v>Correct</v>
      </c>
      <c r="S263" s="6" t="s">
        <v>3708</v>
      </c>
      <c r="T263" s="14">
        <v>2</v>
      </c>
      <c r="U263" s="6" t="str">
        <f t="shared" si="42"/>
        <v>Correct</v>
      </c>
      <c r="V263" s="15">
        <v>2</v>
      </c>
      <c r="W263" s="15" t="str">
        <f t="shared" si="43"/>
        <v>Correct</v>
      </c>
      <c r="X263" s="14">
        <v>2</v>
      </c>
      <c r="Y263" s="14" t="str">
        <f t="shared" si="44"/>
        <v>Correct</v>
      </c>
      <c r="Z263" s="6">
        <v>262</v>
      </c>
      <c r="AA263" s="6" t="s">
        <v>2839</v>
      </c>
      <c r="AB263" s="6" t="s">
        <v>2840</v>
      </c>
      <c r="AC263" s="6">
        <v>1</v>
      </c>
      <c r="AD263" s="6" t="s">
        <v>40</v>
      </c>
      <c r="AE263" s="6" t="s">
        <v>717</v>
      </c>
      <c r="AF263" s="6" t="s">
        <v>1518</v>
      </c>
      <c r="AG263" s="6" t="s">
        <v>2841</v>
      </c>
      <c r="AH263" s="6" t="s">
        <v>2299</v>
      </c>
      <c r="AI263" s="6" t="s">
        <v>3454</v>
      </c>
      <c r="AJ263" s="6" t="s">
        <v>2842</v>
      </c>
      <c r="AK263" s="6" t="s">
        <v>4128</v>
      </c>
      <c r="AL263" s="6" t="s">
        <v>3477</v>
      </c>
      <c r="AM263" s="6" t="s">
        <v>2843</v>
      </c>
      <c r="AN263" s="6" t="s">
        <v>2844</v>
      </c>
      <c r="AO263" s="6" t="s">
        <v>2845</v>
      </c>
      <c r="AP263" s="6" t="s">
        <v>2846</v>
      </c>
      <c r="AQ263" s="21" t="s">
        <v>4538</v>
      </c>
      <c r="AR263" s="6" t="s">
        <v>2847</v>
      </c>
      <c r="AS263" s="6" t="s">
        <v>4885</v>
      </c>
      <c r="AT263" s="14">
        <v>2</v>
      </c>
      <c r="AU263" s="14">
        <v>2</v>
      </c>
      <c r="AV263" s="14">
        <v>2</v>
      </c>
      <c r="AW263" s="14">
        <v>2</v>
      </c>
      <c r="AX263" s="14">
        <v>2</v>
      </c>
      <c r="AY263" s="14">
        <v>2</v>
      </c>
      <c r="AZ263" s="14">
        <v>2</v>
      </c>
      <c r="BA263" s="2"/>
    </row>
    <row r="264" spans="1:53" ht="44" customHeight="1" x14ac:dyDescent="0.2">
      <c r="A264" s="6">
        <v>1114</v>
      </c>
      <c r="B264" s="6">
        <v>80588770</v>
      </c>
      <c r="C264" s="8" t="s">
        <v>2166</v>
      </c>
      <c r="D264" s="6" t="s">
        <v>2848</v>
      </c>
      <c r="E264" s="6">
        <f t="shared" si="36"/>
        <v>125</v>
      </c>
      <c r="F264" s="6" t="s">
        <v>2849</v>
      </c>
      <c r="G264" s="6">
        <f t="shared" si="37"/>
        <v>42</v>
      </c>
      <c r="H264" s="9">
        <f t="shared" si="38"/>
        <v>0.66400000000000003</v>
      </c>
      <c r="I264" s="6" t="s">
        <v>5315</v>
      </c>
      <c r="J264" s="6">
        <v>4</v>
      </c>
      <c r="K264" s="9">
        <f t="shared" si="39"/>
        <v>3.2000000000000001E-2</v>
      </c>
      <c r="L264" s="6">
        <v>10</v>
      </c>
      <c r="M264" s="6">
        <v>2</v>
      </c>
      <c r="N264" s="6">
        <v>2</v>
      </c>
      <c r="O264" s="6" t="str">
        <f t="shared" si="40"/>
        <v>Correct</v>
      </c>
      <c r="P264" s="6" t="s">
        <v>2850</v>
      </c>
      <c r="Q264" s="6">
        <v>2</v>
      </c>
      <c r="R264" s="6" t="str">
        <f t="shared" si="41"/>
        <v>Correct</v>
      </c>
      <c r="S264" s="6" t="s">
        <v>3833</v>
      </c>
      <c r="T264" s="14">
        <v>2</v>
      </c>
      <c r="U264" s="6" t="str">
        <f t="shared" si="42"/>
        <v>Correct</v>
      </c>
      <c r="V264" s="15">
        <v>2</v>
      </c>
      <c r="W264" s="15" t="str">
        <f t="shared" si="43"/>
        <v>Correct</v>
      </c>
      <c r="X264" s="14">
        <v>2</v>
      </c>
      <c r="Y264" s="14" t="str">
        <f t="shared" si="44"/>
        <v>Correct</v>
      </c>
      <c r="Z264" s="6">
        <v>263</v>
      </c>
      <c r="AA264" s="6" t="s">
        <v>125</v>
      </c>
      <c r="AB264" s="6" t="s">
        <v>2851</v>
      </c>
      <c r="AC264" s="6">
        <v>1</v>
      </c>
      <c r="AD264" s="6" t="s">
        <v>40</v>
      </c>
      <c r="AE264" s="6" t="s">
        <v>2852</v>
      </c>
      <c r="AF264" s="6" t="s">
        <v>2853</v>
      </c>
      <c r="AG264" s="6" t="s">
        <v>2854</v>
      </c>
      <c r="AH264" s="6" t="s">
        <v>44</v>
      </c>
      <c r="AI264" s="6" t="s">
        <v>3455</v>
      </c>
      <c r="AJ264" s="6" t="s">
        <v>2855</v>
      </c>
      <c r="AK264" s="6" t="s">
        <v>4129</v>
      </c>
      <c r="AL264" s="6" t="s">
        <v>3476</v>
      </c>
      <c r="AM264" s="6" t="s">
        <v>2856</v>
      </c>
      <c r="AN264" s="6" t="s">
        <v>2857</v>
      </c>
      <c r="AO264" s="6" t="s">
        <v>2858</v>
      </c>
      <c r="AP264" s="6" t="s">
        <v>2848</v>
      </c>
      <c r="AQ264" s="21" t="s">
        <v>4539</v>
      </c>
      <c r="AR264" s="6" t="s">
        <v>2859</v>
      </c>
      <c r="AS264" s="6" t="s">
        <v>4886</v>
      </c>
      <c r="AT264" s="14">
        <v>2</v>
      </c>
      <c r="AU264" s="14">
        <v>2</v>
      </c>
      <c r="AV264" s="14">
        <v>2</v>
      </c>
      <c r="AW264" s="14">
        <v>2</v>
      </c>
      <c r="AX264" s="14">
        <v>2</v>
      </c>
      <c r="AY264" s="14">
        <v>2</v>
      </c>
      <c r="AZ264" s="14">
        <v>2</v>
      </c>
      <c r="BA264" s="2"/>
    </row>
    <row r="265" spans="1:53" ht="44" customHeight="1" x14ac:dyDescent="0.2">
      <c r="A265" s="6">
        <v>1026</v>
      </c>
      <c r="B265" s="6">
        <v>80617308</v>
      </c>
      <c r="C265" s="8" t="s">
        <v>2166</v>
      </c>
      <c r="D265" s="6" t="s">
        <v>2860</v>
      </c>
      <c r="E265" s="6">
        <f t="shared" si="36"/>
        <v>229</v>
      </c>
      <c r="F265" s="6" t="s">
        <v>2861</v>
      </c>
      <c r="G265" s="6">
        <f t="shared" si="37"/>
        <v>59</v>
      </c>
      <c r="H265" s="9">
        <f t="shared" si="38"/>
        <v>0.74235807860262004</v>
      </c>
      <c r="I265" s="6" t="s">
        <v>5316</v>
      </c>
      <c r="J265" s="6">
        <v>3</v>
      </c>
      <c r="K265" s="9">
        <f t="shared" si="39"/>
        <v>1.3100436681222707E-2</v>
      </c>
      <c r="L265" s="6">
        <v>2</v>
      </c>
      <c r="M265" s="6">
        <v>2</v>
      </c>
      <c r="N265" s="6">
        <v>2</v>
      </c>
      <c r="O265" s="6" t="str">
        <f t="shared" si="40"/>
        <v>Correct</v>
      </c>
      <c r="P265" s="6" t="s">
        <v>2862</v>
      </c>
      <c r="Q265" s="6">
        <v>2</v>
      </c>
      <c r="R265" s="6" t="str">
        <f t="shared" si="41"/>
        <v>Correct</v>
      </c>
      <c r="S265" s="6" t="s">
        <v>3834</v>
      </c>
      <c r="T265" s="14">
        <v>2</v>
      </c>
      <c r="U265" s="6" t="str">
        <f t="shared" si="42"/>
        <v>Correct</v>
      </c>
      <c r="V265" s="15">
        <v>2</v>
      </c>
      <c r="W265" s="15" t="str">
        <f t="shared" si="43"/>
        <v>Correct</v>
      </c>
      <c r="X265" s="14">
        <v>2</v>
      </c>
      <c r="Y265" s="14" t="str">
        <f t="shared" si="44"/>
        <v>Correct</v>
      </c>
      <c r="Z265" s="6">
        <v>264</v>
      </c>
      <c r="AA265" s="6" t="s">
        <v>2863</v>
      </c>
      <c r="AB265" s="6" t="s">
        <v>2864</v>
      </c>
      <c r="AC265" s="6">
        <v>1</v>
      </c>
      <c r="AD265" s="6" t="s">
        <v>40</v>
      </c>
      <c r="AE265" s="6" t="s">
        <v>265</v>
      </c>
      <c r="AF265" s="6" t="s">
        <v>2865</v>
      </c>
      <c r="AG265" s="6" t="s">
        <v>2866</v>
      </c>
      <c r="AH265" s="6" t="s">
        <v>44</v>
      </c>
      <c r="AI265" s="6" t="s">
        <v>4370</v>
      </c>
      <c r="AJ265" s="6" t="s">
        <v>4130</v>
      </c>
      <c r="AK265" s="6" t="s">
        <v>4131</v>
      </c>
      <c r="AL265" s="6" t="s">
        <v>3476</v>
      </c>
      <c r="AM265" s="6" t="s">
        <v>2867</v>
      </c>
      <c r="AN265" s="6" t="s">
        <v>2868</v>
      </c>
      <c r="AO265" s="6" t="s">
        <v>2869</v>
      </c>
      <c r="AP265" s="6" t="s">
        <v>2860</v>
      </c>
      <c r="AQ265" s="21" t="s">
        <v>4540</v>
      </c>
      <c r="AR265" s="6" t="s">
        <v>4887</v>
      </c>
      <c r="AS265" s="6" t="s">
        <v>4888</v>
      </c>
      <c r="AT265" s="14">
        <v>2</v>
      </c>
      <c r="AU265" s="14">
        <v>2</v>
      </c>
      <c r="AV265" s="14">
        <v>2</v>
      </c>
      <c r="AW265" s="14">
        <v>2</v>
      </c>
      <c r="AX265" s="14">
        <v>1</v>
      </c>
      <c r="AY265" s="14">
        <v>2</v>
      </c>
      <c r="AZ265" s="14">
        <v>2</v>
      </c>
      <c r="BA265" s="2"/>
    </row>
    <row r="266" spans="1:53" ht="44" customHeight="1" x14ac:dyDescent="0.2">
      <c r="A266" s="6">
        <v>112586</v>
      </c>
      <c r="B266" s="6">
        <v>80618442</v>
      </c>
      <c r="C266" s="8" t="s">
        <v>2166</v>
      </c>
      <c r="D266" s="6" t="s">
        <v>2870</v>
      </c>
      <c r="E266" s="6">
        <f t="shared" si="36"/>
        <v>413</v>
      </c>
      <c r="F266" s="6" t="s">
        <v>2871</v>
      </c>
      <c r="G266" s="6">
        <f t="shared" si="37"/>
        <v>72</v>
      </c>
      <c r="H266" s="9">
        <f t="shared" si="38"/>
        <v>0.82566585956416461</v>
      </c>
      <c r="I266" s="6" t="s">
        <v>5317</v>
      </c>
      <c r="J266" s="6">
        <v>4</v>
      </c>
      <c r="K266" s="9">
        <f t="shared" si="39"/>
        <v>9.6852300242130755E-3</v>
      </c>
      <c r="L266" s="6">
        <v>12</v>
      </c>
      <c r="M266" s="6">
        <v>2</v>
      </c>
      <c r="N266" s="6">
        <v>2</v>
      </c>
      <c r="O266" s="6" t="str">
        <f t="shared" si="40"/>
        <v>Correct</v>
      </c>
      <c r="P266" s="6" t="s">
        <v>2872</v>
      </c>
      <c r="Q266" s="6">
        <v>2</v>
      </c>
      <c r="R266" s="6" t="str">
        <f t="shared" si="41"/>
        <v>Correct</v>
      </c>
      <c r="S266" s="6" t="s">
        <v>3709</v>
      </c>
      <c r="T266" s="14">
        <v>2</v>
      </c>
      <c r="U266" s="6" t="str">
        <f t="shared" si="42"/>
        <v>Correct</v>
      </c>
      <c r="V266" s="15">
        <v>2</v>
      </c>
      <c r="W266" s="15" t="str">
        <f t="shared" si="43"/>
        <v>Correct</v>
      </c>
      <c r="X266" s="14">
        <v>2</v>
      </c>
      <c r="Y266" s="14" t="str">
        <f t="shared" si="44"/>
        <v>Correct</v>
      </c>
      <c r="Z266" s="6">
        <v>265</v>
      </c>
      <c r="AA266" s="6" t="s">
        <v>2873</v>
      </c>
      <c r="AB266" s="6" t="s">
        <v>2874</v>
      </c>
      <c r="AC266" s="6">
        <v>1</v>
      </c>
      <c r="AD266" s="6" t="s">
        <v>40</v>
      </c>
      <c r="AE266" s="6" t="s">
        <v>2875</v>
      </c>
      <c r="AF266" s="6" t="s">
        <v>2876</v>
      </c>
      <c r="AG266" s="6" t="s">
        <v>2877</v>
      </c>
      <c r="AH266" s="6" t="s">
        <v>4132</v>
      </c>
      <c r="AI266" s="6" t="s">
        <v>4371</v>
      </c>
      <c r="AJ266" s="6" t="s">
        <v>4133</v>
      </c>
      <c r="AK266" s="6" t="s">
        <v>4134</v>
      </c>
      <c r="AL266" s="6" t="s">
        <v>3477</v>
      </c>
      <c r="AM266" s="6" t="s">
        <v>4889</v>
      </c>
      <c r="AN266" s="6" t="s">
        <v>2878</v>
      </c>
      <c r="AO266" s="6" t="s">
        <v>2879</v>
      </c>
      <c r="AP266" s="6" t="s">
        <v>4890</v>
      </c>
      <c r="AQ266" s="21" t="s">
        <v>4541</v>
      </c>
      <c r="AR266" s="6" t="s">
        <v>4891</v>
      </c>
      <c r="AS266" s="6" t="s">
        <v>4892</v>
      </c>
      <c r="AT266" s="14">
        <v>2</v>
      </c>
      <c r="AU266" s="14">
        <v>2</v>
      </c>
      <c r="AV266" s="14">
        <v>2</v>
      </c>
      <c r="AW266" s="14">
        <v>2</v>
      </c>
      <c r="AX266" s="14">
        <v>2</v>
      </c>
      <c r="AY266" s="14">
        <v>2</v>
      </c>
      <c r="AZ266" s="14">
        <v>2</v>
      </c>
      <c r="BA266" s="2"/>
    </row>
    <row r="267" spans="1:53" ht="44" customHeight="1" x14ac:dyDescent="0.2">
      <c r="A267" s="6">
        <v>1084</v>
      </c>
      <c r="B267" s="6">
        <v>80621444</v>
      </c>
      <c r="C267" s="8" t="s">
        <v>2166</v>
      </c>
      <c r="D267" s="6" t="s">
        <v>2880</v>
      </c>
      <c r="E267" s="6">
        <f t="shared" si="36"/>
        <v>156</v>
      </c>
      <c r="F267" s="6" t="s">
        <v>2881</v>
      </c>
      <c r="G267" s="6">
        <f t="shared" si="37"/>
        <v>41</v>
      </c>
      <c r="H267" s="9">
        <f t="shared" si="38"/>
        <v>0.73717948717948723</v>
      </c>
      <c r="I267" s="6" t="s">
        <v>5318</v>
      </c>
      <c r="J267" s="6">
        <v>3</v>
      </c>
      <c r="K267" s="9">
        <f t="shared" si="39"/>
        <v>1.9230769230769232E-2</v>
      </c>
      <c r="L267" s="6">
        <v>5</v>
      </c>
      <c r="M267" s="6">
        <v>2</v>
      </c>
      <c r="N267" s="6">
        <v>2</v>
      </c>
      <c r="O267" s="6" t="str">
        <f t="shared" si="40"/>
        <v>Correct</v>
      </c>
      <c r="P267" s="6" t="s">
        <v>2882</v>
      </c>
      <c r="Q267" s="6">
        <v>2</v>
      </c>
      <c r="R267" s="6" t="str">
        <f t="shared" si="41"/>
        <v>Correct</v>
      </c>
      <c r="S267" s="6" t="s">
        <v>3710</v>
      </c>
      <c r="T267" s="14">
        <v>2</v>
      </c>
      <c r="U267" s="6" t="str">
        <f t="shared" si="42"/>
        <v>Correct</v>
      </c>
      <c r="V267" s="15">
        <v>2</v>
      </c>
      <c r="W267" s="15" t="str">
        <f t="shared" si="43"/>
        <v>Correct</v>
      </c>
      <c r="X267" s="14">
        <v>2</v>
      </c>
      <c r="Y267" s="14" t="str">
        <f t="shared" si="44"/>
        <v>Correct</v>
      </c>
      <c r="Z267" s="6">
        <v>266</v>
      </c>
      <c r="AA267" s="6" t="s">
        <v>2883</v>
      </c>
      <c r="AB267" s="6" t="s">
        <v>2884</v>
      </c>
      <c r="AC267" s="6">
        <v>1</v>
      </c>
      <c r="AD267" s="6" t="s">
        <v>40</v>
      </c>
      <c r="AE267" s="6" t="s">
        <v>2885</v>
      </c>
      <c r="AF267" s="6" t="s">
        <v>4135</v>
      </c>
      <c r="AG267" s="6" t="s">
        <v>2886</v>
      </c>
      <c r="AH267" s="6" t="s">
        <v>2887</v>
      </c>
      <c r="AI267" s="6" t="s">
        <v>4372</v>
      </c>
      <c r="AJ267" s="6" t="s">
        <v>2888</v>
      </c>
      <c r="AK267" s="6" t="s">
        <v>4136</v>
      </c>
      <c r="AL267" s="6" t="s">
        <v>3477</v>
      </c>
      <c r="AM267" s="6" t="s">
        <v>2889</v>
      </c>
      <c r="AN267" s="6" t="s">
        <v>4893</v>
      </c>
      <c r="AO267" s="6" t="s">
        <v>2890</v>
      </c>
      <c r="AP267" s="6" t="s">
        <v>2891</v>
      </c>
      <c r="AQ267" s="21" t="s">
        <v>2880</v>
      </c>
      <c r="AR267" s="6" t="s">
        <v>2892</v>
      </c>
      <c r="AS267" s="6" t="s">
        <v>4894</v>
      </c>
      <c r="AT267" s="14">
        <v>2</v>
      </c>
      <c r="AU267" s="14">
        <v>2</v>
      </c>
      <c r="AV267" s="14">
        <v>2</v>
      </c>
      <c r="AW267" s="14">
        <v>2</v>
      </c>
      <c r="AX267" s="14">
        <v>2</v>
      </c>
      <c r="AY267" s="14">
        <v>2</v>
      </c>
      <c r="AZ267" s="14">
        <v>2</v>
      </c>
      <c r="BA267" s="2"/>
    </row>
    <row r="268" spans="1:53" ht="44" customHeight="1" x14ac:dyDescent="0.2">
      <c r="A268" s="6">
        <v>10633</v>
      </c>
      <c r="B268" s="6">
        <v>80627738</v>
      </c>
      <c r="C268" s="8" t="s">
        <v>2166</v>
      </c>
      <c r="D268" s="6" t="s">
        <v>2893</v>
      </c>
      <c r="E268" s="6">
        <f t="shared" si="36"/>
        <v>261</v>
      </c>
      <c r="F268" s="6" t="s">
        <v>2894</v>
      </c>
      <c r="G268" s="6">
        <f t="shared" si="37"/>
        <v>87</v>
      </c>
      <c r="H268" s="9">
        <f t="shared" si="38"/>
        <v>0.66666666666666663</v>
      </c>
      <c r="I268" s="6" t="s">
        <v>5319</v>
      </c>
      <c r="J268" s="6">
        <v>5</v>
      </c>
      <c r="K268" s="9">
        <f t="shared" si="39"/>
        <v>1.9157088122605363E-2</v>
      </c>
      <c r="L268" s="6">
        <v>10</v>
      </c>
      <c r="M268" s="6">
        <v>2</v>
      </c>
      <c r="N268" s="6">
        <v>2</v>
      </c>
      <c r="O268" s="6" t="str">
        <f t="shared" si="40"/>
        <v>Correct</v>
      </c>
      <c r="P268" s="6" t="s">
        <v>2895</v>
      </c>
      <c r="Q268" s="6">
        <v>2</v>
      </c>
      <c r="R268" s="6" t="str">
        <f t="shared" si="41"/>
        <v>Correct</v>
      </c>
      <c r="S268" s="6" t="s">
        <v>3711</v>
      </c>
      <c r="T268" s="14">
        <v>2</v>
      </c>
      <c r="U268" s="6" t="str">
        <f t="shared" si="42"/>
        <v>Correct</v>
      </c>
      <c r="V268" s="15">
        <v>2</v>
      </c>
      <c r="W268" s="15" t="str">
        <f t="shared" si="43"/>
        <v>Correct</v>
      </c>
      <c r="X268" s="14">
        <v>2</v>
      </c>
      <c r="Y268" s="14" t="str">
        <f t="shared" si="44"/>
        <v>Correct</v>
      </c>
      <c r="Z268" s="6">
        <v>267</v>
      </c>
      <c r="AA268" s="6" t="s">
        <v>2896</v>
      </c>
      <c r="AB268" s="6" t="s">
        <v>2897</v>
      </c>
      <c r="AC268" s="6">
        <v>1</v>
      </c>
      <c r="AD268" s="6" t="s">
        <v>40</v>
      </c>
      <c r="AE268" s="6" t="s">
        <v>2898</v>
      </c>
      <c r="AF268" s="6" t="s">
        <v>2899</v>
      </c>
      <c r="AG268" s="6" t="s">
        <v>2900</v>
      </c>
      <c r="AH268" s="6" t="s">
        <v>44</v>
      </c>
      <c r="AI268" s="6" t="s">
        <v>4373</v>
      </c>
      <c r="AJ268" s="6" t="s">
        <v>4137</v>
      </c>
      <c r="AK268" s="6" t="s">
        <v>4138</v>
      </c>
      <c r="AL268" s="6" t="s">
        <v>3476</v>
      </c>
      <c r="AM268" s="6" t="s">
        <v>2901</v>
      </c>
      <c r="AN268" s="6" t="s">
        <v>2902</v>
      </c>
      <c r="AO268" s="6" t="s">
        <v>2903</v>
      </c>
      <c r="AP268" s="6" t="s">
        <v>2893</v>
      </c>
      <c r="AQ268" s="21" t="s">
        <v>4542</v>
      </c>
      <c r="AR268" s="6" t="s">
        <v>4895</v>
      </c>
      <c r="AS268" s="6" t="s">
        <v>4896</v>
      </c>
      <c r="AT268" s="14">
        <v>2</v>
      </c>
      <c r="AU268" s="14">
        <v>2</v>
      </c>
      <c r="AV268" s="14">
        <v>2</v>
      </c>
      <c r="AW268" s="14">
        <v>2</v>
      </c>
      <c r="AX268" s="14">
        <v>2</v>
      </c>
      <c r="AY268" s="14">
        <v>2</v>
      </c>
      <c r="AZ268" s="14">
        <v>2</v>
      </c>
      <c r="BA268" s="2"/>
    </row>
    <row r="269" spans="1:53" ht="44" customHeight="1" x14ac:dyDescent="0.2">
      <c r="A269" s="6">
        <v>1059</v>
      </c>
      <c r="B269" s="6">
        <v>80627709</v>
      </c>
      <c r="C269" s="8" t="s">
        <v>2166</v>
      </c>
      <c r="D269" s="6" t="s">
        <v>2904</v>
      </c>
      <c r="E269" s="6">
        <f t="shared" si="36"/>
        <v>221</v>
      </c>
      <c r="F269" s="6" t="s">
        <v>2905</v>
      </c>
      <c r="G269" s="6">
        <f t="shared" si="37"/>
        <v>48</v>
      </c>
      <c r="H269" s="9">
        <f t="shared" si="38"/>
        <v>0.78280542986425339</v>
      </c>
      <c r="I269" s="6"/>
      <c r="J269" s="6">
        <v>0</v>
      </c>
      <c r="K269" s="9">
        <f t="shared" si="39"/>
        <v>0</v>
      </c>
      <c r="L269" s="6">
        <v>14</v>
      </c>
      <c r="M269" s="6">
        <v>2</v>
      </c>
      <c r="N269" s="6">
        <v>2</v>
      </c>
      <c r="O269" s="6" t="str">
        <f t="shared" si="40"/>
        <v>Correct</v>
      </c>
      <c r="P269" s="6" t="s">
        <v>2906</v>
      </c>
      <c r="Q269" s="6">
        <v>2</v>
      </c>
      <c r="R269" s="6" t="str">
        <f t="shared" si="41"/>
        <v>Correct</v>
      </c>
      <c r="S269" s="6" t="s">
        <v>3835</v>
      </c>
      <c r="T269" s="14">
        <v>2</v>
      </c>
      <c r="U269" s="6" t="str">
        <f t="shared" si="42"/>
        <v>Correct</v>
      </c>
      <c r="V269" s="15">
        <v>1</v>
      </c>
      <c r="W269" s="15" t="str">
        <f t="shared" si="43"/>
        <v>Overtriaged</v>
      </c>
      <c r="X269" s="14">
        <v>2</v>
      </c>
      <c r="Y269" s="14" t="str">
        <f t="shared" si="44"/>
        <v>Correct</v>
      </c>
      <c r="Z269" s="6">
        <v>268</v>
      </c>
      <c r="AA269" s="6" t="s">
        <v>2907</v>
      </c>
      <c r="AB269" s="6" t="s">
        <v>2908</v>
      </c>
      <c r="AC269" s="6">
        <v>1</v>
      </c>
      <c r="AD269" s="6" t="s">
        <v>40</v>
      </c>
      <c r="AE269" s="6" t="s">
        <v>1600</v>
      </c>
      <c r="AF269" s="6" t="s">
        <v>2909</v>
      </c>
      <c r="AG269" s="6" t="s">
        <v>2910</v>
      </c>
      <c r="AH269" s="6" t="s">
        <v>2911</v>
      </c>
      <c r="AI269" s="6" t="s">
        <v>4332</v>
      </c>
      <c r="AJ269" s="6" t="s">
        <v>2912</v>
      </c>
      <c r="AK269" s="6" t="s">
        <v>2913</v>
      </c>
      <c r="AL269" s="6" t="s">
        <v>3477</v>
      </c>
      <c r="AM269" s="6" t="s">
        <v>2914</v>
      </c>
      <c r="AN269" s="6" t="s">
        <v>2915</v>
      </c>
      <c r="AO269" s="6" t="s">
        <v>2916</v>
      </c>
      <c r="AP269" s="6" t="s">
        <v>2917</v>
      </c>
      <c r="AQ269" s="21" t="s">
        <v>4543</v>
      </c>
      <c r="AR269" s="6" t="s">
        <v>2918</v>
      </c>
      <c r="AS269" s="6" t="s">
        <v>2919</v>
      </c>
      <c r="AT269" s="14">
        <v>2</v>
      </c>
      <c r="AU269" s="14">
        <v>1</v>
      </c>
      <c r="AV269" s="14">
        <v>2</v>
      </c>
      <c r="AW269" s="14">
        <v>2</v>
      </c>
      <c r="AX269" s="14">
        <v>2</v>
      </c>
      <c r="AY269" s="14">
        <v>2</v>
      </c>
      <c r="AZ269" s="14">
        <v>2</v>
      </c>
      <c r="BA269" s="2"/>
    </row>
    <row r="270" spans="1:53" ht="44" customHeight="1" x14ac:dyDescent="0.2">
      <c r="A270" s="6">
        <v>1066</v>
      </c>
      <c r="B270" s="6">
        <v>80641475</v>
      </c>
      <c r="C270" s="8" t="s">
        <v>2166</v>
      </c>
      <c r="D270" s="6" t="s">
        <v>2920</v>
      </c>
      <c r="E270" s="6">
        <f t="shared" si="36"/>
        <v>184</v>
      </c>
      <c r="F270" s="6" t="s">
        <v>2921</v>
      </c>
      <c r="G270" s="6">
        <f t="shared" si="37"/>
        <v>70</v>
      </c>
      <c r="H270" s="9">
        <f t="shared" si="38"/>
        <v>0.61956521739130432</v>
      </c>
      <c r="I270" s="6" t="s">
        <v>5320</v>
      </c>
      <c r="J270" s="6">
        <v>7</v>
      </c>
      <c r="K270" s="9">
        <f t="shared" si="39"/>
        <v>3.8043478260869568E-2</v>
      </c>
      <c r="L270" s="6">
        <v>35</v>
      </c>
      <c r="M270" s="6">
        <v>1</v>
      </c>
      <c r="N270" s="6">
        <v>1</v>
      </c>
      <c r="O270" s="6" t="str">
        <f t="shared" si="40"/>
        <v>Correct</v>
      </c>
      <c r="P270" s="6" t="s">
        <v>2922</v>
      </c>
      <c r="Q270" s="6">
        <v>1</v>
      </c>
      <c r="R270" s="6" t="str">
        <f t="shared" si="41"/>
        <v>Correct</v>
      </c>
      <c r="S270" s="6" t="s">
        <v>3712</v>
      </c>
      <c r="T270" s="14">
        <v>1</v>
      </c>
      <c r="U270" s="6" t="str">
        <f t="shared" si="42"/>
        <v>Correct</v>
      </c>
      <c r="V270" s="15">
        <v>1</v>
      </c>
      <c r="W270" s="15" t="str">
        <f t="shared" si="43"/>
        <v>Correct</v>
      </c>
      <c r="X270" s="14">
        <v>1</v>
      </c>
      <c r="Y270" s="14" t="str">
        <f t="shared" si="44"/>
        <v>Correct</v>
      </c>
      <c r="Z270" s="6">
        <v>269</v>
      </c>
      <c r="AA270" s="6" t="s">
        <v>125</v>
      </c>
      <c r="AB270" s="6" t="s">
        <v>2923</v>
      </c>
      <c r="AC270" s="6">
        <v>1</v>
      </c>
      <c r="AD270" s="6" t="s">
        <v>40</v>
      </c>
      <c r="AE270" s="6" t="s">
        <v>480</v>
      </c>
      <c r="AF270" s="6" t="s">
        <v>2924</v>
      </c>
      <c r="AG270" s="6" t="s">
        <v>2925</v>
      </c>
      <c r="AH270" s="6" t="s">
        <v>44</v>
      </c>
      <c r="AI270" s="6" t="s">
        <v>4333</v>
      </c>
      <c r="AJ270" s="6" t="s">
        <v>2926</v>
      </c>
      <c r="AK270" s="6" t="s">
        <v>2927</v>
      </c>
      <c r="AL270" s="6" t="s">
        <v>3476</v>
      </c>
      <c r="AM270" s="6" t="s">
        <v>2928</v>
      </c>
      <c r="AN270" s="6" t="s">
        <v>2929</v>
      </c>
      <c r="AO270" s="6" t="s">
        <v>2930</v>
      </c>
      <c r="AP270" s="6" t="s">
        <v>2920</v>
      </c>
      <c r="AQ270" s="21" t="s">
        <v>4544</v>
      </c>
      <c r="AR270" s="6" t="s">
        <v>2931</v>
      </c>
      <c r="AS270" s="6" t="s">
        <v>2932</v>
      </c>
      <c r="AT270" s="14">
        <v>1</v>
      </c>
      <c r="AU270" s="14">
        <v>1</v>
      </c>
      <c r="AV270" s="14">
        <v>1</v>
      </c>
      <c r="AW270" s="14">
        <v>1</v>
      </c>
      <c r="AX270" s="14">
        <v>1</v>
      </c>
      <c r="AY270" s="14">
        <v>1</v>
      </c>
      <c r="AZ270" s="14">
        <v>1</v>
      </c>
      <c r="BA270" s="2"/>
    </row>
    <row r="271" spans="1:53" ht="44" customHeight="1" x14ac:dyDescent="0.2">
      <c r="A271" s="6">
        <v>1017</v>
      </c>
      <c r="B271" s="6">
        <v>80651081</v>
      </c>
      <c r="C271" s="8" t="s">
        <v>2166</v>
      </c>
      <c r="D271" s="6" t="s">
        <v>2933</v>
      </c>
      <c r="E271" s="6">
        <f t="shared" si="36"/>
        <v>97</v>
      </c>
      <c r="F271" s="6" t="s">
        <v>2934</v>
      </c>
      <c r="G271" s="6">
        <f t="shared" si="37"/>
        <v>45</v>
      </c>
      <c r="H271" s="9">
        <f t="shared" si="38"/>
        <v>0.53608247422680411</v>
      </c>
      <c r="I271" s="6" t="s">
        <v>5321</v>
      </c>
      <c r="J271" s="6">
        <v>6</v>
      </c>
      <c r="K271" s="9">
        <f t="shared" si="39"/>
        <v>6.1855670103092786E-2</v>
      </c>
      <c r="L271" s="6">
        <v>5</v>
      </c>
      <c r="M271" s="6">
        <v>2</v>
      </c>
      <c r="N271" s="6">
        <v>2</v>
      </c>
      <c r="O271" s="6" t="str">
        <f t="shared" si="40"/>
        <v>Correct</v>
      </c>
      <c r="P271" s="6" t="s">
        <v>2935</v>
      </c>
      <c r="Q271" s="6">
        <v>2</v>
      </c>
      <c r="R271" s="6" t="str">
        <f t="shared" si="41"/>
        <v>Correct</v>
      </c>
      <c r="S271" s="6" t="s">
        <v>3713</v>
      </c>
      <c r="T271" s="14">
        <v>2</v>
      </c>
      <c r="U271" s="6" t="str">
        <f t="shared" si="42"/>
        <v>Correct</v>
      </c>
      <c r="V271" s="15">
        <v>2</v>
      </c>
      <c r="W271" s="15" t="str">
        <f t="shared" si="43"/>
        <v>Correct</v>
      </c>
      <c r="X271" s="14">
        <v>2</v>
      </c>
      <c r="Y271" s="14" t="str">
        <f t="shared" si="44"/>
        <v>Correct</v>
      </c>
      <c r="Z271" s="6">
        <v>270</v>
      </c>
      <c r="AA271" s="6" t="s">
        <v>2936</v>
      </c>
      <c r="AB271" s="6" t="s">
        <v>2937</v>
      </c>
      <c r="AC271" s="6">
        <v>1</v>
      </c>
      <c r="AD271" s="6" t="s">
        <v>40</v>
      </c>
      <c r="AE271" s="6" t="s">
        <v>2938</v>
      </c>
      <c r="AF271" s="6" t="s">
        <v>2939</v>
      </c>
      <c r="AG271" s="6" t="s">
        <v>2940</v>
      </c>
      <c r="AH271" s="6" t="s">
        <v>44</v>
      </c>
      <c r="AI271" s="6" t="s">
        <v>3456</v>
      </c>
      <c r="AJ271" s="6" t="s">
        <v>2941</v>
      </c>
      <c r="AK271" s="6" t="s">
        <v>2942</v>
      </c>
      <c r="AL271" s="6" t="s">
        <v>3476</v>
      </c>
      <c r="AM271" s="6" t="s">
        <v>2943</v>
      </c>
      <c r="AN271" s="6" t="s">
        <v>2944</v>
      </c>
      <c r="AO271" s="6" t="s">
        <v>2945</v>
      </c>
      <c r="AP271" s="6" t="s">
        <v>2933</v>
      </c>
      <c r="AQ271" s="21" t="s">
        <v>4545</v>
      </c>
      <c r="AR271" s="6" t="s">
        <v>2946</v>
      </c>
      <c r="AS271" s="6" t="s">
        <v>2947</v>
      </c>
      <c r="AT271" s="14">
        <v>2</v>
      </c>
      <c r="AU271" s="14">
        <v>2</v>
      </c>
      <c r="AV271" s="14">
        <v>2</v>
      </c>
      <c r="AW271" s="14">
        <v>2</v>
      </c>
      <c r="AX271" s="14">
        <v>2</v>
      </c>
      <c r="AY271" s="14">
        <v>2</v>
      </c>
      <c r="AZ271" s="14">
        <v>2</v>
      </c>
      <c r="BA271" s="2"/>
    </row>
    <row r="272" spans="1:53" ht="44" customHeight="1" x14ac:dyDescent="0.2">
      <c r="A272" s="6">
        <v>112676</v>
      </c>
      <c r="B272" s="6">
        <v>80657288</v>
      </c>
      <c r="C272" s="8" t="s">
        <v>2166</v>
      </c>
      <c r="D272" s="6" t="s">
        <v>2948</v>
      </c>
      <c r="E272" s="6">
        <f t="shared" si="36"/>
        <v>162</v>
      </c>
      <c r="F272" s="6" t="s">
        <v>2949</v>
      </c>
      <c r="G272" s="6">
        <f t="shared" si="37"/>
        <v>53</v>
      </c>
      <c r="H272" s="9">
        <f t="shared" si="38"/>
        <v>0.6728395061728395</v>
      </c>
      <c r="I272" s="6"/>
      <c r="J272" s="6">
        <v>0</v>
      </c>
      <c r="K272" s="9">
        <f t="shared" si="39"/>
        <v>0</v>
      </c>
      <c r="L272" s="6">
        <v>10</v>
      </c>
      <c r="M272" s="6">
        <v>2</v>
      </c>
      <c r="N272" s="6">
        <v>2</v>
      </c>
      <c r="O272" s="6" t="str">
        <f t="shared" si="40"/>
        <v>Correct</v>
      </c>
      <c r="P272" s="6" t="s">
        <v>2950</v>
      </c>
      <c r="Q272" s="6">
        <v>2</v>
      </c>
      <c r="R272" s="6" t="str">
        <f t="shared" si="41"/>
        <v>Correct</v>
      </c>
      <c r="S272" s="6" t="s">
        <v>3714</v>
      </c>
      <c r="T272" s="14">
        <v>2</v>
      </c>
      <c r="U272" s="6" t="str">
        <f t="shared" si="42"/>
        <v>Correct</v>
      </c>
      <c r="V272" s="15">
        <v>2</v>
      </c>
      <c r="W272" s="15" t="str">
        <f t="shared" si="43"/>
        <v>Correct</v>
      </c>
      <c r="X272" s="14">
        <v>2</v>
      </c>
      <c r="Y272" s="14" t="str">
        <f t="shared" si="44"/>
        <v>Correct</v>
      </c>
      <c r="Z272" s="6">
        <v>271</v>
      </c>
      <c r="AA272" s="6" t="s">
        <v>2951</v>
      </c>
      <c r="AB272" s="6" t="s">
        <v>2952</v>
      </c>
      <c r="AC272" s="6">
        <v>1</v>
      </c>
      <c r="AD272" s="6" t="s">
        <v>40</v>
      </c>
      <c r="AE272" s="6" t="s">
        <v>1622</v>
      </c>
      <c r="AF272" s="6" t="s">
        <v>2953</v>
      </c>
      <c r="AG272" s="6" t="s">
        <v>2954</v>
      </c>
      <c r="AH272" s="6" t="s">
        <v>44</v>
      </c>
      <c r="AI272" s="6" t="s">
        <v>3457</v>
      </c>
      <c r="AJ272" s="6" t="s">
        <v>4139</v>
      </c>
      <c r="AK272" s="6" t="s">
        <v>4140</v>
      </c>
      <c r="AL272" s="6" t="s">
        <v>3476</v>
      </c>
      <c r="AM272" s="6" t="s">
        <v>2955</v>
      </c>
      <c r="AN272" s="6" t="s">
        <v>2956</v>
      </c>
      <c r="AO272" s="6" t="s">
        <v>2957</v>
      </c>
      <c r="AP272" s="6" t="s">
        <v>2948</v>
      </c>
      <c r="AQ272" s="21" t="s">
        <v>4546</v>
      </c>
      <c r="AR272" s="6" t="s">
        <v>4897</v>
      </c>
      <c r="AS272" s="6" t="s">
        <v>4898</v>
      </c>
      <c r="AT272" s="14">
        <v>2</v>
      </c>
      <c r="AU272" s="14">
        <v>2</v>
      </c>
      <c r="AV272" s="14">
        <v>2</v>
      </c>
      <c r="AW272" s="14">
        <v>2</v>
      </c>
      <c r="AX272" s="14">
        <v>2</v>
      </c>
      <c r="AY272" s="14">
        <v>2</v>
      </c>
      <c r="AZ272" s="14">
        <v>2</v>
      </c>
      <c r="BA272" s="2"/>
    </row>
    <row r="273" spans="1:53" ht="44" customHeight="1" x14ac:dyDescent="0.2">
      <c r="A273" s="6">
        <v>113054</v>
      </c>
      <c r="B273" s="6">
        <v>80657430</v>
      </c>
      <c r="C273" s="8" t="s">
        <v>2166</v>
      </c>
      <c r="D273" s="6" t="s">
        <v>2958</v>
      </c>
      <c r="E273" s="6">
        <f t="shared" si="36"/>
        <v>499</v>
      </c>
      <c r="F273" s="6" t="s">
        <v>2959</v>
      </c>
      <c r="G273" s="6">
        <f t="shared" si="37"/>
        <v>44</v>
      </c>
      <c r="H273" s="9">
        <f t="shared" si="38"/>
        <v>0.9118236472945892</v>
      </c>
      <c r="I273" s="6" t="s">
        <v>5322</v>
      </c>
      <c r="J273" s="6">
        <v>7</v>
      </c>
      <c r="K273" s="9">
        <f t="shared" si="39"/>
        <v>1.4028056112224449E-2</v>
      </c>
      <c r="L273" s="6">
        <v>5</v>
      </c>
      <c r="M273" s="6">
        <v>2</v>
      </c>
      <c r="N273" s="6">
        <v>1</v>
      </c>
      <c r="O273" s="6" t="str">
        <f t="shared" si="40"/>
        <v>Overtriaged</v>
      </c>
      <c r="P273" s="6" t="s">
        <v>2960</v>
      </c>
      <c r="Q273" s="6">
        <v>1</v>
      </c>
      <c r="R273" s="6" t="str">
        <f t="shared" si="41"/>
        <v>Overtriaged</v>
      </c>
      <c r="S273" s="6" t="s">
        <v>3836</v>
      </c>
      <c r="T273" s="14">
        <v>1</v>
      </c>
      <c r="U273" s="6" t="str">
        <f t="shared" si="42"/>
        <v>Overtriaged</v>
      </c>
      <c r="V273" s="15">
        <v>1</v>
      </c>
      <c r="W273" s="15" t="str">
        <f t="shared" si="43"/>
        <v>Overtriaged</v>
      </c>
      <c r="X273" s="14">
        <v>1</v>
      </c>
      <c r="Y273" s="14" t="str">
        <f t="shared" si="44"/>
        <v>Overtriaged</v>
      </c>
      <c r="Z273" s="6">
        <v>272</v>
      </c>
      <c r="AA273" s="6" t="s">
        <v>526</v>
      </c>
      <c r="AB273" s="6" t="s">
        <v>2961</v>
      </c>
      <c r="AC273" s="6">
        <v>1</v>
      </c>
      <c r="AD273" s="6" t="s">
        <v>40</v>
      </c>
      <c r="AE273" s="6" t="s">
        <v>2962</v>
      </c>
      <c r="AF273" s="6" t="s">
        <v>2963</v>
      </c>
      <c r="AG273" s="6" t="s">
        <v>4141</v>
      </c>
      <c r="AH273" s="6" t="s">
        <v>2964</v>
      </c>
      <c r="AI273" s="6" t="s">
        <v>4338</v>
      </c>
      <c r="AJ273" s="6" t="s">
        <v>4142</v>
      </c>
      <c r="AK273" s="6" t="s">
        <v>44</v>
      </c>
      <c r="AL273" s="6" t="s">
        <v>3483</v>
      </c>
      <c r="AM273" s="6" t="s">
        <v>2965</v>
      </c>
      <c r="AN273" s="6" t="s">
        <v>2966</v>
      </c>
      <c r="AO273" s="6" t="s">
        <v>4899</v>
      </c>
      <c r="AP273" s="6" t="s">
        <v>2967</v>
      </c>
      <c r="AQ273" s="21" t="s">
        <v>4547</v>
      </c>
      <c r="AR273" s="6" t="s">
        <v>4900</v>
      </c>
      <c r="AS273" s="6" t="s">
        <v>2958</v>
      </c>
      <c r="AT273" s="14">
        <v>1</v>
      </c>
      <c r="AU273" s="14">
        <v>1</v>
      </c>
      <c r="AV273" s="14">
        <v>1</v>
      </c>
      <c r="AW273" s="14">
        <v>1</v>
      </c>
      <c r="AX273" s="14">
        <v>1</v>
      </c>
      <c r="AY273" s="14">
        <v>1</v>
      </c>
      <c r="AZ273" s="14">
        <v>1</v>
      </c>
      <c r="BA273" s="2"/>
    </row>
    <row r="274" spans="1:53" ht="44" customHeight="1" x14ac:dyDescent="0.2">
      <c r="A274" s="6">
        <v>110665</v>
      </c>
      <c r="B274" s="6">
        <v>80659060</v>
      </c>
      <c r="C274" s="8" t="s">
        <v>2166</v>
      </c>
      <c r="D274" s="6" t="s">
        <v>2968</v>
      </c>
      <c r="E274" s="6">
        <f t="shared" si="36"/>
        <v>195</v>
      </c>
      <c r="F274" s="6" t="s">
        <v>2969</v>
      </c>
      <c r="G274" s="6">
        <f t="shared" si="37"/>
        <v>68</v>
      </c>
      <c r="H274" s="9">
        <f t="shared" si="38"/>
        <v>0.6512820512820513</v>
      </c>
      <c r="I274" s="6" t="s">
        <v>5323</v>
      </c>
      <c r="J274" s="6">
        <v>4</v>
      </c>
      <c r="K274" s="9">
        <f t="shared" si="39"/>
        <v>2.0512820512820513E-2</v>
      </c>
      <c r="L274" s="6">
        <v>4</v>
      </c>
      <c r="M274" s="6">
        <v>2</v>
      </c>
      <c r="N274" s="6">
        <v>2</v>
      </c>
      <c r="O274" s="6" t="str">
        <f t="shared" si="40"/>
        <v>Correct</v>
      </c>
      <c r="P274" s="6" t="s">
        <v>2970</v>
      </c>
      <c r="Q274" s="6">
        <v>2</v>
      </c>
      <c r="R274" s="6" t="str">
        <f t="shared" si="41"/>
        <v>Correct</v>
      </c>
      <c r="S274" s="6" t="s">
        <v>3715</v>
      </c>
      <c r="T274" s="14">
        <v>2</v>
      </c>
      <c r="U274" s="6" t="str">
        <f t="shared" si="42"/>
        <v>Correct</v>
      </c>
      <c r="V274" s="15">
        <v>2</v>
      </c>
      <c r="W274" s="15" t="str">
        <f t="shared" si="43"/>
        <v>Correct</v>
      </c>
      <c r="X274" s="14">
        <v>2</v>
      </c>
      <c r="Y274" s="14" t="str">
        <f t="shared" si="44"/>
        <v>Correct</v>
      </c>
      <c r="Z274" s="6">
        <v>273</v>
      </c>
      <c r="AA274" s="6" t="s">
        <v>2971</v>
      </c>
      <c r="AB274" s="6" t="s">
        <v>2972</v>
      </c>
      <c r="AC274" s="6">
        <v>1</v>
      </c>
      <c r="AD274" s="6" t="s">
        <v>40</v>
      </c>
      <c r="AE274" s="6" t="s">
        <v>2172</v>
      </c>
      <c r="AF274" s="6" t="s">
        <v>2973</v>
      </c>
      <c r="AG274" s="6" t="s">
        <v>2974</v>
      </c>
      <c r="AH274" s="6" t="s">
        <v>44</v>
      </c>
      <c r="AI274" s="6" t="s">
        <v>3458</v>
      </c>
      <c r="AJ274" s="6" t="s">
        <v>2975</v>
      </c>
      <c r="AK274" s="6" t="s">
        <v>2976</v>
      </c>
      <c r="AL274" s="6" t="s">
        <v>3476</v>
      </c>
      <c r="AM274" s="6" t="s">
        <v>2977</v>
      </c>
      <c r="AN274" s="6" t="s">
        <v>2978</v>
      </c>
      <c r="AO274" s="6" t="s">
        <v>2979</v>
      </c>
      <c r="AP274" s="6" t="s">
        <v>2968</v>
      </c>
      <c r="AQ274" s="21" t="s">
        <v>4548</v>
      </c>
      <c r="AR274" s="6" t="s">
        <v>2980</v>
      </c>
      <c r="AS274" s="6" t="s">
        <v>2981</v>
      </c>
      <c r="AT274" s="14">
        <v>2</v>
      </c>
      <c r="AU274" s="14">
        <v>2</v>
      </c>
      <c r="AV274" s="14">
        <v>2</v>
      </c>
      <c r="AW274" s="14">
        <v>2</v>
      </c>
      <c r="AX274" s="14">
        <v>1</v>
      </c>
      <c r="AY274" s="14">
        <v>2</v>
      </c>
      <c r="AZ274" s="14">
        <v>2</v>
      </c>
      <c r="BA274" s="2"/>
    </row>
    <row r="275" spans="1:53" ht="44" customHeight="1" x14ac:dyDescent="0.2">
      <c r="A275" s="6">
        <v>101025</v>
      </c>
      <c r="B275" s="6">
        <v>80247656</v>
      </c>
      <c r="C275" s="8" t="s">
        <v>2166</v>
      </c>
      <c r="D275" s="6" t="s">
        <v>2982</v>
      </c>
      <c r="E275" s="6">
        <f t="shared" si="36"/>
        <v>126</v>
      </c>
      <c r="F275" s="6" t="s">
        <v>2983</v>
      </c>
      <c r="G275" s="6">
        <f t="shared" si="37"/>
        <v>20</v>
      </c>
      <c r="H275" s="9">
        <f t="shared" si="38"/>
        <v>0.84126984126984128</v>
      </c>
      <c r="I275" s="6"/>
      <c r="J275" s="6">
        <v>0</v>
      </c>
      <c r="K275" s="9">
        <f t="shared" si="39"/>
        <v>0</v>
      </c>
      <c r="L275" s="6">
        <v>1</v>
      </c>
      <c r="M275" s="6">
        <v>2</v>
      </c>
      <c r="N275" s="6">
        <v>1</v>
      </c>
      <c r="O275" s="6" t="str">
        <f t="shared" si="40"/>
        <v>Overtriaged</v>
      </c>
      <c r="P275" s="6" t="s">
        <v>2984</v>
      </c>
      <c r="Q275" s="6">
        <v>2</v>
      </c>
      <c r="R275" s="6" t="str">
        <f t="shared" si="41"/>
        <v>Correct</v>
      </c>
      <c r="S275" s="6" t="s">
        <v>3716</v>
      </c>
      <c r="T275" s="14">
        <v>2</v>
      </c>
      <c r="U275" s="6" t="str">
        <f t="shared" si="42"/>
        <v>Correct</v>
      </c>
      <c r="V275" s="15">
        <v>2</v>
      </c>
      <c r="W275" s="15" t="str">
        <f t="shared" si="43"/>
        <v>Correct</v>
      </c>
      <c r="X275" s="14">
        <v>2</v>
      </c>
      <c r="Y275" s="14" t="str">
        <f t="shared" si="44"/>
        <v>Correct</v>
      </c>
      <c r="Z275" s="6">
        <v>274</v>
      </c>
      <c r="AA275" s="6" t="s">
        <v>2985</v>
      </c>
      <c r="AB275" s="6" t="s">
        <v>2986</v>
      </c>
      <c r="AC275" s="6">
        <v>1</v>
      </c>
      <c r="AD275" s="6" t="s">
        <v>40</v>
      </c>
      <c r="AE275" s="6" t="s">
        <v>215</v>
      </c>
      <c r="AF275" s="6" t="s">
        <v>44</v>
      </c>
      <c r="AG275" s="6" t="s">
        <v>2987</v>
      </c>
      <c r="AH275" s="6" t="s">
        <v>44</v>
      </c>
      <c r="AI275" s="6" t="s">
        <v>44</v>
      </c>
      <c r="AJ275" s="6" t="s">
        <v>44</v>
      </c>
      <c r="AK275" s="6" t="s">
        <v>4143</v>
      </c>
      <c r="AL275" s="6" t="s">
        <v>5101</v>
      </c>
      <c r="AM275" s="6" t="s">
        <v>2988</v>
      </c>
      <c r="AN275" s="6" t="s">
        <v>2982</v>
      </c>
      <c r="AO275" s="6" t="s">
        <v>2989</v>
      </c>
      <c r="AP275" s="6" t="s">
        <v>2982</v>
      </c>
      <c r="AQ275" s="21" t="s">
        <v>2982</v>
      </c>
      <c r="AR275" s="6" t="s">
        <v>2982</v>
      </c>
      <c r="AS275" s="6" t="s">
        <v>2990</v>
      </c>
      <c r="AT275" s="14">
        <v>2</v>
      </c>
      <c r="AU275" s="14">
        <v>2</v>
      </c>
      <c r="AV275" s="14">
        <v>2</v>
      </c>
      <c r="AW275" s="14">
        <v>2</v>
      </c>
      <c r="AX275" s="14">
        <v>2</v>
      </c>
      <c r="AY275" s="14">
        <v>2</v>
      </c>
      <c r="AZ275" s="14">
        <v>2</v>
      </c>
      <c r="BA275" s="2"/>
    </row>
    <row r="276" spans="1:53" ht="44" customHeight="1" x14ac:dyDescent="0.2">
      <c r="A276" s="6">
        <v>1018211</v>
      </c>
      <c r="B276" s="6">
        <v>80772176</v>
      </c>
      <c r="C276" s="8" t="s">
        <v>2166</v>
      </c>
      <c r="D276" s="6" t="s">
        <v>2991</v>
      </c>
      <c r="E276" s="6">
        <f t="shared" si="36"/>
        <v>529</v>
      </c>
      <c r="F276" s="6" t="s">
        <v>2992</v>
      </c>
      <c r="G276" s="6">
        <f t="shared" si="37"/>
        <v>19</v>
      </c>
      <c r="H276" s="9">
        <f t="shared" si="38"/>
        <v>0.96408317580340264</v>
      </c>
      <c r="I276" s="6" t="s">
        <v>5324</v>
      </c>
      <c r="J276" s="6">
        <v>4</v>
      </c>
      <c r="K276" s="9">
        <f t="shared" si="39"/>
        <v>7.5614366729678641E-3</v>
      </c>
      <c r="L276" s="6">
        <v>57</v>
      </c>
      <c r="M276" s="6">
        <v>1</v>
      </c>
      <c r="N276" s="6">
        <v>1</v>
      </c>
      <c r="O276" s="6" t="str">
        <f t="shared" si="40"/>
        <v>Correct</v>
      </c>
      <c r="P276" s="6" t="s">
        <v>2993</v>
      </c>
      <c r="Q276" s="6">
        <v>1</v>
      </c>
      <c r="R276" s="6" t="str">
        <f t="shared" si="41"/>
        <v>Correct</v>
      </c>
      <c r="S276" s="6" t="s">
        <v>3717</v>
      </c>
      <c r="T276" s="14">
        <v>1</v>
      </c>
      <c r="U276" s="6" t="str">
        <f t="shared" si="42"/>
        <v>Correct</v>
      </c>
      <c r="V276" s="15">
        <v>1</v>
      </c>
      <c r="W276" s="15" t="str">
        <f t="shared" si="43"/>
        <v>Correct</v>
      </c>
      <c r="X276" s="14">
        <v>1</v>
      </c>
      <c r="Y276" s="14" t="str">
        <f t="shared" si="44"/>
        <v>Correct</v>
      </c>
      <c r="Z276" s="6">
        <v>275</v>
      </c>
      <c r="AA276" s="6" t="s">
        <v>2994</v>
      </c>
      <c r="AB276" s="6" t="s">
        <v>2995</v>
      </c>
      <c r="AC276" s="6">
        <v>1</v>
      </c>
      <c r="AD276" s="6" t="s">
        <v>40</v>
      </c>
      <c r="AE276" s="6" t="s">
        <v>2996</v>
      </c>
      <c r="AF276" s="6" t="s">
        <v>2997</v>
      </c>
      <c r="AG276" s="6" t="s">
        <v>4144</v>
      </c>
      <c r="AH276" s="6" t="s">
        <v>4145</v>
      </c>
      <c r="AI276" s="6" t="s">
        <v>3459</v>
      </c>
      <c r="AJ276" s="6" t="s">
        <v>2689</v>
      </c>
      <c r="AK276" s="6" t="s">
        <v>4146</v>
      </c>
      <c r="AL276" s="6" t="s">
        <v>3477</v>
      </c>
      <c r="AM276" s="6" t="s">
        <v>2998</v>
      </c>
      <c r="AN276" s="6" t="s">
        <v>4901</v>
      </c>
      <c r="AO276" s="6" t="s">
        <v>4902</v>
      </c>
      <c r="AP276" s="6" t="s">
        <v>4903</v>
      </c>
      <c r="AQ276" s="21" t="s">
        <v>4549</v>
      </c>
      <c r="AR276" s="6" t="s">
        <v>2999</v>
      </c>
      <c r="AS276" s="6" t="s">
        <v>4904</v>
      </c>
      <c r="AT276" s="14">
        <v>1</v>
      </c>
      <c r="AU276" s="14">
        <v>1</v>
      </c>
      <c r="AV276" s="14">
        <v>1</v>
      </c>
      <c r="AW276" s="14">
        <v>1</v>
      </c>
      <c r="AX276" s="14">
        <v>1</v>
      </c>
      <c r="AY276" s="14">
        <v>1</v>
      </c>
      <c r="AZ276" s="14">
        <v>1</v>
      </c>
      <c r="BA276" s="2"/>
    </row>
    <row r="277" spans="1:53" ht="44" customHeight="1" x14ac:dyDescent="0.2">
      <c r="A277" s="6">
        <v>101856</v>
      </c>
      <c r="B277" s="6">
        <v>80747453</v>
      </c>
      <c r="C277" s="8" t="s">
        <v>2166</v>
      </c>
      <c r="D277" s="6" t="s">
        <v>3000</v>
      </c>
      <c r="E277" s="6">
        <f t="shared" si="36"/>
        <v>214</v>
      </c>
      <c r="F277" s="6" t="s">
        <v>3001</v>
      </c>
      <c r="G277" s="6">
        <f t="shared" si="37"/>
        <v>23</v>
      </c>
      <c r="H277" s="9">
        <f t="shared" si="38"/>
        <v>0.89252336448598135</v>
      </c>
      <c r="I277" s="6" t="s">
        <v>5325</v>
      </c>
      <c r="J277" s="6">
        <v>7</v>
      </c>
      <c r="K277" s="9">
        <f t="shared" si="39"/>
        <v>3.2710280373831772E-2</v>
      </c>
      <c r="L277" s="6">
        <v>11</v>
      </c>
      <c r="M277" s="6">
        <v>2</v>
      </c>
      <c r="N277" s="6">
        <v>2</v>
      </c>
      <c r="O277" s="6" t="str">
        <f t="shared" si="40"/>
        <v>Correct</v>
      </c>
      <c r="P277" s="6" t="s">
        <v>3002</v>
      </c>
      <c r="Q277" s="6">
        <v>2</v>
      </c>
      <c r="R277" s="6" t="str">
        <f t="shared" si="41"/>
        <v>Correct</v>
      </c>
      <c r="S277" s="6" t="s">
        <v>3718</v>
      </c>
      <c r="T277" s="14">
        <v>2</v>
      </c>
      <c r="U277" s="6" t="str">
        <f t="shared" si="42"/>
        <v>Correct</v>
      </c>
      <c r="V277" s="15">
        <v>2</v>
      </c>
      <c r="W277" s="15" t="str">
        <f t="shared" si="43"/>
        <v>Correct</v>
      </c>
      <c r="X277" s="14">
        <v>2</v>
      </c>
      <c r="Y277" s="14" t="str">
        <f t="shared" si="44"/>
        <v>Correct</v>
      </c>
      <c r="Z277" s="6">
        <v>276</v>
      </c>
      <c r="AA277" s="6" t="s">
        <v>3003</v>
      </c>
      <c r="AB277" s="6" t="s">
        <v>3004</v>
      </c>
      <c r="AC277" s="6">
        <v>1</v>
      </c>
      <c r="AD277" s="6" t="s">
        <v>40</v>
      </c>
      <c r="AE277" s="6" t="s">
        <v>2762</v>
      </c>
      <c r="AF277" s="6" t="s">
        <v>3005</v>
      </c>
      <c r="AG277" s="6" t="s">
        <v>3006</v>
      </c>
      <c r="AH277" s="6" t="s">
        <v>44</v>
      </c>
      <c r="AI277" s="6" t="s">
        <v>44</v>
      </c>
      <c r="AJ277" s="6" t="s">
        <v>3007</v>
      </c>
      <c r="AK277" s="6" t="s">
        <v>4147</v>
      </c>
      <c r="AL277" s="6" t="s">
        <v>3476</v>
      </c>
      <c r="AM277" s="6" t="s">
        <v>3008</v>
      </c>
      <c r="AN277" s="6" t="s">
        <v>3009</v>
      </c>
      <c r="AO277" s="6" t="s">
        <v>3010</v>
      </c>
      <c r="AP277" s="6" t="s">
        <v>3000</v>
      </c>
      <c r="AQ277" s="21" t="s">
        <v>3000</v>
      </c>
      <c r="AR277" s="6" t="s">
        <v>3011</v>
      </c>
      <c r="AS277" s="6" t="s">
        <v>4905</v>
      </c>
      <c r="AT277" s="14">
        <v>2</v>
      </c>
      <c r="AU277" s="14">
        <v>2</v>
      </c>
      <c r="AV277" s="14">
        <v>2</v>
      </c>
      <c r="AW277" s="14">
        <v>2</v>
      </c>
      <c r="AX277" s="14">
        <v>2</v>
      </c>
      <c r="AY277" s="14">
        <v>2</v>
      </c>
      <c r="AZ277" s="14">
        <v>2</v>
      </c>
      <c r="BA277" s="2"/>
    </row>
    <row r="278" spans="1:53" ht="44" customHeight="1" x14ac:dyDescent="0.2">
      <c r="A278" s="6">
        <v>102269</v>
      </c>
      <c r="B278" s="6">
        <v>80559637</v>
      </c>
      <c r="C278" s="8" t="s">
        <v>2166</v>
      </c>
      <c r="D278" s="6" t="s">
        <v>3012</v>
      </c>
      <c r="E278" s="6">
        <f t="shared" si="36"/>
        <v>81</v>
      </c>
      <c r="F278" s="6" t="s">
        <v>3013</v>
      </c>
      <c r="G278" s="6">
        <f t="shared" si="37"/>
        <v>5</v>
      </c>
      <c r="H278" s="9">
        <f t="shared" si="38"/>
        <v>0.93827160493827155</v>
      </c>
      <c r="I278" s="6" t="s">
        <v>5326</v>
      </c>
      <c r="J278" s="6">
        <v>2</v>
      </c>
      <c r="K278" s="9">
        <f t="shared" si="39"/>
        <v>2.4691358024691357E-2</v>
      </c>
      <c r="L278" s="6">
        <v>9</v>
      </c>
      <c r="M278" s="6">
        <v>2</v>
      </c>
      <c r="N278" s="6">
        <v>2</v>
      </c>
      <c r="O278" s="6" t="str">
        <f t="shared" si="40"/>
        <v>Correct</v>
      </c>
      <c r="P278" s="6" t="s">
        <v>3014</v>
      </c>
      <c r="Q278" s="6">
        <v>2</v>
      </c>
      <c r="R278" s="6" t="str">
        <f t="shared" si="41"/>
        <v>Correct</v>
      </c>
      <c r="S278" s="6" t="s">
        <v>3719</v>
      </c>
      <c r="T278" s="14">
        <v>2</v>
      </c>
      <c r="U278" s="6" t="str">
        <f t="shared" si="42"/>
        <v>Correct</v>
      </c>
      <c r="V278" s="15">
        <v>1</v>
      </c>
      <c r="W278" s="15" t="str">
        <f t="shared" si="43"/>
        <v>Overtriaged</v>
      </c>
      <c r="X278" s="14">
        <v>2</v>
      </c>
      <c r="Y278" s="14" t="str">
        <f t="shared" si="44"/>
        <v>Correct</v>
      </c>
      <c r="Z278" s="6">
        <v>277</v>
      </c>
      <c r="AA278" s="6" t="s">
        <v>526</v>
      </c>
      <c r="AB278" s="6" t="s">
        <v>3015</v>
      </c>
      <c r="AC278" s="6">
        <v>1</v>
      </c>
      <c r="AD278" s="6" t="s">
        <v>40</v>
      </c>
      <c r="AE278" s="6" t="s">
        <v>44</v>
      </c>
      <c r="AF278" s="6" t="s">
        <v>44</v>
      </c>
      <c r="AG278" s="6" t="s">
        <v>44</v>
      </c>
      <c r="AH278" s="6" t="s">
        <v>44</v>
      </c>
      <c r="AI278" s="6" t="s">
        <v>44</v>
      </c>
      <c r="AJ278" s="6" t="s">
        <v>44</v>
      </c>
      <c r="AK278" s="6" t="s">
        <v>44</v>
      </c>
      <c r="AL278" s="6" t="s">
        <v>5112</v>
      </c>
      <c r="AM278" s="6" t="s">
        <v>3012</v>
      </c>
      <c r="AN278" s="6" t="s">
        <v>3012</v>
      </c>
      <c r="AO278" s="6" t="s">
        <v>3012</v>
      </c>
      <c r="AP278" s="6" t="s">
        <v>3012</v>
      </c>
      <c r="AQ278" s="21" t="s">
        <v>3012</v>
      </c>
      <c r="AR278" s="6" t="s">
        <v>3012</v>
      </c>
      <c r="AS278" s="6" t="s">
        <v>3012</v>
      </c>
      <c r="AT278" s="14">
        <v>2</v>
      </c>
      <c r="AU278" s="14">
        <v>2</v>
      </c>
      <c r="AV278" s="14">
        <v>2</v>
      </c>
      <c r="AW278" s="14">
        <v>2</v>
      </c>
      <c r="AX278" s="14">
        <v>2</v>
      </c>
      <c r="AY278" s="14">
        <v>2</v>
      </c>
      <c r="AZ278" s="14">
        <v>2</v>
      </c>
      <c r="BA278" s="2"/>
    </row>
    <row r="279" spans="1:53" ht="44" customHeight="1" x14ac:dyDescent="0.2">
      <c r="A279" s="6">
        <v>103402</v>
      </c>
      <c r="B279" s="6">
        <v>80850749</v>
      </c>
      <c r="C279" s="8" t="s">
        <v>2166</v>
      </c>
      <c r="D279" s="6" t="s">
        <v>3016</v>
      </c>
      <c r="E279" s="6">
        <f t="shared" si="36"/>
        <v>256</v>
      </c>
      <c r="F279" s="6" t="s">
        <v>3017</v>
      </c>
      <c r="G279" s="6">
        <f t="shared" si="37"/>
        <v>13</v>
      </c>
      <c r="H279" s="9">
        <f t="shared" si="38"/>
        <v>0.94921875</v>
      </c>
      <c r="I279" s="6" t="s">
        <v>5327</v>
      </c>
      <c r="J279" s="6">
        <v>2</v>
      </c>
      <c r="K279" s="9">
        <f t="shared" si="39"/>
        <v>7.8125E-3</v>
      </c>
      <c r="L279" s="6">
        <v>2</v>
      </c>
      <c r="M279" s="6">
        <v>2</v>
      </c>
      <c r="N279" s="6">
        <v>1</v>
      </c>
      <c r="O279" s="6" t="str">
        <f t="shared" si="40"/>
        <v>Overtriaged</v>
      </c>
      <c r="P279" s="6" t="s">
        <v>3018</v>
      </c>
      <c r="Q279" s="6">
        <v>1</v>
      </c>
      <c r="R279" s="6" t="str">
        <f t="shared" si="41"/>
        <v>Overtriaged</v>
      </c>
      <c r="S279" s="6" t="s">
        <v>3837</v>
      </c>
      <c r="T279" s="14">
        <v>2</v>
      </c>
      <c r="U279" s="6" t="str">
        <f t="shared" si="42"/>
        <v>Correct</v>
      </c>
      <c r="V279" s="15">
        <v>1</v>
      </c>
      <c r="W279" s="15" t="str">
        <f t="shared" si="43"/>
        <v>Overtriaged</v>
      </c>
      <c r="X279" s="14">
        <v>1</v>
      </c>
      <c r="Y279" s="14" t="str">
        <f t="shared" si="44"/>
        <v>Overtriaged</v>
      </c>
      <c r="Z279" s="6">
        <v>278</v>
      </c>
      <c r="AA279" s="6" t="s">
        <v>3019</v>
      </c>
      <c r="AB279" s="6" t="s">
        <v>3020</v>
      </c>
      <c r="AC279" s="6">
        <v>1</v>
      </c>
      <c r="AD279" s="6" t="s">
        <v>40</v>
      </c>
      <c r="AE279" s="6" t="s">
        <v>3021</v>
      </c>
      <c r="AF279" s="6" t="s">
        <v>44</v>
      </c>
      <c r="AG279" s="6" t="s">
        <v>44</v>
      </c>
      <c r="AH279" s="6" t="s">
        <v>44</v>
      </c>
      <c r="AI279" s="6" t="s">
        <v>4374</v>
      </c>
      <c r="AJ279" s="6" t="s">
        <v>3022</v>
      </c>
      <c r="AK279" s="6" t="s">
        <v>4148</v>
      </c>
      <c r="AL279" s="6" t="s">
        <v>3480</v>
      </c>
      <c r="AM279" s="6" t="s">
        <v>3023</v>
      </c>
      <c r="AN279" s="6" t="s">
        <v>3016</v>
      </c>
      <c r="AO279" s="6" t="s">
        <v>3016</v>
      </c>
      <c r="AP279" s="6" t="s">
        <v>3016</v>
      </c>
      <c r="AQ279" s="21" t="s">
        <v>4550</v>
      </c>
      <c r="AR279" s="6" t="s">
        <v>3024</v>
      </c>
      <c r="AS279" s="6" t="s">
        <v>4906</v>
      </c>
      <c r="AT279" s="14">
        <v>2</v>
      </c>
      <c r="AU279" s="14">
        <v>1</v>
      </c>
      <c r="AV279" s="14">
        <v>1</v>
      </c>
      <c r="AW279" s="14">
        <v>1</v>
      </c>
      <c r="AX279" s="14">
        <v>1</v>
      </c>
      <c r="AY279" s="14">
        <v>1</v>
      </c>
      <c r="AZ279" s="14">
        <v>2</v>
      </c>
      <c r="BA279" s="2"/>
    </row>
    <row r="280" spans="1:53" ht="44" customHeight="1" x14ac:dyDescent="0.2">
      <c r="A280" s="6">
        <v>104089</v>
      </c>
      <c r="B280" s="6">
        <v>80893833</v>
      </c>
      <c r="C280" s="8" t="s">
        <v>2166</v>
      </c>
      <c r="D280" s="6" t="s">
        <v>3025</v>
      </c>
      <c r="E280" s="6">
        <f t="shared" si="36"/>
        <v>184</v>
      </c>
      <c r="F280" s="6" t="s">
        <v>3026</v>
      </c>
      <c r="G280" s="6">
        <f t="shared" si="37"/>
        <v>25</v>
      </c>
      <c r="H280" s="9">
        <f t="shared" si="38"/>
        <v>0.86413043478260865</v>
      </c>
      <c r="I280" s="6" t="s">
        <v>5328</v>
      </c>
      <c r="J280" s="6">
        <v>3</v>
      </c>
      <c r="K280" s="9">
        <f t="shared" si="39"/>
        <v>1.6304347826086956E-2</v>
      </c>
      <c r="L280" s="6">
        <v>9</v>
      </c>
      <c r="M280" s="6">
        <v>2</v>
      </c>
      <c r="N280" s="6">
        <v>2</v>
      </c>
      <c r="O280" s="6" t="str">
        <f t="shared" si="40"/>
        <v>Correct</v>
      </c>
      <c r="P280" s="6" t="s">
        <v>3027</v>
      </c>
      <c r="Q280" s="6">
        <v>2</v>
      </c>
      <c r="R280" s="6" t="str">
        <f t="shared" si="41"/>
        <v>Correct</v>
      </c>
      <c r="S280" s="6" t="s">
        <v>3720</v>
      </c>
      <c r="T280" s="14">
        <v>2</v>
      </c>
      <c r="U280" s="6" t="str">
        <f t="shared" si="42"/>
        <v>Correct</v>
      </c>
      <c r="V280" s="15">
        <v>2</v>
      </c>
      <c r="W280" s="15" t="str">
        <f t="shared" si="43"/>
        <v>Correct</v>
      </c>
      <c r="X280" s="14">
        <v>2</v>
      </c>
      <c r="Y280" s="14" t="str">
        <f t="shared" si="44"/>
        <v>Correct</v>
      </c>
      <c r="Z280" s="6">
        <v>279</v>
      </c>
      <c r="AA280" s="6" t="s">
        <v>3028</v>
      </c>
      <c r="AB280" s="6" t="s">
        <v>3029</v>
      </c>
      <c r="AC280" s="6">
        <v>1</v>
      </c>
      <c r="AD280" s="6" t="s">
        <v>40</v>
      </c>
      <c r="AE280" s="6" t="s">
        <v>454</v>
      </c>
      <c r="AF280" s="6" t="s">
        <v>3030</v>
      </c>
      <c r="AG280" s="6" t="s">
        <v>3031</v>
      </c>
      <c r="AH280" s="6" t="s">
        <v>44</v>
      </c>
      <c r="AI280" s="6" t="s">
        <v>3436</v>
      </c>
      <c r="AJ280" s="6" t="s">
        <v>44</v>
      </c>
      <c r="AK280" s="6" t="s">
        <v>3032</v>
      </c>
      <c r="AL280" s="6" t="s">
        <v>5099</v>
      </c>
      <c r="AM280" s="6" t="s">
        <v>3033</v>
      </c>
      <c r="AN280" s="6" t="s">
        <v>3034</v>
      </c>
      <c r="AO280" s="6" t="s">
        <v>3035</v>
      </c>
      <c r="AP280" s="6" t="s">
        <v>3025</v>
      </c>
      <c r="AQ280" s="21" t="s">
        <v>4551</v>
      </c>
      <c r="AR280" s="6" t="s">
        <v>3025</v>
      </c>
      <c r="AS280" s="6" t="s">
        <v>4907</v>
      </c>
      <c r="AT280" s="14">
        <v>2</v>
      </c>
      <c r="AU280" s="14">
        <v>2</v>
      </c>
      <c r="AV280" s="14">
        <v>2</v>
      </c>
      <c r="AW280" s="14">
        <v>2</v>
      </c>
      <c r="AX280" s="14">
        <v>2</v>
      </c>
      <c r="AY280" s="14">
        <v>2</v>
      </c>
      <c r="AZ280" s="14">
        <v>2</v>
      </c>
      <c r="BA280" s="2"/>
    </row>
    <row r="281" spans="1:53" ht="44" customHeight="1" x14ac:dyDescent="0.2">
      <c r="A281" s="6">
        <v>104646</v>
      </c>
      <c r="B281" s="6">
        <v>80345426</v>
      </c>
      <c r="C281" s="8" t="s">
        <v>2166</v>
      </c>
      <c r="D281" s="6" t="s">
        <v>3036</v>
      </c>
      <c r="E281" s="6">
        <f t="shared" si="36"/>
        <v>322</v>
      </c>
      <c r="F281" s="6" t="s">
        <v>3037</v>
      </c>
      <c r="G281" s="6">
        <f t="shared" si="37"/>
        <v>55</v>
      </c>
      <c r="H281" s="9">
        <f t="shared" si="38"/>
        <v>0.82919254658385089</v>
      </c>
      <c r="I281" s="6" t="s">
        <v>5329</v>
      </c>
      <c r="J281" s="6">
        <v>3</v>
      </c>
      <c r="K281" s="9">
        <f t="shared" si="39"/>
        <v>9.316770186335404E-3</v>
      </c>
      <c r="L281" s="6">
        <v>2</v>
      </c>
      <c r="M281" s="6">
        <v>2</v>
      </c>
      <c r="N281" s="6">
        <v>2</v>
      </c>
      <c r="O281" s="6" t="str">
        <f t="shared" si="40"/>
        <v>Correct</v>
      </c>
      <c r="P281" s="6" t="s">
        <v>3038</v>
      </c>
      <c r="Q281" s="6">
        <v>2</v>
      </c>
      <c r="R281" s="6" t="str">
        <f t="shared" si="41"/>
        <v>Correct</v>
      </c>
      <c r="S281" s="6" t="s">
        <v>3721</v>
      </c>
      <c r="T281" s="14">
        <v>2</v>
      </c>
      <c r="U281" s="6" t="str">
        <f t="shared" si="42"/>
        <v>Correct</v>
      </c>
      <c r="V281" s="15">
        <v>2</v>
      </c>
      <c r="W281" s="15" t="str">
        <f t="shared" si="43"/>
        <v>Correct</v>
      </c>
      <c r="X281" s="14">
        <v>2</v>
      </c>
      <c r="Y281" s="14" t="str">
        <f t="shared" si="44"/>
        <v>Correct</v>
      </c>
      <c r="Z281" s="6">
        <v>280</v>
      </c>
      <c r="AA281" s="6" t="s">
        <v>3039</v>
      </c>
      <c r="AB281" s="6" t="s">
        <v>3040</v>
      </c>
      <c r="AC281" s="6">
        <v>1</v>
      </c>
      <c r="AD281" s="6" t="s">
        <v>40</v>
      </c>
      <c r="AE281" s="6" t="s">
        <v>3041</v>
      </c>
      <c r="AF281" s="6" t="s">
        <v>1300</v>
      </c>
      <c r="AG281" s="6" t="s">
        <v>4149</v>
      </c>
      <c r="AH281" s="6" t="s">
        <v>3042</v>
      </c>
      <c r="AI281" s="6" t="s">
        <v>4334</v>
      </c>
      <c r="AJ281" s="6" t="s">
        <v>4150</v>
      </c>
      <c r="AK281" s="6" t="s">
        <v>4151</v>
      </c>
      <c r="AL281" s="6" t="s">
        <v>3477</v>
      </c>
      <c r="AM281" s="6" t="s">
        <v>3043</v>
      </c>
      <c r="AN281" s="6" t="s">
        <v>3044</v>
      </c>
      <c r="AO281" s="6" t="s">
        <v>4908</v>
      </c>
      <c r="AP281" s="6" t="s">
        <v>3045</v>
      </c>
      <c r="AQ281" s="21" t="s">
        <v>4552</v>
      </c>
      <c r="AR281" s="6" t="s">
        <v>4909</v>
      </c>
      <c r="AS281" s="6" t="s">
        <v>4910</v>
      </c>
      <c r="AT281" s="14">
        <v>2</v>
      </c>
      <c r="AU281" s="14">
        <v>2</v>
      </c>
      <c r="AV281" s="14">
        <v>2</v>
      </c>
      <c r="AW281" s="14">
        <v>2</v>
      </c>
      <c r="AX281" s="14">
        <v>2</v>
      </c>
      <c r="AY281" s="14">
        <v>2</v>
      </c>
      <c r="AZ281" s="14">
        <v>2</v>
      </c>
      <c r="BA281" s="2"/>
    </row>
    <row r="282" spans="1:53" ht="44" customHeight="1" x14ac:dyDescent="0.2">
      <c r="A282" s="6">
        <v>10779</v>
      </c>
      <c r="B282" s="6">
        <v>80519250</v>
      </c>
      <c r="C282" s="8" t="s">
        <v>2166</v>
      </c>
      <c r="D282" s="6" t="s">
        <v>3046</v>
      </c>
      <c r="E282" s="6">
        <f t="shared" si="36"/>
        <v>83</v>
      </c>
      <c r="F282" s="6" t="s">
        <v>3047</v>
      </c>
      <c r="G282" s="6">
        <f t="shared" si="37"/>
        <v>27</v>
      </c>
      <c r="H282" s="9">
        <f t="shared" si="38"/>
        <v>0.67469879518072284</v>
      </c>
      <c r="I282" s="6"/>
      <c r="J282" s="6">
        <v>0</v>
      </c>
      <c r="K282" s="9">
        <f t="shared" si="39"/>
        <v>0</v>
      </c>
      <c r="L282" s="6">
        <v>5</v>
      </c>
      <c r="M282" s="6">
        <v>2</v>
      </c>
      <c r="N282" s="6">
        <v>2</v>
      </c>
      <c r="O282" s="6" t="str">
        <f t="shared" si="40"/>
        <v>Correct</v>
      </c>
      <c r="P282" s="6" t="s">
        <v>3048</v>
      </c>
      <c r="Q282" s="6">
        <v>2</v>
      </c>
      <c r="R282" s="6" t="str">
        <f t="shared" si="41"/>
        <v>Correct</v>
      </c>
      <c r="S282" s="6" t="s">
        <v>3722</v>
      </c>
      <c r="T282" s="14">
        <v>2</v>
      </c>
      <c r="U282" s="6" t="str">
        <f t="shared" si="42"/>
        <v>Correct</v>
      </c>
      <c r="V282" s="15">
        <v>2</v>
      </c>
      <c r="W282" s="15" t="str">
        <f t="shared" si="43"/>
        <v>Correct</v>
      </c>
      <c r="X282" s="14">
        <v>2</v>
      </c>
      <c r="Y282" s="14" t="str">
        <f t="shared" si="44"/>
        <v>Correct</v>
      </c>
      <c r="Z282" s="6">
        <v>281</v>
      </c>
      <c r="AA282" s="6" t="s">
        <v>3049</v>
      </c>
      <c r="AB282" s="6" t="s">
        <v>3050</v>
      </c>
      <c r="AC282" s="6">
        <v>1</v>
      </c>
      <c r="AD282" s="6" t="s">
        <v>40</v>
      </c>
      <c r="AE282" s="6" t="s">
        <v>69</v>
      </c>
      <c r="AF282" s="6" t="s">
        <v>3051</v>
      </c>
      <c r="AG282" s="6" t="s">
        <v>44</v>
      </c>
      <c r="AH282" s="6" t="s">
        <v>44</v>
      </c>
      <c r="AI282" s="6" t="s">
        <v>44</v>
      </c>
      <c r="AJ282" s="6" t="s">
        <v>44</v>
      </c>
      <c r="AK282" s="6" t="s">
        <v>3052</v>
      </c>
      <c r="AL282" s="6" t="s">
        <v>5103</v>
      </c>
      <c r="AM282" s="6" t="s">
        <v>3053</v>
      </c>
      <c r="AN282" s="6" t="s">
        <v>3054</v>
      </c>
      <c r="AO282" s="6" t="s">
        <v>3046</v>
      </c>
      <c r="AP282" s="6" t="s">
        <v>3046</v>
      </c>
      <c r="AQ282" s="21" t="s">
        <v>3046</v>
      </c>
      <c r="AR282" s="6" t="s">
        <v>3046</v>
      </c>
      <c r="AS282" s="6" t="s">
        <v>3055</v>
      </c>
      <c r="AT282" s="14">
        <v>2</v>
      </c>
      <c r="AU282" s="14">
        <v>2</v>
      </c>
      <c r="AV282" s="14">
        <v>2</v>
      </c>
      <c r="AW282" s="14">
        <v>2</v>
      </c>
      <c r="AX282" s="14">
        <v>2</v>
      </c>
      <c r="AY282" s="14">
        <v>2</v>
      </c>
      <c r="AZ282" s="14">
        <v>2</v>
      </c>
      <c r="BA282" s="2"/>
    </row>
    <row r="283" spans="1:53" ht="44" customHeight="1" x14ac:dyDescent="0.2">
      <c r="A283" s="6">
        <v>1088001</v>
      </c>
      <c r="B283" s="6">
        <v>80166512</v>
      </c>
      <c r="C283" s="8" t="s">
        <v>2166</v>
      </c>
      <c r="D283" s="6" t="s">
        <v>3056</v>
      </c>
      <c r="E283" s="6">
        <f t="shared" si="36"/>
        <v>209</v>
      </c>
      <c r="F283" s="6" t="s">
        <v>3057</v>
      </c>
      <c r="G283" s="6">
        <f t="shared" si="37"/>
        <v>49</v>
      </c>
      <c r="H283" s="9">
        <f t="shared" si="38"/>
        <v>0.76555023923444976</v>
      </c>
      <c r="I283" s="6" t="s">
        <v>5330</v>
      </c>
      <c r="J283" s="6">
        <v>4</v>
      </c>
      <c r="K283" s="9">
        <f t="shared" si="39"/>
        <v>1.9138755980861243E-2</v>
      </c>
      <c r="L283" s="6">
        <v>14</v>
      </c>
      <c r="M283" s="6">
        <v>2</v>
      </c>
      <c r="N283" s="6">
        <v>2</v>
      </c>
      <c r="O283" s="6" t="str">
        <f t="shared" si="40"/>
        <v>Correct</v>
      </c>
      <c r="P283" s="6" t="s">
        <v>3058</v>
      </c>
      <c r="Q283" s="6">
        <v>1</v>
      </c>
      <c r="R283" s="6" t="str">
        <f t="shared" si="41"/>
        <v>Overtriaged</v>
      </c>
      <c r="S283" s="6" t="s">
        <v>3838</v>
      </c>
      <c r="T283" s="14">
        <v>1</v>
      </c>
      <c r="U283" s="6" t="str">
        <f t="shared" si="42"/>
        <v>Overtriaged</v>
      </c>
      <c r="V283" s="15">
        <v>1</v>
      </c>
      <c r="W283" s="15" t="str">
        <f t="shared" si="43"/>
        <v>Overtriaged</v>
      </c>
      <c r="X283" s="14">
        <v>1</v>
      </c>
      <c r="Y283" s="14" t="str">
        <f t="shared" si="44"/>
        <v>Overtriaged</v>
      </c>
      <c r="Z283" s="6">
        <v>282</v>
      </c>
      <c r="AA283" s="6" t="s">
        <v>3059</v>
      </c>
      <c r="AB283" s="6" t="s">
        <v>3060</v>
      </c>
      <c r="AC283" s="6">
        <v>1</v>
      </c>
      <c r="AD283" s="6" t="s">
        <v>40</v>
      </c>
      <c r="AE283" s="6" t="s">
        <v>3061</v>
      </c>
      <c r="AF283" s="6" t="s">
        <v>3062</v>
      </c>
      <c r="AG283" s="6" t="s">
        <v>3063</v>
      </c>
      <c r="AH283" s="6" t="s">
        <v>44</v>
      </c>
      <c r="AI283" s="6" t="s">
        <v>3460</v>
      </c>
      <c r="AJ283" s="6" t="s">
        <v>4152</v>
      </c>
      <c r="AK283" s="6" t="s">
        <v>4153</v>
      </c>
      <c r="AL283" s="6" t="s">
        <v>3476</v>
      </c>
      <c r="AM283" s="6" t="s">
        <v>3064</v>
      </c>
      <c r="AN283" s="6" t="s">
        <v>3065</v>
      </c>
      <c r="AO283" s="6" t="s">
        <v>3066</v>
      </c>
      <c r="AP283" s="6" t="s">
        <v>3056</v>
      </c>
      <c r="AQ283" s="21" t="s">
        <v>4553</v>
      </c>
      <c r="AR283" s="6" t="s">
        <v>4911</v>
      </c>
      <c r="AS283" s="6" t="s">
        <v>4912</v>
      </c>
      <c r="AT283" s="14">
        <v>1</v>
      </c>
      <c r="AU283" s="14">
        <v>1</v>
      </c>
      <c r="AV283" s="14">
        <v>2</v>
      </c>
      <c r="AW283" s="14">
        <v>1</v>
      </c>
      <c r="AX283" s="14">
        <v>1</v>
      </c>
      <c r="AY283" s="14">
        <v>1</v>
      </c>
      <c r="AZ283" s="14">
        <v>1</v>
      </c>
      <c r="BA283" s="2"/>
    </row>
    <row r="284" spans="1:53" ht="44" customHeight="1" x14ac:dyDescent="0.2">
      <c r="A284" s="6">
        <v>1091911</v>
      </c>
      <c r="B284" s="6">
        <v>80243891</v>
      </c>
      <c r="C284" s="8" t="s">
        <v>2166</v>
      </c>
      <c r="D284" s="6" t="s">
        <v>3067</v>
      </c>
      <c r="E284" s="6">
        <f t="shared" si="36"/>
        <v>167</v>
      </c>
      <c r="F284" s="6" t="s">
        <v>3068</v>
      </c>
      <c r="G284" s="6">
        <f t="shared" si="37"/>
        <v>53</v>
      </c>
      <c r="H284" s="9">
        <f t="shared" si="38"/>
        <v>0.68263473053892221</v>
      </c>
      <c r="I284" s="6" t="s">
        <v>5331</v>
      </c>
      <c r="J284" s="6">
        <v>7</v>
      </c>
      <c r="K284" s="9">
        <f t="shared" si="39"/>
        <v>4.1916167664670656E-2</v>
      </c>
      <c r="L284" s="6">
        <v>25</v>
      </c>
      <c r="M284" s="6">
        <v>1</v>
      </c>
      <c r="N284" s="6">
        <v>2</v>
      </c>
      <c r="O284" s="6" t="str">
        <f t="shared" si="40"/>
        <v>Undertriaged</v>
      </c>
      <c r="P284" s="6" t="s">
        <v>3069</v>
      </c>
      <c r="Q284" s="6">
        <v>1</v>
      </c>
      <c r="R284" s="6" t="str">
        <f t="shared" si="41"/>
        <v>Correct</v>
      </c>
      <c r="S284" s="6" t="s">
        <v>3839</v>
      </c>
      <c r="T284" s="14">
        <v>2</v>
      </c>
      <c r="U284" s="6" t="str">
        <f t="shared" si="42"/>
        <v>Undertriaged</v>
      </c>
      <c r="V284" s="15">
        <v>2</v>
      </c>
      <c r="W284" s="15" t="str">
        <f t="shared" si="43"/>
        <v>Undertriaged</v>
      </c>
      <c r="X284" s="14">
        <v>1</v>
      </c>
      <c r="Y284" s="14" t="str">
        <f t="shared" si="44"/>
        <v>Correct</v>
      </c>
      <c r="Z284" s="6">
        <v>283</v>
      </c>
      <c r="AA284" s="6" t="s">
        <v>3070</v>
      </c>
      <c r="AB284" s="6" t="s">
        <v>3071</v>
      </c>
      <c r="AC284" s="6">
        <v>1</v>
      </c>
      <c r="AD284" s="6" t="s">
        <v>40</v>
      </c>
      <c r="AE284" s="6" t="s">
        <v>2172</v>
      </c>
      <c r="AF284" s="6" t="s">
        <v>3072</v>
      </c>
      <c r="AG284" s="6" t="s">
        <v>3073</v>
      </c>
      <c r="AH284" s="6" t="s">
        <v>3074</v>
      </c>
      <c r="AI284" s="6" t="s">
        <v>3461</v>
      </c>
      <c r="AJ284" s="6" t="s">
        <v>4154</v>
      </c>
      <c r="AK284" s="6" t="s">
        <v>3075</v>
      </c>
      <c r="AL284" s="6" t="s">
        <v>3477</v>
      </c>
      <c r="AM284" s="6" t="s">
        <v>3076</v>
      </c>
      <c r="AN284" s="6" t="s">
        <v>3077</v>
      </c>
      <c r="AO284" s="6" t="s">
        <v>3078</v>
      </c>
      <c r="AP284" s="6" t="s">
        <v>3079</v>
      </c>
      <c r="AQ284" s="21" t="s">
        <v>4554</v>
      </c>
      <c r="AR284" s="6" t="s">
        <v>4913</v>
      </c>
      <c r="AS284" s="6" t="s">
        <v>4914</v>
      </c>
      <c r="AT284" s="14">
        <v>2</v>
      </c>
      <c r="AU284" s="14">
        <v>2</v>
      </c>
      <c r="AV284" s="14">
        <v>2</v>
      </c>
      <c r="AW284" s="14">
        <v>2</v>
      </c>
      <c r="AX284" s="14">
        <v>2</v>
      </c>
      <c r="AY284" s="14">
        <v>1</v>
      </c>
      <c r="AZ284" s="14">
        <v>2</v>
      </c>
      <c r="BA284" s="2"/>
    </row>
    <row r="285" spans="1:53" ht="44" customHeight="1" x14ac:dyDescent="0.2">
      <c r="A285" s="6">
        <v>110806</v>
      </c>
      <c r="B285" s="6">
        <v>80257098</v>
      </c>
      <c r="C285" s="8" t="s">
        <v>2166</v>
      </c>
      <c r="D285" s="6" t="s">
        <v>3080</v>
      </c>
      <c r="E285" s="6">
        <f t="shared" si="36"/>
        <v>300</v>
      </c>
      <c r="F285" s="6" t="s">
        <v>3081</v>
      </c>
      <c r="G285" s="6">
        <f t="shared" si="37"/>
        <v>34</v>
      </c>
      <c r="H285" s="9">
        <f t="shared" si="38"/>
        <v>0.88666666666666671</v>
      </c>
      <c r="I285" s="6" t="s">
        <v>5332</v>
      </c>
      <c r="J285" s="6">
        <v>3</v>
      </c>
      <c r="K285" s="9">
        <f t="shared" si="39"/>
        <v>0.01</v>
      </c>
      <c r="L285" s="6">
        <v>4</v>
      </c>
      <c r="M285" s="6">
        <v>2</v>
      </c>
      <c r="N285" s="6">
        <v>2</v>
      </c>
      <c r="O285" s="6" t="str">
        <f t="shared" si="40"/>
        <v>Correct</v>
      </c>
      <c r="P285" s="6" t="s">
        <v>3082</v>
      </c>
      <c r="Q285" s="6">
        <v>2</v>
      </c>
      <c r="R285" s="6" t="str">
        <f t="shared" si="41"/>
        <v>Correct</v>
      </c>
      <c r="S285" s="6" t="s">
        <v>3723</v>
      </c>
      <c r="T285" s="14">
        <v>2</v>
      </c>
      <c r="U285" s="6" t="str">
        <f t="shared" si="42"/>
        <v>Correct</v>
      </c>
      <c r="V285" s="15">
        <v>1</v>
      </c>
      <c r="W285" s="15" t="str">
        <f t="shared" si="43"/>
        <v>Overtriaged</v>
      </c>
      <c r="X285" s="14">
        <v>2</v>
      </c>
      <c r="Y285" s="14" t="str">
        <f t="shared" si="44"/>
        <v>Correct</v>
      </c>
      <c r="Z285" s="6">
        <v>284</v>
      </c>
      <c r="AA285" s="6" t="s">
        <v>3083</v>
      </c>
      <c r="AB285" s="6" t="s">
        <v>3084</v>
      </c>
      <c r="AC285" s="6">
        <v>1</v>
      </c>
      <c r="AD285" s="6" t="s">
        <v>40</v>
      </c>
      <c r="AE285" s="6" t="s">
        <v>717</v>
      </c>
      <c r="AF285" s="6" t="s">
        <v>3085</v>
      </c>
      <c r="AG285" s="6" t="s">
        <v>3086</v>
      </c>
      <c r="AH285" s="6" t="s">
        <v>4155</v>
      </c>
      <c r="AI285" s="6" t="s">
        <v>2537</v>
      </c>
      <c r="AJ285" s="6" t="s">
        <v>2537</v>
      </c>
      <c r="AK285" s="6" t="s">
        <v>4156</v>
      </c>
      <c r="AL285" s="6" t="s">
        <v>3477</v>
      </c>
      <c r="AM285" s="6" t="s">
        <v>3087</v>
      </c>
      <c r="AN285" s="6" t="s">
        <v>3088</v>
      </c>
      <c r="AO285" s="6" t="s">
        <v>3089</v>
      </c>
      <c r="AP285" s="6" t="s">
        <v>4915</v>
      </c>
      <c r="AQ285" s="21" t="s">
        <v>3090</v>
      </c>
      <c r="AR285" s="6" t="s">
        <v>3090</v>
      </c>
      <c r="AS285" s="6" t="s">
        <v>4916</v>
      </c>
      <c r="AT285" s="14">
        <v>2</v>
      </c>
      <c r="AU285" s="14">
        <v>2</v>
      </c>
      <c r="AV285" s="14">
        <v>2</v>
      </c>
      <c r="AW285" s="14">
        <v>2</v>
      </c>
      <c r="AX285" s="14">
        <v>2</v>
      </c>
      <c r="AY285" s="14">
        <v>2</v>
      </c>
      <c r="AZ285" s="14">
        <v>2</v>
      </c>
      <c r="BA285" s="2"/>
    </row>
    <row r="286" spans="1:53" ht="44" customHeight="1" x14ac:dyDescent="0.2">
      <c r="A286" s="6">
        <v>1131231</v>
      </c>
      <c r="B286" s="6">
        <v>80747776</v>
      </c>
      <c r="C286" s="8" t="s">
        <v>2166</v>
      </c>
      <c r="D286" s="6" t="s">
        <v>3091</v>
      </c>
      <c r="E286" s="6">
        <f t="shared" si="36"/>
        <v>165</v>
      </c>
      <c r="F286" s="6" t="s">
        <v>3093</v>
      </c>
      <c r="G286" s="6">
        <f t="shared" si="37"/>
        <v>48</v>
      </c>
      <c r="H286" s="9">
        <f t="shared" si="38"/>
        <v>0.70909090909090911</v>
      </c>
      <c r="I286" s="6" t="s">
        <v>5333</v>
      </c>
      <c r="J286" s="6">
        <v>4</v>
      </c>
      <c r="K286" s="9">
        <f t="shared" si="39"/>
        <v>2.4242424242424242E-2</v>
      </c>
      <c r="L286" s="6">
        <v>2</v>
      </c>
      <c r="M286" s="6">
        <v>2</v>
      </c>
      <c r="N286" s="6">
        <v>2</v>
      </c>
      <c r="O286" s="6" t="str">
        <f t="shared" si="40"/>
        <v>Correct</v>
      </c>
      <c r="P286" s="6" t="s">
        <v>3094</v>
      </c>
      <c r="Q286" s="6">
        <v>2</v>
      </c>
      <c r="R286" s="6" t="str">
        <f t="shared" si="41"/>
        <v>Correct</v>
      </c>
      <c r="S286" s="6" t="s">
        <v>3092</v>
      </c>
      <c r="T286" s="14">
        <v>2</v>
      </c>
      <c r="U286" s="6" t="str">
        <f t="shared" si="42"/>
        <v>Correct</v>
      </c>
      <c r="V286" s="15">
        <v>2</v>
      </c>
      <c r="W286" s="15" t="str">
        <f t="shared" si="43"/>
        <v>Correct</v>
      </c>
      <c r="X286" s="14">
        <v>2</v>
      </c>
      <c r="Y286" s="14" t="str">
        <f t="shared" si="44"/>
        <v>Correct</v>
      </c>
      <c r="Z286" s="6">
        <v>285</v>
      </c>
      <c r="AA286" s="6" t="s">
        <v>3095</v>
      </c>
      <c r="AB286" s="6" t="s">
        <v>3096</v>
      </c>
      <c r="AC286" s="6">
        <v>1</v>
      </c>
      <c r="AD286" s="6" t="s">
        <v>40</v>
      </c>
      <c r="AE286" s="6" t="s">
        <v>231</v>
      </c>
      <c r="AF286" s="6" t="s">
        <v>3097</v>
      </c>
      <c r="AG286" s="6" t="s">
        <v>3098</v>
      </c>
      <c r="AH286" s="6" t="s">
        <v>3099</v>
      </c>
      <c r="AI286" s="6" t="s">
        <v>3462</v>
      </c>
      <c r="AJ286" s="6" t="s">
        <v>4157</v>
      </c>
      <c r="AK286" s="6" t="s">
        <v>4158</v>
      </c>
      <c r="AL286" s="6" t="s">
        <v>3477</v>
      </c>
      <c r="AM286" s="6" t="s">
        <v>3100</v>
      </c>
      <c r="AN286" s="6" t="s">
        <v>3101</v>
      </c>
      <c r="AO286" s="6" t="s">
        <v>3102</v>
      </c>
      <c r="AP286" s="6" t="s">
        <v>3103</v>
      </c>
      <c r="AQ286" s="21" t="s">
        <v>4555</v>
      </c>
      <c r="AR286" s="6" t="s">
        <v>4917</v>
      </c>
      <c r="AS286" s="6" t="s">
        <v>4918</v>
      </c>
      <c r="AT286" s="14">
        <v>2</v>
      </c>
      <c r="AU286" s="14">
        <v>2</v>
      </c>
      <c r="AV286" s="14">
        <v>2</v>
      </c>
      <c r="AW286" s="14">
        <v>2</v>
      </c>
      <c r="AX286" s="14">
        <v>2</v>
      </c>
      <c r="AY286" s="14">
        <v>2</v>
      </c>
      <c r="AZ286" s="14">
        <v>2</v>
      </c>
      <c r="BA286" s="2"/>
    </row>
    <row r="287" spans="1:53" ht="44" customHeight="1" x14ac:dyDescent="0.2">
      <c r="A287" s="6">
        <v>113162</v>
      </c>
      <c r="B287" s="6">
        <v>80228534</v>
      </c>
      <c r="C287" s="8" t="s">
        <v>2166</v>
      </c>
      <c r="D287" s="6" t="s">
        <v>3104</v>
      </c>
      <c r="E287" s="6">
        <f t="shared" si="36"/>
        <v>99</v>
      </c>
      <c r="F287" s="6" t="s">
        <v>3105</v>
      </c>
      <c r="G287" s="6">
        <f t="shared" si="37"/>
        <v>39</v>
      </c>
      <c r="H287" s="9">
        <f t="shared" si="38"/>
        <v>0.60606060606060608</v>
      </c>
      <c r="I287" s="6" t="s">
        <v>5334</v>
      </c>
      <c r="J287" s="6">
        <v>3</v>
      </c>
      <c r="K287" s="9">
        <f t="shared" si="39"/>
        <v>3.0303030303030304E-2</v>
      </c>
      <c r="L287" s="6">
        <v>9</v>
      </c>
      <c r="M287" s="6">
        <v>2</v>
      </c>
      <c r="N287" s="6">
        <v>2</v>
      </c>
      <c r="O287" s="6" t="str">
        <f t="shared" si="40"/>
        <v>Correct</v>
      </c>
      <c r="P287" s="6" t="s">
        <v>3106</v>
      </c>
      <c r="Q287" s="6">
        <v>2</v>
      </c>
      <c r="R287" s="6" t="str">
        <f t="shared" si="41"/>
        <v>Correct</v>
      </c>
      <c r="S287" s="6" t="s">
        <v>3724</v>
      </c>
      <c r="T287" s="14">
        <v>2</v>
      </c>
      <c r="U287" s="6" t="str">
        <f t="shared" si="42"/>
        <v>Correct</v>
      </c>
      <c r="V287" s="15">
        <v>2</v>
      </c>
      <c r="W287" s="15" t="str">
        <f t="shared" si="43"/>
        <v>Correct</v>
      </c>
      <c r="X287" s="14">
        <v>2</v>
      </c>
      <c r="Y287" s="14" t="str">
        <f t="shared" si="44"/>
        <v>Correct</v>
      </c>
      <c r="Z287" s="6">
        <v>286</v>
      </c>
      <c r="AA287" s="6" t="s">
        <v>3107</v>
      </c>
      <c r="AB287" s="6" t="s">
        <v>3108</v>
      </c>
      <c r="AC287" s="6">
        <v>1</v>
      </c>
      <c r="AD287" s="6" t="s">
        <v>40</v>
      </c>
      <c r="AE287" s="6" t="s">
        <v>454</v>
      </c>
      <c r="AF287" s="6" t="s">
        <v>3109</v>
      </c>
      <c r="AG287" s="6" t="s">
        <v>3110</v>
      </c>
      <c r="AH287" s="6" t="s">
        <v>44</v>
      </c>
      <c r="AI287" s="6" t="s">
        <v>44</v>
      </c>
      <c r="AJ287" s="6" t="s">
        <v>44</v>
      </c>
      <c r="AK287" s="6" t="s">
        <v>3111</v>
      </c>
      <c r="AL287" s="6" t="s">
        <v>5099</v>
      </c>
      <c r="AM287" s="6" t="s">
        <v>3112</v>
      </c>
      <c r="AN287" s="6" t="s">
        <v>3113</v>
      </c>
      <c r="AO287" s="6" t="s">
        <v>3114</v>
      </c>
      <c r="AP287" s="6" t="s">
        <v>3104</v>
      </c>
      <c r="AQ287" s="21" t="s">
        <v>3104</v>
      </c>
      <c r="AR287" s="6" t="s">
        <v>3104</v>
      </c>
      <c r="AS287" s="6" t="s">
        <v>3115</v>
      </c>
      <c r="AT287" s="14">
        <v>2</v>
      </c>
      <c r="AU287" s="14">
        <v>2</v>
      </c>
      <c r="AV287" s="14">
        <v>2</v>
      </c>
      <c r="AW287" s="14">
        <v>2</v>
      </c>
      <c r="AX287" s="14">
        <v>2</v>
      </c>
      <c r="AY287" s="14">
        <v>2</v>
      </c>
      <c r="AZ287" s="14">
        <v>2</v>
      </c>
      <c r="BA287" s="2"/>
    </row>
    <row r="288" spans="1:53" ht="44" customHeight="1" x14ac:dyDescent="0.2">
      <c r="A288" s="6">
        <v>113677</v>
      </c>
      <c r="B288" s="6">
        <v>80231694</v>
      </c>
      <c r="C288" s="8" t="s">
        <v>2166</v>
      </c>
      <c r="D288" s="6" t="s">
        <v>3116</v>
      </c>
      <c r="E288" s="6">
        <f t="shared" si="36"/>
        <v>213</v>
      </c>
      <c r="F288" s="6" t="s">
        <v>3118</v>
      </c>
      <c r="G288" s="6">
        <f t="shared" si="37"/>
        <v>63</v>
      </c>
      <c r="H288" s="9">
        <f t="shared" si="38"/>
        <v>0.70422535211267601</v>
      </c>
      <c r="I288" s="6" t="s">
        <v>5335</v>
      </c>
      <c r="J288" s="6">
        <v>7</v>
      </c>
      <c r="K288" s="9">
        <f t="shared" si="39"/>
        <v>3.2863849765258218E-2</v>
      </c>
      <c r="L288" s="6">
        <v>1</v>
      </c>
      <c r="M288" s="6">
        <v>2</v>
      </c>
      <c r="N288" s="6">
        <v>2</v>
      </c>
      <c r="O288" s="6" t="str">
        <f t="shared" si="40"/>
        <v>Correct</v>
      </c>
      <c r="P288" s="6" t="s">
        <v>3119</v>
      </c>
      <c r="Q288" s="6">
        <v>2</v>
      </c>
      <c r="R288" s="6" t="str">
        <f t="shared" si="41"/>
        <v>Correct</v>
      </c>
      <c r="S288" s="6" t="s">
        <v>3117</v>
      </c>
      <c r="T288" s="14">
        <v>2</v>
      </c>
      <c r="U288" s="6" t="str">
        <f t="shared" si="42"/>
        <v>Correct</v>
      </c>
      <c r="V288" s="15">
        <v>2</v>
      </c>
      <c r="W288" s="15" t="str">
        <f t="shared" si="43"/>
        <v>Correct</v>
      </c>
      <c r="X288" s="14">
        <v>2</v>
      </c>
      <c r="Y288" s="14" t="str">
        <f t="shared" si="44"/>
        <v>Correct</v>
      </c>
      <c r="Z288" s="6">
        <v>287</v>
      </c>
      <c r="AA288" s="6" t="s">
        <v>3120</v>
      </c>
      <c r="AB288" s="6" t="s">
        <v>3121</v>
      </c>
      <c r="AC288" s="6">
        <v>1</v>
      </c>
      <c r="AD288" s="6" t="s">
        <v>40</v>
      </c>
      <c r="AE288" s="6" t="s">
        <v>1622</v>
      </c>
      <c r="AF288" s="6" t="s">
        <v>3122</v>
      </c>
      <c r="AG288" s="6" t="s">
        <v>3123</v>
      </c>
      <c r="AH288" s="6" t="s">
        <v>2324</v>
      </c>
      <c r="AI288" s="6" t="s">
        <v>4375</v>
      </c>
      <c r="AJ288" s="6" t="s">
        <v>3124</v>
      </c>
      <c r="AK288" s="6" t="s">
        <v>3125</v>
      </c>
      <c r="AL288" s="6" t="s">
        <v>3477</v>
      </c>
      <c r="AM288" s="6" t="s">
        <v>3126</v>
      </c>
      <c r="AN288" s="6" t="s">
        <v>3127</v>
      </c>
      <c r="AO288" s="6" t="s">
        <v>3128</v>
      </c>
      <c r="AP288" s="6" t="s">
        <v>3129</v>
      </c>
      <c r="AQ288" s="21" t="s">
        <v>4556</v>
      </c>
      <c r="AR288" s="6" t="s">
        <v>3130</v>
      </c>
      <c r="AS288" s="6" t="s">
        <v>3131</v>
      </c>
      <c r="AT288" s="14">
        <v>2</v>
      </c>
      <c r="AU288" s="14">
        <v>2</v>
      </c>
      <c r="AV288" s="14">
        <v>2</v>
      </c>
      <c r="AW288" s="14">
        <v>2</v>
      </c>
      <c r="AX288" s="14">
        <v>2</v>
      </c>
      <c r="AY288" s="14">
        <v>2</v>
      </c>
      <c r="AZ288" s="14">
        <v>2</v>
      </c>
      <c r="BA288" s="2"/>
    </row>
    <row r="289" spans="1:53" ht="44" customHeight="1" x14ac:dyDescent="0.2">
      <c r="A289" s="6">
        <v>113814</v>
      </c>
      <c r="B289" s="6">
        <v>80221670</v>
      </c>
      <c r="C289" s="8" t="s">
        <v>2166</v>
      </c>
      <c r="D289" s="6" t="s">
        <v>3132</v>
      </c>
      <c r="E289" s="6">
        <f t="shared" si="36"/>
        <v>114</v>
      </c>
      <c r="F289" s="6" t="s">
        <v>3133</v>
      </c>
      <c r="G289" s="6">
        <f t="shared" si="37"/>
        <v>59</v>
      </c>
      <c r="H289" s="9">
        <f t="shared" si="38"/>
        <v>0.48245614035087719</v>
      </c>
      <c r="I289" s="6" t="s">
        <v>5336</v>
      </c>
      <c r="J289" s="6">
        <v>4</v>
      </c>
      <c r="K289" s="9">
        <f t="shared" si="39"/>
        <v>3.5087719298245612E-2</v>
      </c>
      <c r="L289" s="6">
        <v>10</v>
      </c>
      <c r="M289" s="6">
        <v>2</v>
      </c>
      <c r="N289" s="6">
        <v>1</v>
      </c>
      <c r="O289" s="6" t="str">
        <f t="shared" si="40"/>
        <v>Overtriaged</v>
      </c>
      <c r="P289" s="6" t="s">
        <v>3134</v>
      </c>
      <c r="Q289" s="6">
        <v>2</v>
      </c>
      <c r="R289" s="6" t="str">
        <f t="shared" si="41"/>
        <v>Correct</v>
      </c>
      <c r="S289" s="6" t="s">
        <v>3840</v>
      </c>
      <c r="T289" s="14">
        <v>2</v>
      </c>
      <c r="U289" s="6" t="str">
        <f t="shared" si="42"/>
        <v>Correct</v>
      </c>
      <c r="V289" s="15">
        <v>1</v>
      </c>
      <c r="W289" s="15" t="str">
        <f t="shared" si="43"/>
        <v>Overtriaged</v>
      </c>
      <c r="X289" s="14">
        <v>2</v>
      </c>
      <c r="Y289" s="14" t="str">
        <f t="shared" si="44"/>
        <v>Correct</v>
      </c>
      <c r="Z289" s="6">
        <v>288</v>
      </c>
      <c r="AA289" s="6" t="s">
        <v>3135</v>
      </c>
      <c r="AB289" s="6" t="s">
        <v>3136</v>
      </c>
      <c r="AC289" s="6">
        <v>1</v>
      </c>
      <c r="AD289" s="6" t="s">
        <v>40</v>
      </c>
      <c r="AE289" s="6" t="s">
        <v>1622</v>
      </c>
      <c r="AF289" s="6" t="s">
        <v>3137</v>
      </c>
      <c r="AG289" s="6" t="s">
        <v>44</v>
      </c>
      <c r="AH289" s="6" t="s">
        <v>44</v>
      </c>
      <c r="AI289" s="6" t="s">
        <v>44</v>
      </c>
      <c r="AJ289" s="6" t="s">
        <v>44</v>
      </c>
      <c r="AK289" s="6" t="s">
        <v>3138</v>
      </c>
      <c r="AL289" s="6" t="s">
        <v>5103</v>
      </c>
      <c r="AM289" s="6" t="s">
        <v>3139</v>
      </c>
      <c r="AN289" s="6" t="s">
        <v>3140</v>
      </c>
      <c r="AO289" s="6" t="s">
        <v>3132</v>
      </c>
      <c r="AP289" s="6" t="s">
        <v>3132</v>
      </c>
      <c r="AQ289" s="21" t="s">
        <v>3132</v>
      </c>
      <c r="AR289" s="6" t="s">
        <v>3132</v>
      </c>
      <c r="AS289" s="6" t="s">
        <v>3141</v>
      </c>
      <c r="AT289" s="14">
        <v>2</v>
      </c>
      <c r="AU289" s="14">
        <v>2</v>
      </c>
      <c r="AV289" s="14">
        <v>2</v>
      </c>
      <c r="AW289" s="14">
        <v>2</v>
      </c>
      <c r="AX289" s="14">
        <v>2</v>
      </c>
      <c r="AY289" s="14">
        <v>2</v>
      </c>
      <c r="AZ289" s="14">
        <v>2</v>
      </c>
      <c r="BA289" s="2"/>
    </row>
    <row r="290" spans="1:53" ht="44" customHeight="1" x14ac:dyDescent="0.2">
      <c r="A290" s="6">
        <v>1140241</v>
      </c>
      <c r="B290" s="6">
        <v>80525751</v>
      </c>
      <c r="C290" s="8" t="s">
        <v>2166</v>
      </c>
      <c r="D290" s="6" t="s">
        <v>3142</v>
      </c>
      <c r="E290" s="6">
        <f t="shared" si="36"/>
        <v>104</v>
      </c>
      <c r="F290" s="6" t="s">
        <v>3144</v>
      </c>
      <c r="G290" s="6">
        <f t="shared" si="37"/>
        <v>27</v>
      </c>
      <c r="H290" s="9">
        <f t="shared" si="38"/>
        <v>0.74038461538461542</v>
      </c>
      <c r="I290" s="6"/>
      <c r="J290" s="6">
        <v>0</v>
      </c>
      <c r="K290" s="9">
        <f t="shared" si="39"/>
        <v>0</v>
      </c>
      <c r="L290" s="6">
        <v>5</v>
      </c>
      <c r="M290" s="6">
        <v>2</v>
      </c>
      <c r="N290" s="6">
        <v>2</v>
      </c>
      <c r="O290" s="6" t="str">
        <f t="shared" si="40"/>
        <v>Correct</v>
      </c>
      <c r="P290" s="6" t="s">
        <v>3145</v>
      </c>
      <c r="Q290" s="6">
        <v>2</v>
      </c>
      <c r="R290" s="6" t="str">
        <f t="shared" si="41"/>
        <v>Correct</v>
      </c>
      <c r="S290" s="6" t="s">
        <v>3143</v>
      </c>
      <c r="T290" s="14">
        <v>2</v>
      </c>
      <c r="U290" s="6" t="str">
        <f t="shared" si="42"/>
        <v>Correct</v>
      </c>
      <c r="V290" s="15">
        <v>2</v>
      </c>
      <c r="W290" s="15" t="str">
        <f t="shared" si="43"/>
        <v>Correct</v>
      </c>
      <c r="X290" s="14">
        <v>2</v>
      </c>
      <c r="Y290" s="14" t="str">
        <f t="shared" si="44"/>
        <v>Correct</v>
      </c>
      <c r="Z290" s="6">
        <v>289</v>
      </c>
      <c r="AA290" s="6" t="s">
        <v>3146</v>
      </c>
      <c r="AB290" s="6" t="s">
        <v>3147</v>
      </c>
      <c r="AC290" s="6">
        <v>1</v>
      </c>
      <c r="AD290" s="6" t="s">
        <v>40</v>
      </c>
      <c r="AE290" s="6" t="s">
        <v>3148</v>
      </c>
      <c r="AF290" s="6" t="s">
        <v>3149</v>
      </c>
      <c r="AG290" s="6" t="s">
        <v>3150</v>
      </c>
      <c r="AH290" s="6" t="s">
        <v>44</v>
      </c>
      <c r="AI290" s="6" t="s">
        <v>44</v>
      </c>
      <c r="AJ290" s="6" t="s">
        <v>44</v>
      </c>
      <c r="AK290" s="6" t="s">
        <v>3151</v>
      </c>
      <c r="AL290" s="6" t="s">
        <v>5099</v>
      </c>
      <c r="AM290" s="6" t="s">
        <v>3152</v>
      </c>
      <c r="AN290" s="6" t="s">
        <v>3153</v>
      </c>
      <c r="AO290" s="6" t="s">
        <v>3154</v>
      </c>
      <c r="AP290" s="6" t="s">
        <v>3142</v>
      </c>
      <c r="AQ290" s="21" t="s">
        <v>3142</v>
      </c>
      <c r="AR290" s="6" t="s">
        <v>3142</v>
      </c>
      <c r="AS290" s="6" t="s">
        <v>3155</v>
      </c>
      <c r="AT290" s="14">
        <v>2</v>
      </c>
      <c r="AU290" s="14">
        <v>2</v>
      </c>
      <c r="AV290" s="14">
        <v>2</v>
      </c>
      <c r="AW290" s="14">
        <v>2</v>
      </c>
      <c r="AX290" s="14">
        <v>2</v>
      </c>
      <c r="AY290" s="14">
        <v>2</v>
      </c>
      <c r="AZ290" s="14">
        <v>2</v>
      </c>
      <c r="BA290" s="2"/>
    </row>
    <row r="291" spans="1:53" ht="44" customHeight="1" x14ac:dyDescent="0.2">
      <c r="A291" s="6">
        <v>114918</v>
      </c>
      <c r="B291" s="6">
        <v>80617967</v>
      </c>
      <c r="C291" s="8" t="s">
        <v>2166</v>
      </c>
      <c r="D291" s="6" t="s">
        <v>3156</v>
      </c>
      <c r="E291" s="6">
        <f t="shared" si="36"/>
        <v>345</v>
      </c>
      <c r="F291" s="6" t="s">
        <v>3157</v>
      </c>
      <c r="G291" s="6">
        <f t="shared" si="37"/>
        <v>59</v>
      </c>
      <c r="H291" s="9">
        <f t="shared" si="38"/>
        <v>0.82898550724637676</v>
      </c>
      <c r="I291" s="6" t="s">
        <v>5337</v>
      </c>
      <c r="J291" s="6">
        <v>4</v>
      </c>
      <c r="K291" s="9">
        <f t="shared" si="39"/>
        <v>1.1594202898550725E-2</v>
      </c>
      <c r="L291" s="6">
        <v>10</v>
      </c>
      <c r="M291" s="6">
        <v>2</v>
      </c>
      <c r="N291" s="6">
        <v>1</v>
      </c>
      <c r="O291" s="6" t="str">
        <f t="shared" si="40"/>
        <v>Overtriaged</v>
      </c>
      <c r="P291" s="6" t="s">
        <v>3158</v>
      </c>
      <c r="Q291" s="6">
        <v>2</v>
      </c>
      <c r="R291" s="6" t="str">
        <f t="shared" si="41"/>
        <v>Correct</v>
      </c>
      <c r="S291" s="6" t="s">
        <v>3841</v>
      </c>
      <c r="T291" s="14">
        <v>1</v>
      </c>
      <c r="U291" s="6" t="str">
        <f t="shared" si="42"/>
        <v>Overtriaged</v>
      </c>
      <c r="V291" s="15">
        <v>1</v>
      </c>
      <c r="W291" s="15" t="str">
        <f t="shared" si="43"/>
        <v>Overtriaged</v>
      </c>
      <c r="X291" s="14">
        <v>2</v>
      </c>
      <c r="Y291" s="14" t="str">
        <f t="shared" si="44"/>
        <v>Correct</v>
      </c>
      <c r="Z291" s="6">
        <v>290</v>
      </c>
      <c r="AA291" s="6" t="s">
        <v>3159</v>
      </c>
      <c r="AB291" s="6" t="s">
        <v>3160</v>
      </c>
      <c r="AC291" s="6">
        <v>1</v>
      </c>
      <c r="AD291" s="6" t="s">
        <v>40</v>
      </c>
      <c r="AE291" s="6" t="s">
        <v>215</v>
      </c>
      <c r="AF291" s="6" t="s">
        <v>3161</v>
      </c>
      <c r="AG291" s="6" t="s">
        <v>3162</v>
      </c>
      <c r="AH291" s="6" t="s">
        <v>44</v>
      </c>
      <c r="AI291" s="6" t="s">
        <v>3463</v>
      </c>
      <c r="AJ291" s="6" t="s">
        <v>4159</v>
      </c>
      <c r="AK291" s="6" t="s">
        <v>4160</v>
      </c>
      <c r="AL291" s="6" t="s">
        <v>3476</v>
      </c>
      <c r="AM291" s="6" t="s">
        <v>3163</v>
      </c>
      <c r="AN291" s="6" t="s">
        <v>3164</v>
      </c>
      <c r="AO291" s="6" t="s">
        <v>3165</v>
      </c>
      <c r="AP291" s="6" t="s">
        <v>3156</v>
      </c>
      <c r="AQ291" s="21" t="s">
        <v>4557</v>
      </c>
      <c r="AR291" s="6" t="s">
        <v>3166</v>
      </c>
      <c r="AS291" s="6" t="s">
        <v>4919</v>
      </c>
      <c r="AT291" s="14">
        <v>1</v>
      </c>
      <c r="AU291" s="14">
        <v>1</v>
      </c>
      <c r="AV291" s="14">
        <v>1</v>
      </c>
      <c r="AW291" s="14">
        <v>1</v>
      </c>
      <c r="AX291" s="14">
        <v>1</v>
      </c>
      <c r="AY291" s="14">
        <v>1</v>
      </c>
      <c r="AZ291" s="14">
        <v>2</v>
      </c>
      <c r="BA291" s="2"/>
    </row>
    <row r="292" spans="1:53" ht="44" customHeight="1" x14ac:dyDescent="0.2">
      <c r="A292" s="6">
        <v>115205</v>
      </c>
      <c r="B292" s="6">
        <v>80750805</v>
      </c>
      <c r="C292" s="8" t="s">
        <v>2166</v>
      </c>
      <c r="D292" s="6" t="s">
        <v>3167</v>
      </c>
      <c r="E292" s="6">
        <f t="shared" si="36"/>
        <v>492</v>
      </c>
      <c r="F292" s="6" t="s">
        <v>3168</v>
      </c>
      <c r="G292" s="6">
        <f t="shared" si="37"/>
        <v>46</v>
      </c>
      <c r="H292" s="9">
        <f t="shared" si="38"/>
        <v>0.9065040650406504</v>
      </c>
      <c r="I292" s="6" t="s">
        <v>5338</v>
      </c>
      <c r="J292" s="6">
        <v>7</v>
      </c>
      <c r="K292" s="9">
        <f t="shared" si="39"/>
        <v>1.4227642276422764E-2</v>
      </c>
      <c r="L292" s="6">
        <v>17</v>
      </c>
      <c r="M292" s="6">
        <v>1</v>
      </c>
      <c r="N292" s="6">
        <v>1</v>
      </c>
      <c r="O292" s="6" t="str">
        <f t="shared" si="40"/>
        <v>Correct</v>
      </c>
      <c r="P292" s="6" t="s">
        <v>3169</v>
      </c>
      <c r="Q292" s="6">
        <v>1</v>
      </c>
      <c r="R292" s="6" t="str">
        <f t="shared" si="41"/>
        <v>Correct</v>
      </c>
      <c r="S292" s="6" t="s">
        <v>3725</v>
      </c>
      <c r="T292" s="14">
        <v>1</v>
      </c>
      <c r="U292" s="6" t="str">
        <f t="shared" si="42"/>
        <v>Correct</v>
      </c>
      <c r="V292" s="15">
        <v>1</v>
      </c>
      <c r="W292" s="15" t="str">
        <f t="shared" si="43"/>
        <v>Correct</v>
      </c>
      <c r="X292" s="14">
        <v>1</v>
      </c>
      <c r="Y292" s="14" t="str">
        <f t="shared" si="44"/>
        <v>Correct</v>
      </c>
      <c r="Z292" s="6">
        <v>291</v>
      </c>
      <c r="AA292" s="6" t="s">
        <v>3170</v>
      </c>
      <c r="AB292" s="6" t="s">
        <v>3171</v>
      </c>
      <c r="AC292" s="6">
        <v>1</v>
      </c>
      <c r="AD292" s="6" t="s">
        <v>40</v>
      </c>
      <c r="AE292" s="6" t="s">
        <v>3172</v>
      </c>
      <c r="AF292" s="6" t="s">
        <v>44</v>
      </c>
      <c r="AG292" s="6" t="s">
        <v>3173</v>
      </c>
      <c r="AH292" s="6" t="s">
        <v>44</v>
      </c>
      <c r="AI292" s="6" t="s">
        <v>44</v>
      </c>
      <c r="AJ292" s="6" t="s">
        <v>44</v>
      </c>
      <c r="AK292" s="6" t="s">
        <v>4161</v>
      </c>
      <c r="AL292" s="6" t="s">
        <v>5101</v>
      </c>
      <c r="AM292" s="6" t="s">
        <v>3174</v>
      </c>
      <c r="AN292" s="6" t="s">
        <v>3167</v>
      </c>
      <c r="AO292" s="6" t="s">
        <v>3175</v>
      </c>
      <c r="AP292" s="6" t="s">
        <v>3167</v>
      </c>
      <c r="AQ292" s="21" t="s">
        <v>3167</v>
      </c>
      <c r="AR292" s="6" t="s">
        <v>3167</v>
      </c>
      <c r="AS292" s="6" t="s">
        <v>4920</v>
      </c>
      <c r="AT292" s="14">
        <v>1</v>
      </c>
      <c r="AU292" s="14">
        <v>1</v>
      </c>
      <c r="AV292" s="14">
        <v>1</v>
      </c>
      <c r="AW292" s="14">
        <v>1</v>
      </c>
      <c r="AX292" s="14">
        <v>1</v>
      </c>
      <c r="AY292" s="14">
        <v>1</v>
      </c>
      <c r="AZ292" s="14">
        <v>1</v>
      </c>
      <c r="BA292" s="2"/>
    </row>
    <row r="293" spans="1:53" ht="44" customHeight="1" x14ac:dyDescent="0.2">
      <c r="A293" s="6">
        <v>1118421</v>
      </c>
      <c r="B293" s="6">
        <v>79352330</v>
      </c>
      <c r="C293" s="8" t="s">
        <v>2166</v>
      </c>
      <c r="D293" s="6" t="s">
        <v>3176</v>
      </c>
      <c r="E293" s="6">
        <f t="shared" si="36"/>
        <v>435</v>
      </c>
      <c r="F293" s="6" t="s">
        <v>3177</v>
      </c>
      <c r="G293" s="6">
        <f t="shared" si="37"/>
        <v>24</v>
      </c>
      <c r="H293" s="9">
        <f t="shared" si="38"/>
        <v>0.94482758620689655</v>
      </c>
      <c r="I293" s="6" t="s">
        <v>5339</v>
      </c>
      <c r="J293" s="6">
        <v>10</v>
      </c>
      <c r="K293" s="9">
        <f t="shared" si="39"/>
        <v>2.2988505747126436E-2</v>
      </c>
      <c r="L293" s="6">
        <v>10</v>
      </c>
      <c r="M293" s="6">
        <v>2</v>
      </c>
      <c r="N293" s="6">
        <v>2</v>
      </c>
      <c r="O293" s="6" t="str">
        <f t="shared" si="40"/>
        <v>Correct</v>
      </c>
      <c r="P293" s="6" t="s">
        <v>3178</v>
      </c>
      <c r="Q293" s="6">
        <v>2</v>
      </c>
      <c r="R293" s="6" t="str">
        <f t="shared" si="41"/>
        <v>Correct</v>
      </c>
      <c r="S293" s="6" t="s">
        <v>3726</v>
      </c>
      <c r="T293" s="14">
        <v>2</v>
      </c>
      <c r="U293" s="6" t="str">
        <f t="shared" si="42"/>
        <v>Correct</v>
      </c>
      <c r="V293" s="15">
        <v>2</v>
      </c>
      <c r="W293" s="15" t="str">
        <f t="shared" si="43"/>
        <v>Correct</v>
      </c>
      <c r="X293" s="14">
        <v>2</v>
      </c>
      <c r="Y293" s="14" t="str">
        <f t="shared" si="44"/>
        <v>Correct</v>
      </c>
      <c r="Z293" s="6">
        <v>292</v>
      </c>
      <c r="AA293" s="6" t="s">
        <v>526</v>
      </c>
      <c r="AB293" s="6" t="s">
        <v>2699</v>
      </c>
      <c r="AC293" s="6">
        <v>1</v>
      </c>
      <c r="AD293" s="6" t="s">
        <v>40</v>
      </c>
      <c r="AE293" s="6" t="s">
        <v>4162</v>
      </c>
      <c r="AF293" s="6" t="s">
        <v>3179</v>
      </c>
      <c r="AG293" s="6" t="s">
        <v>4163</v>
      </c>
      <c r="AH293" s="6" t="s">
        <v>3180</v>
      </c>
      <c r="AI293" s="6" t="s">
        <v>44</v>
      </c>
      <c r="AJ293" s="6" t="s">
        <v>3181</v>
      </c>
      <c r="AK293" s="6" t="s">
        <v>44</v>
      </c>
      <c r="AL293" s="6" t="s">
        <v>3483</v>
      </c>
      <c r="AM293" s="6" t="s">
        <v>4921</v>
      </c>
      <c r="AN293" s="6" t="s">
        <v>3182</v>
      </c>
      <c r="AO293" s="6" t="s">
        <v>4922</v>
      </c>
      <c r="AP293" s="6" t="s">
        <v>3183</v>
      </c>
      <c r="AQ293" s="21" t="s">
        <v>3176</v>
      </c>
      <c r="AR293" s="6" t="s">
        <v>3184</v>
      </c>
      <c r="AS293" s="6" t="s">
        <v>3176</v>
      </c>
      <c r="AT293" s="14">
        <v>2</v>
      </c>
      <c r="AU293" s="14">
        <v>2</v>
      </c>
      <c r="AV293" s="14">
        <v>2</v>
      </c>
      <c r="AW293" s="14">
        <v>2</v>
      </c>
      <c r="AX293" s="14">
        <v>2</v>
      </c>
      <c r="AY293" s="14">
        <v>2</v>
      </c>
      <c r="AZ293" s="14">
        <v>2</v>
      </c>
      <c r="BA293" s="2"/>
    </row>
    <row r="294" spans="1:53" ht="44" customHeight="1" x14ac:dyDescent="0.2">
      <c r="A294" s="6">
        <v>11234016</v>
      </c>
      <c r="B294" s="6">
        <v>79468683</v>
      </c>
      <c r="C294" s="8" t="s">
        <v>2166</v>
      </c>
      <c r="D294" s="6" t="s">
        <v>3185</v>
      </c>
      <c r="E294" s="6">
        <f t="shared" si="36"/>
        <v>149</v>
      </c>
      <c r="F294" s="6" t="s">
        <v>3186</v>
      </c>
      <c r="G294" s="6">
        <f t="shared" si="37"/>
        <v>15</v>
      </c>
      <c r="H294" s="9">
        <f t="shared" si="38"/>
        <v>0.89932885906040272</v>
      </c>
      <c r="I294" s="6" t="s">
        <v>5340</v>
      </c>
      <c r="J294" s="6">
        <v>3</v>
      </c>
      <c r="K294" s="9">
        <f t="shared" si="39"/>
        <v>2.0134228187919462E-2</v>
      </c>
      <c r="L294" s="6">
        <v>5</v>
      </c>
      <c r="M294" s="6">
        <v>2</v>
      </c>
      <c r="N294" s="6">
        <v>2</v>
      </c>
      <c r="O294" s="6" t="str">
        <f t="shared" si="40"/>
        <v>Correct</v>
      </c>
      <c r="P294" s="6" t="s">
        <v>3187</v>
      </c>
      <c r="Q294" s="6">
        <v>2</v>
      </c>
      <c r="R294" s="6" t="str">
        <f t="shared" si="41"/>
        <v>Correct</v>
      </c>
      <c r="S294" s="6" t="s">
        <v>3727</v>
      </c>
      <c r="T294" s="14">
        <v>2</v>
      </c>
      <c r="U294" s="6" t="str">
        <f t="shared" si="42"/>
        <v>Correct</v>
      </c>
      <c r="V294" s="15">
        <v>2</v>
      </c>
      <c r="W294" s="15" t="str">
        <f t="shared" si="43"/>
        <v>Correct</v>
      </c>
      <c r="X294" s="14">
        <v>2</v>
      </c>
      <c r="Y294" s="14" t="str">
        <f t="shared" si="44"/>
        <v>Correct</v>
      </c>
      <c r="Z294" s="6">
        <v>293</v>
      </c>
      <c r="AA294" s="6" t="s">
        <v>3188</v>
      </c>
      <c r="AB294" s="6" t="s">
        <v>3189</v>
      </c>
      <c r="AC294" s="6">
        <v>1</v>
      </c>
      <c r="AD294" s="6" t="s">
        <v>40</v>
      </c>
      <c r="AE294" s="6" t="s">
        <v>4164</v>
      </c>
      <c r="AF294" s="6" t="s">
        <v>3190</v>
      </c>
      <c r="AG294" s="6" t="s">
        <v>44</v>
      </c>
      <c r="AH294" s="6" t="s">
        <v>44</v>
      </c>
      <c r="AI294" s="6" t="s">
        <v>4335</v>
      </c>
      <c r="AJ294" s="6" t="s">
        <v>4165</v>
      </c>
      <c r="AK294" s="6" t="s">
        <v>4166</v>
      </c>
      <c r="AL294" s="6" t="s">
        <v>3478</v>
      </c>
      <c r="AM294" s="6" t="s">
        <v>4923</v>
      </c>
      <c r="AN294" s="6" t="s">
        <v>3191</v>
      </c>
      <c r="AO294" s="6" t="s">
        <v>3185</v>
      </c>
      <c r="AP294" s="6" t="s">
        <v>3185</v>
      </c>
      <c r="AQ294" s="21" t="s">
        <v>4558</v>
      </c>
      <c r="AR294" s="6" t="s">
        <v>4924</v>
      </c>
      <c r="AS294" s="6" t="s">
        <v>4925</v>
      </c>
      <c r="AT294" s="14">
        <v>2</v>
      </c>
      <c r="AU294" s="14">
        <v>2</v>
      </c>
      <c r="AV294" s="14">
        <v>2</v>
      </c>
      <c r="AW294" s="14">
        <v>2</v>
      </c>
      <c r="AX294" s="14">
        <v>2</v>
      </c>
      <c r="AY294" s="14">
        <v>2</v>
      </c>
      <c r="AZ294" s="14">
        <v>2</v>
      </c>
      <c r="BA294" s="2"/>
    </row>
    <row r="295" spans="1:53" ht="44" customHeight="1" x14ac:dyDescent="0.2">
      <c r="A295" s="6">
        <v>11436416</v>
      </c>
      <c r="B295" s="6">
        <v>79540835</v>
      </c>
      <c r="C295" s="8" t="s">
        <v>2166</v>
      </c>
      <c r="D295" s="6" t="s">
        <v>3192</v>
      </c>
      <c r="E295" s="6">
        <f t="shared" si="36"/>
        <v>121</v>
      </c>
      <c r="F295" s="6" t="s">
        <v>3193</v>
      </c>
      <c r="G295" s="6">
        <f t="shared" si="37"/>
        <v>31</v>
      </c>
      <c r="H295" s="9">
        <f t="shared" si="38"/>
        <v>0.74380165289256195</v>
      </c>
      <c r="I295" s="6" t="s">
        <v>5341</v>
      </c>
      <c r="J295" s="6">
        <v>6</v>
      </c>
      <c r="K295" s="9">
        <f t="shared" si="39"/>
        <v>4.9586776859504134E-2</v>
      </c>
      <c r="L295" s="6">
        <v>17</v>
      </c>
      <c r="M295" s="6">
        <v>1</v>
      </c>
      <c r="N295" s="6">
        <v>2</v>
      </c>
      <c r="O295" s="6" t="str">
        <f t="shared" si="40"/>
        <v>Undertriaged</v>
      </c>
      <c r="P295" s="6" t="s">
        <v>3194</v>
      </c>
      <c r="Q295" s="6">
        <v>2</v>
      </c>
      <c r="R295" s="6" t="str">
        <f t="shared" si="41"/>
        <v>Undertriaged</v>
      </c>
      <c r="S295" s="6" t="s">
        <v>3728</v>
      </c>
      <c r="T295" s="14">
        <v>2</v>
      </c>
      <c r="U295" s="6" t="str">
        <f t="shared" si="42"/>
        <v>Undertriaged</v>
      </c>
      <c r="V295" s="15">
        <v>2</v>
      </c>
      <c r="W295" s="15" t="str">
        <f t="shared" si="43"/>
        <v>Undertriaged</v>
      </c>
      <c r="X295" s="14">
        <v>2</v>
      </c>
      <c r="Y295" s="14" t="str">
        <f t="shared" si="44"/>
        <v>Undertriaged</v>
      </c>
      <c r="Z295" s="6">
        <v>294</v>
      </c>
      <c r="AA295" s="6" t="s">
        <v>526</v>
      </c>
      <c r="AB295" s="6" t="s">
        <v>3195</v>
      </c>
      <c r="AC295" s="6">
        <v>1</v>
      </c>
      <c r="AD295" s="6" t="s">
        <v>40</v>
      </c>
      <c r="AE295" s="6" t="s">
        <v>176</v>
      </c>
      <c r="AF295" s="6" t="s">
        <v>3196</v>
      </c>
      <c r="AG295" s="6" t="s">
        <v>3197</v>
      </c>
      <c r="AH295" s="6" t="s">
        <v>44</v>
      </c>
      <c r="AI295" s="6" t="s">
        <v>3464</v>
      </c>
      <c r="AJ295" s="6" t="s">
        <v>4167</v>
      </c>
      <c r="AK295" s="6" t="s">
        <v>4168</v>
      </c>
      <c r="AL295" s="6" t="s">
        <v>3476</v>
      </c>
      <c r="AM295" s="6" t="s">
        <v>3198</v>
      </c>
      <c r="AN295" s="6" t="s">
        <v>3199</v>
      </c>
      <c r="AO295" s="6" t="s">
        <v>3200</v>
      </c>
      <c r="AP295" s="6" t="s">
        <v>3192</v>
      </c>
      <c r="AQ295" s="21" t="s">
        <v>4559</v>
      </c>
      <c r="AR295" s="6" t="s">
        <v>4926</v>
      </c>
      <c r="AS295" s="6" t="s">
        <v>4927</v>
      </c>
      <c r="AT295" s="14">
        <v>2</v>
      </c>
      <c r="AU295" s="14">
        <v>2</v>
      </c>
      <c r="AV295" s="14">
        <v>2</v>
      </c>
      <c r="AW295" s="14">
        <v>2</v>
      </c>
      <c r="AX295" s="14">
        <v>2</v>
      </c>
      <c r="AY295" s="14">
        <v>2</v>
      </c>
      <c r="AZ295" s="14">
        <v>2</v>
      </c>
      <c r="BA295" s="2"/>
    </row>
    <row r="296" spans="1:53" ht="44" customHeight="1" x14ac:dyDescent="0.2">
      <c r="A296" s="6">
        <v>11351016</v>
      </c>
      <c r="B296" s="6">
        <v>79541232</v>
      </c>
      <c r="C296" s="8" t="s">
        <v>2166</v>
      </c>
      <c r="D296" s="6" t="s">
        <v>3201</v>
      </c>
      <c r="E296" s="6">
        <f t="shared" si="36"/>
        <v>283</v>
      </c>
      <c r="F296" s="6" t="s">
        <v>3202</v>
      </c>
      <c r="G296" s="6">
        <f t="shared" si="37"/>
        <v>31</v>
      </c>
      <c r="H296" s="9">
        <f t="shared" si="38"/>
        <v>0.89045936395759717</v>
      </c>
      <c r="I296" s="6" t="s">
        <v>5342</v>
      </c>
      <c r="J296" s="6">
        <v>5</v>
      </c>
      <c r="K296" s="9">
        <f t="shared" si="39"/>
        <v>1.7667844522968199E-2</v>
      </c>
      <c r="L296" s="6">
        <v>16</v>
      </c>
      <c r="M296" s="6">
        <v>1</v>
      </c>
      <c r="N296" s="6">
        <v>1</v>
      </c>
      <c r="O296" s="6" t="str">
        <f t="shared" si="40"/>
        <v>Correct</v>
      </c>
      <c r="P296" s="6" t="s">
        <v>3203</v>
      </c>
      <c r="Q296" s="6">
        <v>2</v>
      </c>
      <c r="R296" s="6" t="str">
        <f t="shared" si="41"/>
        <v>Undertriaged</v>
      </c>
      <c r="S296" s="6" t="s">
        <v>3729</v>
      </c>
      <c r="T296" s="14">
        <v>2</v>
      </c>
      <c r="U296" s="6" t="str">
        <f t="shared" si="42"/>
        <v>Undertriaged</v>
      </c>
      <c r="V296" s="15">
        <v>2</v>
      </c>
      <c r="W296" s="15" t="str">
        <f t="shared" si="43"/>
        <v>Undertriaged</v>
      </c>
      <c r="X296" s="14">
        <v>2</v>
      </c>
      <c r="Y296" s="14" t="str">
        <f t="shared" si="44"/>
        <v>Undertriaged</v>
      </c>
      <c r="Z296" s="6">
        <v>295</v>
      </c>
      <c r="AA296" s="6" t="s">
        <v>3204</v>
      </c>
      <c r="AB296" s="6" t="s">
        <v>3205</v>
      </c>
      <c r="AC296" s="6">
        <v>1</v>
      </c>
      <c r="AD296" s="6" t="s">
        <v>40</v>
      </c>
      <c r="AE296" s="6" t="s">
        <v>4169</v>
      </c>
      <c r="AF296" s="6" t="s">
        <v>3206</v>
      </c>
      <c r="AG296" s="6" t="s">
        <v>3207</v>
      </c>
      <c r="AH296" s="6" t="s">
        <v>44</v>
      </c>
      <c r="AI296" s="6" t="s">
        <v>3465</v>
      </c>
      <c r="AJ296" s="6" t="s">
        <v>3208</v>
      </c>
      <c r="AK296" s="6" t="s">
        <v>4170</v>
      </c>
      <c r="AL296" s="6" t="s">
        <v>3476</v>
      </c>
      <c r="AM296" s="6" t="s">
        <v>4928</v>
      </c>
      <c r="AN296" s="6" t="s">
        <v>3209</v>
      </c>
      <c r="AO296" s="6" t="s">
        <v>3210</v>
      </c>
      <c r="AP296" s="6" t="s">
        <v>3201</v>
      </c>
      <c r="AQ296" s="21" t="s">
        <v>4560</v>
      </c>
      <c r="AR296" s="6" t="s">
        <v>3211</v>
      </c>
      <c r="AS296" s="6" t="s">
        <v>4929</v>
      </c>
      <c r="AT296" s="14">
        <v>2</v>
      </c>
      <c r="AU296" s="14">
        <v>2</v>
      </c>
      <c r="AV296" s="14">
        <v>2</v>
      </c>
      <c r="AW296" s="14">
        <v>2</v>
      </c>
      <c r="AX296" s="14">
        <v>2</v>
      </c>
      <c r="AY296" s="14">
        <v>2</v>
      </c>
      <c r="AZ296" s="14">
        <v>2</v>
      </c>
      <c r="BA296" s="2"/>
    </row>
    <row r="297" spans="1:53" ht="44" customHeight="1" x14ac:dyDescent="0.2">
      <c r="A297" s="6">
        <v>11408616</v>
      </c>
      <c r="B297" s="6">
        <v>79572182</v>
      </c>
      <c r="C297" s="8" t="s">
        <v>2166</v>
      </c>
      <c r="D297" s="6" t="s">
        <v>3212</v>
      </c>
      <c r="E297" s="6">
        <f t="shared" si="36"/>
        <v>259</v>
      </c>
      <c r="F297" s="6" t="s">
        <v>3213</v>
      </c>
      <c r="G297" s="6">
        <f t="shared" si="37"/>
        <v>31</v>
      </c>
      <c r="H297" s="9">
        <f t="shared" si="38"/>
        <v>0.88030888030888033</v>
      </c>
      <c r="I297" s="6" t="s">
        <v>5343</v>
      </c>
      <c r="J297" s="6">
        <v>3</v>
      </c>
      <c r="K297" s="9">
        <f t="shared" si="39"/>
        <v>1.1583011583011582E-2</v>
      </c>
      <c r="L297" s="6">
        <v>14</v>
      </c>
      <c r="M297" s="6">
        <v>2</v>
      </c>
      <c r="N297" s="6">
        <v>2</v>
      </c>
      <c r="O297" s="6" t="str">
        <f t="shared" si="40"/>
        <v>Correct</v>
      </c>
      <c r="P297" s="6" t="s">
        <v>3214</v>
      </c>
      <c r="Q297" s="6">
        <v>2</v>
      </c>
      <c r="R297" s="6" t="str">
        <f t="shared" si="41"/>
        <v>Correct</v>
      </c>
      <c r="S297" s="6" t="s">
        <v>3730</v>
      </c>
      <c r="T297" s="14">
        <v>2</v>
      </c>
      <c r="U297" s="6" t="str">
        <f t="shared" si="42"/>
        <v>Correct</v>
      </c>
      <c r="V297" s="15">
        <v>2</v>
      </c>
      <c r="W297" s="15" t="str">
        <f t="shared" si="43"/>
        <v>Correct</v>
      </c>
      <c r="X297" s="14">
        <v>2</v>
      </c>
      <c r="Y297" s="14" t="str">
        <f t="shared" si="44"/>
        <v>Correct</v>
      </c>
      <c r="Z297" s="6">
        <v>296</v>
      </c>
      <c r="AA297" s="6" t="s">
        <v>499</v>
      </c>
      <c r="AB297" s="6" t="s">
        <v>3215</v>
      </c>
      <c r="AC297" s="6">
        <v>1</v>
      </c>
      <c r="AD297" s="6" t="s">
        <v>40</v>
      </c>
      <c r="AE297" s="6" t="s">
        <v>843</v>
      </c>
      <c r="AF297" s="6" t="s">
        <v>2798</v>
      </c>
      <c r="AG297" s="6" t="s">
        <v>3216</v>
      </c>
      <c r="AH297" s="6" t="s">
        <v>44</v>
      </c>
      <c r="AI297" s="6" t="s">
        <v>4376</v>
      </c>
      <c r="AJ297" s="6" t="s">
        <v>4171</v>
      </c>
      <c r="AK297" s="6" t="s">
        <v>4172</v>
      </c>
      <c r="AL297" s="6" t="s">
        <v>3476</v>
      </c>
      <c r="AM297" s="6" t="s">
        <v>3217</v>
      </c>
      <c r="AN297" s="6" t="s">
        <v>3218</v>
      </c>
      <c r="AO297" s="6" t="s">
        <v>3219</v>
      </c>
      <c r="AP297" s="6" t="s">
        <v>3212</v>
      </c>
      <c r="AQ297" s="21" t="s">
        <v>4561</v>
      </c>
      <c r="AR297" s="6" t="s">
        <v>4930</v>
      </c>
      <c r="AS297" s="6" t="s">
        <v>4931</v>
      </c>
      <c r="AT297" s="14">
        <v>2</v>
      </c>
      <c r="AU297" s="14">
        <v>2</v>
      </c>
      <c r="AV297" s="14">
        <v>2</v>
      </c>
      <c r="AW297" s="14">
        <v>2</v>
      </c>
      <c r="AX297" s="14">
        <v>2</v>
      </c>
      <c r="AY297" s="14">
        <v>2</v>
      </c>
      <c r="AZ297" s="14">
        <v>2</v>
      </c>
      <c r="BA297" s="2"/>
    </row>
    <row r="298" spans="1:53" ht="44" customHeight="1" x14ac:dyDescent="0.2">
      <c r="A298" s="6">
        <v>11125116</v>
      </c>
      <c r="B298" s="6">
        <v>79585265</v>
      </c>
      <c r="C298" s="8" t="s">
        <v>2166</v>
      </c>
      <c r="D298" s="6" t="s">
        <v>3220</v>
      </c>
      <c r="E298" s="6">
        <f t="shared" si="36"/>
        <v>165</v>
      </c>
      <c r="F298" s="6" t="s">
        <v>3221</v>
      </c>
      <c r="G298" s="6">
        <f t="shared" si="37"/>
        <v>32</v>
      </c>
      <c r="H298" s="9">
        <f t="shared" si="38"/>
        <v>0.80606060606060603</v>
      </c>
      <c r="I298" s="6" t="s">
        <v>5344</v>
      </c>
      <c r="J298" s="6">
        <v>3</v>
      </c>
      <c r="K298" s="9">
        <f t="shared" si="39"/>
        <v>1.8181818181818181E-2</v>
      </c>
      <c r="L298" s="6">
        <v>9</v>
      </c>
      <c r="M298" s="6">
        <v>2</v>
      </c>
      <c r="N298" s="6">
        <v>2</v>
      </c>
      <c r="O298" s="6" t="str">
        <f t="shared" si="40"/>
        <v>Correct</v>
      </c>
      <c r="P298" s="6" t="s">
        <v>3222</v>
      </c>
      <c r="Q298" s="6">
        <v>2</v>
      </c>
      <c r="R298" s="6" t="str">
        <f t="shared" si="41"/>
        <v>Correct</v>
      </c>
      <c r="S298" s="6" t="s">
        <v>3731</v>
      </c>
      <c r="T298" s="14">
        <v>2</v>
      </c>
      <c r="U298" s="6" t="str">
        <f t="shared" si="42"/>
        <v>Correct</v>
      </c>
      <c r="V298" s="15">
        <v>2</v>
      </c>
      <c r="W298" s="15" t="str">
        <f t="shared" si="43"/>
        <v>Correct</v>
      </c>
      <c r="X298" s="14">
        <v>2</v>
      </c>
      <c r="Y298" s="14" t="str">
        <f t="shared" si="44"/>
        <v>Correct</v>
      </c>
      <c r="Z298" s="6">
        <v>297</v>
      </c>
      <c r="AA298" s="6" t="s">
        <v>675</v>
      </c>
      <c r="AB298" s="6" t="s">
        <v>3223</v>
      </c>
      <c r="AC298" s="6">
        <v>1</v>
      </c>
      <c r="AD298" s="6" t="s">
        <v>40</v>
      </c>
      <c r="AE298" s="6" t="s">
        <v>3224</v>
      </c>
      <c r="AF298" s="6" t="s">
        <v>3225</v>
      </c>
      <c r="AG298" s="6" t="s">
        <v>3226</v>
      </c>
      <c r="AH298" s="6" t="s">
        <v>44</v>
      </c>
      <c r="AI298" s="6" t="s">
        <v>3227</v>
      </c>
      <c r="AJ298" s="6" t="s">
        <v>4173</v>
      </c>
      <c r="AK298" s="6" t="s">
        <v>4174</v>
      </c>
      <c r="AL298" s="6" t="s">
        <v>3476</v>
      </c>
      <c r="AM298" s="6" t="s">
        <v>3228</v>
      </c>
      <c r="AN298" s="6" t="s">
        <v>3229</v>
      </c>
      <c r="AO298" s="6" t="s">
        <v>3230</v>
      </c>
      <c r="AP298" s="6" t="s">
        <v>3220</v>
      </c>
      <c r="AQ298" s="21" t="s">
        <v>3231</v>
      </c>
      <c r="AR298" s="6" t="s">
        <v>4932</v>
      </c>
      <c r="AS298" s="6" t="s">
        <v>4933</v>
      </c>
      <c r="AT298" s="14">
        <v>2</v>
      </c>
      <c r="AU298" s="14">
        <v>2</v>
      </c>
      <c r="AV298" s="14">
        <v>2</v>
      </c>
      <c r="AW298" s="14">
        <v>2</v>
      </c>
      <c r="AX298" s="14">
        <v>2</v>
      </c>
      <c r="AY298" s="14">
        <v>2</v>
      </c>
      <c r="AZ298" s="14">
        <v>2</v>
      </c>
      <c r="BA298" s="2"/>
    </row>
    <row r="299" spans="1:53" ht="44" customHeight="1" x14ac:dyDescent="0.2">
      <c r="A299" s="6">
        <v>1350516</v>
      </c>
      <c r="B299" s="6">
        <v>79682453</v>
      </c>
      <c r="C299" s="8" t="s">
        <v>2166</v>
      </c>
      <c r="D299" s="6" t="s">
        <v>3232</v>
      </c>
      <c r="E299" s="6">
        <f t="shared" si="36"/>
        <v>502</v>
      </c>
      <c r="F299" s="6" t="s">
        <v>3233</v>
      </c>
      <c r="G299" s="6">
        <f t="shared" si="37"/>
        <v>29</v>
      </c>
      <c r="H299" s="9">
        <f t="shared" si="38"/>
        <v>0.94223107569721121</v>
      </c>
      <c r="I299" s="6" t="s">
        <v>5345</v>
      </c>
      <c r="J299" s="6">
        <v>7</v>
      </c>
      <c r="K299" s="9">
        <f t="shared" si="39"/>
        <v>1.3944223107569721E-2</v>
      </c>
      <c r="L299" s="6">
        <v>1</v>
      </c>
      <c r="M299" s="6">
        <v>2</v>
      </c>
      <c r="N299" s="6">
        <v>2</v>
      </c>
      <c r="O299" s="6" t="str">
        <f t="shared" si="40"/>
        <v>Correct</v>
      </c>
      <c r="P299" s="6" t="s">
        <v>3234</v>
      </c>
      <c r="Q299" s="6">
        <v>2</v>
      </c>
      <c r="R299" s="6" t="str">
        <f t="shared" si="41"/>
        <v>Correct</v>
      </c>
      <c r="S299" s="6" t="s">
        <v>3732</v>
      </c>
      <c r="T299" s="14">
        <v>2</v>
      </c>
      <c r="U299" s="6" t="str">
        <f t="shared" si="42"/>
        <v>Correct</v>
      </c>
      <c r="V299" s="15">
        <v>2</v>
      </c>
      <c r="W299" s="15" t="str">
        <f t="shared" si="43"/>
        <v>Correct</v>
      </c>
      <c r="X299" s="14">
        <v>2</v>
      </c>
      <c r="Y299" s="14" t="str">
        <f t="shared" si="44"/>
        <v>Correct</v>
      </c>
      <c r="Z299" s="6">
        <v>298</v>
      </c>
      <c r="AA299" s="6" t="s">
        <v>2405</v>
      </c>
      <c r="AB299" s="6" t="s">
        <v>3235</v>
      </c>
      <c r="AC299" s="6">
        <v>1</v>
      </c>
      <c r="AD299" s="6" t="s">
        <v>40</v>
      </c>
      <c r="AE299" s="6" t="s">
        <v>4175</v>
      </c>
      <c r="AF299" s="6" t="s">
        <v>3236</v>
      </c>
      <c r="AG299" s="6" t="s">
        <v>4176</v>
      </c>
      <c r="AH299" s="6" t="s">
        <v>44</v>
      </c>
      <c r="AI299" s="6" t="s">
        <v>3466</v>
      </c>
      <c r="AJ299" s="6" t="s">
        <v>4177</v>
      </c>
      <c r="AK299" s="6" t="s">
        <v>4178</v>
      </c>
      <c r="AL299" s="6" t="s">
        <v>3476</v>
      </c>
      <c r="AM299" s="6" t="s">
        <v>4934</v>
      </c>
      <c r="AN299" s="6" t="s">
        <v>3237</v>
      </c>
      <c r="AO299" s="6" t="s">
        <v>4935</v>
      </c>
      <c r="AP299" s="6" t="s">
        <v>3232</v>
      </c>
      <c r="AQ299" s="21" t="s">
        <v>4562</v>
      </c>
      <c r="AR299" s="6" t="s">
        <v>4936</v>
      </c>
      <c r="AS299" s="6" t="s">
        <v>4937</v>
      </c>
      <c r="AT299" s="14">
        <v>2</v>
      </c>
      <c r="AU299" s="14">
        <v>2</v>
      </c>
      <c r="AV299" s="14">
        <v>2</v>
      </c>
      <c r="AW299" s="14">
        <v>2</v>
      </c>
      <c r="AX299" s="14">
        <v>2</v>
      </c>
      <c r="AY299" s="14">
        <v>2</v>
      </c>
      <c r="AZ299" s="14">
        <v>2</v>
      </c>
      <c r="BA299" s="2"/>
    </row>
    <row r="300" spans="1:53" ht="44" customHeight="1" x14ac:dyDescent="0.2">
      <c r="A300" s="6">
        <v>1126731</v>
      </c>
      <c r="B300" s="6">
        <v>79716208</v>
      </c>
      <c r="C300" s="8" t="s">
        <v>2166</v>
      </c>
      <c r="D300" s="6" t="s">
        <v>3238</v>
      </c>
      <c r="E300" s="6">
        <f t="shared" si="36"/>
        <v>488</v>
      </c>
      <c r="F300" s="6" t="s">
        <v>3239</v>
      </c>
      <c r="G300" s="6">
        <f t="shared" si="37"/>
        <v>38</v>
      </c>
      <c r="H300" s="9">
        <f t="shared" si="38"/>
        <v>0.92213114754098358</v>
      </c>
      <c r="I300" s="6" t="s">
        <v>5346</v>
      </c>
      <c r="J300" s="6">
        <v>4</v>
      </c>
      <c r="K300" s="9">
        <f t="shared" si="39"/>
        <v>8.1967213114754103E-3</v>
      </c>
      <c r="L300" s="6">
        <v>10</v>
      </c>
      <c r="M300" s="6">
        <v>2</v>
      </c>
      <c r="N300" s="6">
        <v>1</v>
      </c>
      <c r="O300" s="6" t="str">
        <f t="shared" si="40"/>
        <v>Overtriaged</v>
      </c>
      <c r="P300" s="6" t="s">
        <v>3240</v>
      </c>
      <c r="Q300" s="6">
        <v>1</v>
      </c>
      <c r="R300" s="6" t="str">
        <f t="shared" si="41"/>
        <v>Overtriaged</v>
      </c>
      <c r="S300" s="6" t="s">
        <v>3842</v>
      </c>
      <c r="T300" s="14">
        <v>1</v>
      </c>
      <c r="U300" s="6" t="str">
        <f t="shared" si="42"/>
        <v>Overtriaged</v>
      </c>
      <c r="V300" s="15">
        <v>1</v>
      </c>
      <c r="W300" s="15" t="str">
        <f t="shared" si="43"/>
        <v>Overtriaged</v>
      </c>
      <c r="X300" s="14">
        <v>1</v>
      </c>
      <c r="Y300" s="14" t="str">
        <f t="shared" si="44"/>
        <v>Overtriaged</v>
      </c>
      <c r="Z300" s="6">
        <v>299</v>
      </c>
      <c r="AA300" s="6" t="s">
        <v>3241</v>
      </c>
      <c r="AB300" s="6" t="s">
        <v>3242</v>
      </c>
      <c r="AC300" s="6">
        <v>1</v>
      </c>
      <c r="AD300" s="6" t="s">
        <v>40</v>
      </c>
      <c r="AE300" s="6" t="s">
        <v>3243</v>
      </c>
      <c r="AF300" s="6" t="s">
        <v>3244</v>
      </c>
      <c r="AG300" s="6" t="s">
        <v>3245</v>
      </c>
      <c r="AH300" s="6" t="s">
        <v>3246</v>
      </c>
      <c r="AI300" s="6" t="s">
        <v>4377</v>
      </c>
      <c r="AJ300" s="6" t="s">
        <v>4179</v>
      </c>
      <c r="AK300" s="6" t="s">
        <v>4180</v>
      </c>
      <c r="AL300" s="6" t="s">
        <v>3477</v>
      </c>
      <c r="AM300" s="6" t="s">
        <v>3247</v>
      </c>
      <c r="AN300" s="6" t="s">
        <v>3248</v>
      </c>
      <c r="AO300" s="6" t="s">
        <v>3249</v>
      </c>
      <c r="AP300" s="6" t="s">
        <v>3250</v>
      </c>
      <c r="AQ300" s="21" t="s">
        <v>4563</v>
      </c>
      <c r="AR300" s="6" t="s">
        <v>4938</v>
      </c>
      <c r="AS300" s="6" t="s">
        <v>4939</v>
      </c>
      <c r="AT300" s="14">
        <v>1</v>
      </c>
      <c r="AU300" s="14">
        <v>1</v>
      </c>
      <c r="AV300" s="14">
        <v>1</v>
      </c>
      <c r="AW300" s="14">
        <v>1</v>
      </c>
      <c r="AX300" s="14">
        <v>1</v>
      </c>
      <c r="AY300" s="14">
        <v>1</v>
      </c>
      <c r="AZ300" s="14">
        <v>1</v>
      </c>
      <c r="BA300" s="2"/>
    </row>
    <row r="301" spans="1:53" ht="44" customHeight="1" x14ac:dyDescent="0.2">
      <c r="A301" s="6">
        <v>1126371</v>
      </c>
      <c r="B301" s="6">
        <v>79719053</v>
      </c>
      <c r="C301" s="8" t="s">
        <v>2166</v>
      </c>
      <c r="D301" s="6" t="s">
        <v>3251</v>
      </c>
      <c r="E301" s="6">
        <f t="shared" si="36"/>
        <v>310</v>
      </c>
      <c r="F301" s="6" t="s">
        <v>3252</v>
      </c>
      <c r="G301" s="6">
        <f t="shared" si="37"/>
        <v>41</v>
      </c>
      <c r="H301" s="9">
        <f t="shared" si="38"/>
        <v>0.86774193548387102</v>
      </c>
      <c r="I301" s="6" t="s">
        <v>5347</v>
      </c>
      <c r="J301" s="6">
        <v>9</v>
      </c>
      <c r="K301" s="9">
        <f t="shared" si="39"/>
        <v>2.903225806451613E-2</v>
      </c>
      <c r="L301" s="6">
        <v>5</v>
      </c>
      <c r="M301" s="6">
        <v>2</v>
      </c>
      <c r="N301" s="6">
        <v>2</v>
      </c>
      <c r="O301" s="6" t="str">
        <f t="shared" si="40"/>
        <v>Correct</v>
      </c>
      <c r="P301" s="6" t="s">
        <v>3253</v>
      </c>
      <c r="Q301" s="6">
        <v>2</v>
      </c>
      <c r="R301" s="6" t="str">
        <f t="shared" si="41"/>
        <v>Correct</v>
      </c>
      <c r="S301" s="6" t="s">
        <v>3733</v>
      </c>
      <c r="T301" s="14">
        <v>2</v>
      </c>
      <c r="U301" s="6" t="str">
        <f t="shared" si="42"/>
        <v>Correct</v>
      </c>
      <c r="V301" s="15">
        <v>2</v>
      </c>
      <c r="W301" s="15" t="str">
        <f t="shared" si="43"/>
        <v>Correct</v>
      </c>
      <c r="X301" s="14">
        <v>2</v>
      </c>
      <c r="Y301" s="14" t="str">
        <f t="shared" si="44"/>
        <v>Correct</v>
      </c>
      <c r="Z301" s="6">
        <v>300</v>
      </c>
      <c r="AA301" s="6" t="s">
        <v>3254</v>
      </c>
      <c r="AB301" s="6" t="s">
        <v>3255</v>
      </c>
      <c r="AC301" s="6">
        <v>1</v>
      </c>
      <c r="AD301" s="6" t="s">
        <v>40</v>
      </c>
      <c r="AE301" s="6" t="s">
        <v>3256</v>
      </c>
      <c r="AF301" s="6" t="s">
        <v>3257</v>
      </c>
      <c r="AG301" s="6" t="s">
        <v>3258</v>
      </c>
      <c r="AH301" s="6" t="s">
        <v>3259</v>
      </c>
      <c r="AI301" s="6" t="s">
        <v>44</v>
      </c>
      <c r="AJ301" s="6" t="s">
        <v>4181</v>
      </c>
      <c r="AK301" s="6" t="s">
        <v>4182</v>
      </c>
      <c r="AL301" s="6" t="s">
        <v>3477</v>
      </c>
      <c r="AM301" s="6" t="s">
        <v>3260</v>
      </c>
      <c r="AN301" s="6" t="s">
        <v>3261</v>
      </c>
      <c r="AO301" s="6" t="s">
        <v>3262</v>
      </c>
      <c r="AP301" s="6" t="s">
        <v>3263</v>
      </c>
      <c r="AQ301" s="21" t="s">
        <v>3251</v>
      </c>
      <c r="AR301" s="6" t="s">
        <v>4940</v>
      </c>
      <c r="AS301" s="6" t="s">
        <v>4941</v>
      </c>
      <c r="AT301" s="14">
        <v>2</v>
      </c>
      <c r="AU301" s="14">
        <v>2</v>
      </c>
      <c r="AV301" s="14">
        <v>2</v>
      </c>
      <c r="AW301" s="14">
        <v>2</v>
      </c>
      <c r="AX301" s="14">
        <v>2</v>
      </c>
      <c r="AY301" s="14">
        <v>2</v>
      </c>
      <c r="AZ301" s="14">
        <v>2</v>
      </c>
      <c r="BA301" s="2"/>
    </row>
    <row r="302" spans="1:53" ht="44" customHeight="1" x14ac:dyDescent="0.2">
      <c r="A302" s="6">
        <v>1095801</v>
      </c>
      <c r="B302" s="6">
        <v>79721920</v>
      </c>
      <c r="C302" s="8" t="s">
        <v>2166</v>
      </c>
      <c r="D302" s="6" t="s">
        <v>3264</v>
      </c>
      <c r="E302" s="6">
        <f t="shared" si="36"/>
        <v>189</v>
      </c>
      <c r="F302" s="6" t="s">
        <v>3265</v>
      </c>
      <c r="G302" s="6">
        <f t="shared" si="37"/>
        <v>35</v>
      </c>
      <c r="H302" s="9">
        <f t="shared" si="38"/>
        <v>0.81481481481481477</v>
      </c>
      <c r="I302" s="6"/>
      <c r="J302" s="6">
        <v>0</v>
      </c>
      <c r="K302" s="9">
        <f t="shared" si="39"/>
        <v>0</v>
      </c>
      <c r="L302" s="6">
        <v>36</v>
      </c>
      <c r="M302" s="6">
        <v>1</v>
      </c>
      <c r="N302" s="6">
        <v>1</v>
      </c>
      <c r="O302" s="6" t="str">
        <f t="shared" si="40"/>
        <v>Correct</v>
      </c>
      <c r="P302" s="6" t="s">
        <v>3266</v>
      </c>
      <c r="Q302" s="6">
        <v>1</v>
      </c>
      <c r="R302" s="6" t="str">
        <f t="shared" si="41"/>
        <v>Correct</v>
      </c>
      <c r="S302" s="6" t="s">
        <v>3843</v>
      </c>
      <c r="T302" s="14">
        <v>1</v>
      </c>
      <c r="U302" s="6" t="str">
        <f t="shared" si="42"/>
        <v>Correct</v>
      </c>
      <c r="V302" s="15">
        <v>1</v>
      </c>
      <c r="W302" s="15" t="str">
        <f t="shared" si="43"/>
        <v>Correct</v>
      </c>
      <c r="X302" s="14">
        <v>1</v>
      </c>
      <c r="Y302" s="14" t="str">
        <f t="shared" si="44"/>
        <v>Correct</v>
      </c>
      <c r="Z302" s="6">
        <v>301</v>
      </c>
      <c r="AA302" s="6" t="s">
        <v>3267</v>
      </c>
      <c r="AB302" s="6" t="s">
        <v>3268</v>
      </c>
      <c r="AC302" s="6">
        <v>1</v>
      </c>
      <c r="AD302" s="6" t="s">
        <v>40</v>
      </c>
      <c r="AE302" s="6" t="s">
        <v>3269</v>
      </c>
      <c r="AF302" s="6" t="s">
        <v>3270</v>
      </c>
      <c r="AG302" s="6" t="s">
        <v>3271</v>
      </c>
      <c r="AH302" s="6" t="s">
        <v>3272</v>
      </c>
      <c r="AI302" s="6" t="s">
        <v>4378</v>
      </c>
      <c r="AJ302" s="6" t="s">
        <v>3273</v>
      </c>
      <c r="AK302" s="6" t="s">
        <v>3274</v>
      </c>
      <c r="AL302" s="6" t="s">
        <v>3477</v>
      </c>
      <c r="AM302" s="6" t="s">
        <v>4942</v>
      </c>
      <c r="AN302" s="6" t="s">
        <v>3275</v>
      </c>
      <c r="AO302" s="6" t="s">
        <v>3276</v>
      </c>
      <c r="AP302" s="6" t="s">
        <v>3277</v>
      </c>
      <c r="AQ302" s="21" t="s">
        <v>4564</v>
      </c>
      <c r="AR302" s="6" t="s">
        <v>3278</v>
      </c>
      <c r="AS302" s="6" t="s">
        <v>3279</v>
      </c>
      <c r="AT302" s="14">
        <v>1</v>
      </c>
      <c r="AU302" s="14">
        <v>1</v>
      </c>
      <c r="AV302" s="14">
        <v>1</v>
      </c>
      <c r="AW302" s="14">
        <v>1</v>
      </c>
      <c r="AX302" s="14">
        <v>1</v>
      </c>
      <c r="AY302" s="14">
        <v>1</v>
      </c>
      <c r="AZ302" s="14">
        <v>1</v>
      </c>
      <c r="BA302" s="2"/>
    </row>
    <row r="303" spans="1:53" ht="44" customHeight="1" x14ac:dyDescent="0.2">
      <c r="A303" s="6">
        <v>1147821</v>
      </c>
      <c r="B303" s="6">
        <v>79862673</v>
      </c>
      <c r="C303" s="8" t="s">
        <v>2166</v>
      </c>
      <c r="D303" s="6" t="s">
        <v>3280</v>
      </c>
      <c r="E303" s="6">
        <f t="shared" si="36"/>
        <v>293</v>
      </c>
      <c r="F303" s="6" t="s">
        <v>3282</v>
      </c>
      <c r="G303" s="6">
        <f t="shared" si="37"/>
        <v>30</v>
      </c>
      <c r="H303" s="9">
        <f t="shared" si="38"/>
        <v>0.89761092150170652</v>
      </c>
      <c r="I303" s="6" t="s">
        <v>5348</v>
      </c>
      <c r="J303" s="6">
        <v>3</v>
      </c>
      <c r="K303" s="9">
        <f t="shared" si="39"/>
        <v>1.0238907849829351E-2</v>
      </c>
      <c r="L303" s="6">
        <v>30</v>
      </c>
      <c r="M303" s="6">
        <v>1</v>
      </c>
      <c r="N303" s="6">
        <v>1</v>
      </c>
      <c r="O303" s="6" t="str">
        <f t="shared" si="40"/>
        <v>Correct</v>
      </c>
      <c r="P303" s="6" t="s">
        <v>3283</v>
      </c>
      <c r="Q303" s="6">
        <v>1</v>
      </c>
      <c r="R303" s="6" t="str">
        <f t="shared" si="41"/>
        <v>Correct</v>
      </c>
      <c r="S303" s="6" t="s">
        <v>3281</v>
      </c>
      <c r="T303" s="14">
        <v>1</v>
      </c>
      <c r="U303" s="6" t="str">
        <f t="shared" si="42"/>
        <v>Correct</v>
      </c>
      <c r="V303" s="15">
        <v>1</v>
      </c>
      <c r="W303" s="15" t="str">
        <f t="shared" si="43"/>
        <v>Correct</v>
      </c>
      <c r="X303" s="14">
        <v>1</v>
      </c>
      <c r="Y303" s="14" t="str">
        <f t="shared" si="44"/>
        <v>Correct</v>
      </c>
      <c r="Z303" s="6">
        <v>302</v>
      </c>
      <c r="AA303" s="6" t="s">
        <v>3284</v>
      </c>
      <c r="AB303" s="6" t="s">
        <v>3285</v>
      </c>
      <c r="AC303" s="6">
        <v>1</v>
      </c>
      <c r="AD303" s="6" t="s">
        <v>40</v>
      </c>
      <c r="AE303" s="6" t="s">
        <v>2586</v>
      </c>
      <c r="AF303" s="6" t="s">
        <v>3286</v>
      </c>
      <c r="AG303" s="6" t="s">
        <v>3287</v>
      </c>
      <c r="AH303" s="6" t="s">
        <v>4183</v>
      </c>
      <c r="AI303" s="6" t="s">
        <v>164</v>
      </c>
      <c r="AJ303" s="6" t="s">
        <v>4184</v>
      </c>
      <c r="AK303" s="6" t="s">
        <v>3288</v>
      </c>
      <c r="AL303" s="6" t="s">
        <v>3477</v>
      </c>
      <c r="AM303" s="6" t="s">
        <v>3289</v>
      </c>
      <c r="AN303" s="6" t="s">
        <v>3290</v>
      </c>
      <c r="AO303" s="6" t="s">
        <v>3291</v>
      </c>
      <c r="AP303" s="6" t="s">
        <v>4943</v>
      </c>
      <c r="AQ303" s="21" t="s">
        <v>3292</v>
      </c>
      <c r="AR303" s="6" t="s">
        <v>4944</v>
      </c>
      <c r="AS303" s="6" t="s">
        <v>3293</v>
      </c>
      <c r="AT303" s="14">
        <v>1</v>
      </c>
      <c r="AU303" s="14">
        <v>1</v>
      </c>
      <c r="AV303" s="14">
        <v>1</v>
      </c>
      <c r="AW303" s="14">
        <v>1</v>
      </c>
      <c r="AX303" s="14">
        <v>1</v>
      </c>
      <c r="AY303" s="14">
        <v>1</v>
      </c>
      <c r="AZ303" s="14">
        <v>1</v>
      </c>
      <c r="BA303" s="2"/>
    </row>
    <row r="304" spans="1:53" ht="44" customHeight="1" x14ac:dyDescent="0.2">
      <c r="A304" s="6">
        <v>1129751</v>
      </c>
      <c r="B304" s="6">
        <v>79994856</v>
      </c>
      <c r="C304" s="8" t="s">
        <v>2166</v>
      </c>
      <c r="D304" s="6" t="s">
        <v>3294</v>
      </c>
      <c r="E304" s="6">
        <f t="shared" si="36"/>
        <v>247</v>
      </c>
      <c r="F304" s="6" t="s">
        <v>3295</v>
      </c>
      <c r="G304" s="6">
        <f t="shared" si="37"/>
        <v>19</v>
      </c>
      <c r="H304" s="9">
        <f t="shared" si="38"/>
        <v>0.92307692307692313</v>
      </c>
      <c r="I304" s="6" t="s">
        <v>5349</v>
      </c>
      <c r="J304" s="6">
        <v>8</v>
      </c>
      <c r="K304" s="9">
        <f t="shared" si="39"/>
        <v>3.2388663967611336E-2</v>
      </c>
      <c r="L304" s="6">
        <v>4</v>
      </c>
      <c r="M304" s="6">
        <v>2</v>
      </c>
      <c r="N304" s="6">
        <v>2</v>
      </c>
      <c r="O304" s="6" t="str">
        <f t="shared" si="40"/>
        <v>Correct</v>
      </c>
      <c r="P304" s="6" t="s">
        <v>3296</v>
      </c>
      <c r="Q304" s="6">
        <v>2</v>
      </c>
      <c r="R304" s="6" t="str">
        <f t="shared" si="41"/>
        <v>Correct</v>
      </c>
      <c r="S304" s="6" t="s">
        <v>3734</v>
      </c>
      <c r="T304" s="14">
        <v>2</v>
      </c>
      <c r="U304" s="6" t="str">
        <f t="shared" si="42"/>
        <v>Correct</v>
      </c>
      <c r="V304" s="15">
        <v>2</v>
      </c>
      <c r="W304" s="15" t="str">
        <f t="shared" si="43"/>
        <v>Correct</v>
      </c>
      <c r="X304" s="14">
        <v>2</v>
      </c>
      <c r="Y304" s="14" t="str">
        <f t="shared" si="44"/>
        <v>Correct</v>
      </c>
      <c r="Z304" s="6">
        <v>303</v>
      </c>
      <c r="AA304" s="6" t="s">
        <v>3297</v>
      </c>
      <c r="AB304" s="6" t="s">
        <v>3298</v>
      </c>
      <c r="AC304" s="6">
        <v>1</v>
      </c>
      <c r="AD304" s="6" t="s">
        <v>40</v>
      </c>
      <c r="AE304" s="6" t="s">
        <v>4185</v>
      </c>
      <c r="AF304" s="6" t="s">
        <v>3299</v>
      </c>
      <c r="AG304" s="6" t="s">
        <v>3300</v>
      </c>
      <c r="AH304" s="6" t="s">
        <v>44</v>
      </c>
      <c r="AI304" s="6" t="s">
        <v>44</v>
      </c>
      <c r="AJ304" s="6" t="s">
        <v>3301</v>
      </c>
      <c r="AK304" s="6" t="s">
        <v>4186</v>
      </c>
      <c r="AL304" s="6" t="s">
        <v>3476</v>
      </c>
      <c r="AM304" s="6" t="s">
        <v>4945</v>
      </c>
      <c r="AN304" s="6" t="s">
        <v>3302</v>
      </c>
      <c r="AO304" s="6" t="s">
        <v>3303</v>
      </c>
      <c r="AP304" s="6" t="s">
        <v>3294</v>
      </c>
      <c r="AQ304" s="21" t="s">
        <v>3294</v>
      </c>
      <c r="AR304" s="6" t="s">
        <v>3304</v>
      </c>
      <c r="AS304" s="6" t="s">
        <v>4946</v>
      </c>
      <c r="AT304" s="14">
        <v>2</v>
      </c>
      <c r="AU304" s="14">
        <v>2</v>
      </c>
      <c r="AV304" s="14">
        <v>2</v>
      </c>
      <c r="AW304" s="14">
        <v>2</v>
      </c>
      <c r="AX304" s="14">
        <v>2</v>
      </c>
      <c r="AY304" s="14">
        <v>2</v>
      </c>
      <c r="AZ304" s="14">
        <v>2</v>
      </c>
      <c r="BA304" s="2"/>
    </row>
    <row r="305" spans="1:53" ht="44" customHeight="1" x14ac:dyDescent="0.2">
      <c r="A305" s="6">
        <v>11399017</v>
      </c>
      <c r="B305" s="6">
        <v>80057075</v>
      </c>
      <c r="C305" s="8" t="s">
        <v>2166</v>
      </c>
      <c r="D305" s="6" t="s">
        <v>3305</v>
      </c>
      <c r="E305" s="6">
        <f t="shared" si="36"/>
        <v>130</v>
      </c>
      <c r="F305" s="6" t="s">
        <v>3306</v>
      </c>
      <c r="G305" s="6">
        <f t="shared" si="37"/>
        <v>8</v>
      </c>
      <c r="H305" s="9">
        <f t="shared" si="38"/>
        <v>0.93846153846153846</v>
      </c>
      <c r="I305" s="6"/>
      <c r="J305" s="6">
        <v>0</v>
      </c>
      <c r="K305" s="9">
        <f t="shared" si="39"/>
        <v>0</v>
      </c>
      <c r="L305" s="6">
        <v>4</v>
      </c>
      <c r="M305" s="6">
        <v>2</v>
      </c>
      <c r="N305" s="6">
        <v>2</v>
      </c>
      <c r="O305" s="6" t="str">
        <f t="shared" si="40"/>
        <v>Correct</v>
      </c>
      <c r="P305" s="6" t="s">
        <v>3307</v>
      </c>
      <c r="Q305" s="6">
        <v>2</v>
      </c>
      <c r="R305" s="6" t="str">
        <f t="shared" si="41"/>
        <v>Correct</v>
      </c>
      <c r="S305" s="6" t="s">
        <v>3844</v>
      </c>
      <c r="T305" s="14">
        <v>1</v>
      </c>
      <c r="U305" s="6" t="str">
        <f t="shared" si="42"/>
        <v>Overtriaged</v>
      </c>
      <c r="V305" s="15">
        <v>1</v>
      </c>
      <c r="W305" s="15" t="str">
        <f t="shared" si="43"/>
        <v>Overtriaged</v>
      </c>
      <c r="X305" s="14">
        <v>2</v>
      </c>
      <c r="Y305" s="14" t="str">
        <f t="shared" si="44"/>
        <v>Correct</v>
      </c>
      <c r="Z305" s="6">
        <v>304</v>
      </c>
      <c r="AA305" s="6" t="s">
        <v>3308</v>
      </c>
      <c r="AB305" s="6" t="s">
        <v>3309</v>
      </c>
      <c r="AC305" s="6">
        <v>1</v>
      </c>
      <c r="AD305" s="6" t="s">
        <v>40</v>
      </c>
      <c r="AE305" s="6" t="s">
        <v>3310</v>
      </c>
      <c r="AF305" s="6" t="s">
        <v>44</v>
      </c>
      <c r="AG305" s="6" t="s">
        <v>44</v>
      </c>
      <c r="AH305" s="6" t="s">
        <v>44</v>
      </c>
      <c r="AI305" s="6" t="s">
        <v>3409</v>
      </c>
      <c r="AJ305" s="6" t="s">
        <v>3311</v>
      </c>
      <c r="AK305" s="6" t="s">
        <v>3312</v>
      </c>
      <c r="AL305" s="6" t="s">
        <v>3480</v>
      </c>
      <c r="AM305" s="6" t="s">
        <v>3313</v>
      </c>
      <c r="AN305" s="6" t="s">
        <v>3305</v>
      </c>
      <c r="AO305" s="6" t="s">
        <v>3305</v>
      </c>
      <c r="AP305" s="6" t="s">
        <v>3305</v>
      </c>
      <c r="AQ305" s="21" t="s">
        <v>4565</v>
      </c>
      <c r="AR305" s="6" t="s">
        <v>3314</v>
      </c>
      <c r="AS305" s="6" t="s">
        <v>3315</v>
      </c>
      <c r="AT305" s="14">
        <v>2</v>
      </c>
      <c r="AU305" s="14">
        <v>1</v>
      </c>
      <c r="AV305" s="14">
        <v>2</v>
      </c>
      <c r="AW305" s="14">
        <v>1</v>
      </c>
      <c r="AX305" s="14">
        <v>2</v>
      </c>
      <c r="AY305" s="14">
        <v>2</v>
      </c>
      <c r="AZ305" s="14">
        <v>2</v>
      </c>
      <c r="BA305" s="2"/>
    </row>
    <row r="306" spans="1:53" ht="44" customHeight="1" x14ac:dyDescent="0.2">
      <c r="A306" s="6">
        <v>1141311</v>
      </c>
      <c r="B306" s="6">
        <v>79550140</v>
      </c>
      <c r="C306" s="8" t="s">
        <v>2166</v>
      </c>
      <c r="D306" s="6" t="s">
        <v>3316</v>
      </c>
      <c r="E306" s="6">
        <f t="shared" si="36"/>
        <v>275</v>
      </c>
      <c r="F306" s="6" t="s">
        <v>3317</v>
      </c>
      <c r="G306" s="6">
        <f t="shared" si="37"/>
        <v>39</v>
      </c>
      <c r="H306" s="9">
        <f t="shared" si="38"/>
        <v>0.85818181818181816</v>
      </c>
      <c r="I306" s="6" t="s">
        <v>5350</v>
      </c>
      <c r="J306" s="6">
        <v>3</v>
      </c>
      <c r="K306" s="9">
        <f t="shared" si="39"/>
        <v>1.090909090909091E-2</v>
      </c>
      <c r="L306" s="6">
        <v>4</v>
      </c>
      <c r="M306" s="6">
        <v>2</v>
      </c>
      <c r="N306" s="6">
        <v>2</v>
      </c>
      <c r="O306" s="6" t="str">
        <f t="shared" si="40"/>
        <v>Correct</v>
      </c>
      <c r="P306" s="6" t="s">
        <v>3318</v>
      </c>
      <c r="Q306" s="6">
        <v>2</v>
      </c>
      <c r="R306" s="6" t="str">
        <f t="shared" si="41"/>
        <v>Correct</v>
      </c>
      <c r="S306" s="6" t="s">
        <v>3735</v>
      </c>
      <c r="T306" s="14">
        <v>1</v>
      </c>
      <c r="U306" s="6" t="str">
        <f t="shared" si="42"/>
        <v>Overtriaged</v>
      </c>
      <c r="V306" s="15">
        <v>2</v>
      </c>
      <c r="W306" s="15" t="str">
        <f t="shared" si="43"/>
        <v>Correct</v>
      </c>
      <c r="X306" s="14">
        <v>2</v>
      </c>
      <c r="Y306" s="14" t="str">
        <f t="shared" si="44"/>
        <v>Correct</v>
      </c>
      <c r="Z306" s="6">
        <v>305</v>
      </c>
      <c r="AA306" s="6" t="s">
        <v>3319</v>
      </c>
      <c r="AB306" s="6" t="s">
        <v>3320</v>
      </c>
      <c r="AC306" s="6">
        <v>1</v>
      </c>
      <c r="AD306" s="6" t="s">
        <v>40</v>
      </c>
      <c r="AE306" s="6" t="s">
        <v>3321</v>
      </c>
      <c r="AF306" s="6" t="s">
        <v>3322</v>
      </c>
      <c r="AG306" s="6" t="s">
        <v>3323</v>
      </c>
      <c r="AH306" s="6" t="s">
        <v>44</v>
      </c>
      <c r="AI306" s="6" t="s">
        <v>4336</v>
      </c>
      <c r="AJ306" s="6" t="s">
        <v>3324</v>
      </c>
      <c r="AK306" s="6" t="s">
        <v>4187</v>
      </c>
      <c r="AL306" s="6" t="s">
        <v>3476</v>
      </c>
      <c r="AM306" s="6" t="s">
        <v>3325</v>
      </c>
      <c r="AN306" s="6" t="s">
        <v>3326</v>
      </c>
      <c r="AO306" s="6" t="s">
        <v>3327</v>
      </c>
      <c r="AP306" s="6" t="s">
        <v>3316</v>
      </c>
      <c r="AQ306" s="21" t="s">
        <v>4566</v>
      </c>
      <c r="AR306" s="6" t="s">
        <v>4947</v>
      </c>
      <c r="AS306" s="6" t="s">
        <v>3328</v>
      </c>
      <c r="AT306" s="14">
        <v>2</v>
      </c>
      <c r="AU306" s="14">
        <v>2</v>
      </c>
      <c r="AV306" s="14">
        <v>2</v>
      </c>
      <c r="AW306" s="14">
        <v>2</v>
      </c>
      <c r="AX306" s="14">
        <v>2</v>
      </c>
      <c r="AY306" s="14">
        <v>2</v>
      </c>
      <c r="AZ306" s="14">
        <v>2</v>
      </c>
      <c r="BA306" s="2"/>
    </row>
    <row r="307" spans="1:53" ht="44" customHeight="1" x14ac:dyDescent="0.2">
      <c r="A307" s="6">
        <v>1062</v>
      </c>
      <c r="B307" s="6">
        <v>79573363</v>
      </c>
      <c r="C307" s="8" t="s">
        <v>2166</v>
      </c>
      <c r="D307" s="6" t="s">
        <v>3329</v>
      </c>
      <c r="E307" s="6">
        <f t="shared" si="36"/>
        <v>198</v>
      </c>
      <c r="F307" s="6" t="s">
        <v>3330</v>
      </c>
      <c r="G307" s="6">
        <f t="shared" si="37"/>
        <v>42</v>
      </c>
      <c r="H307" s="9">
        <f t="shared" si="38"/>
        <v>0.78787878787878785</v>
      </c>
      <c r="I307" s="6" t="s">
        <v>5351</v>
      </c>
      <c r="J307" s="6">
        <v>7</v>
      </c>
      <c r="K307" s="9">
        <f t="shared" si="39"/>
        <v>3.5353535353535352E-2</v>
      </c>
      <c r="L307" s="6">
        <v>2</v>
      </c>
      <c r="M307" s="6">
        <v>2</v>
      </c>
      <c r="N307" s="6">
        <v>2</v>
      </c>
      <c r="O307" s="6" t="str">
        <f t="shared" si="40"/>
        <v>Correct</v>
      </c>
      <c r="P307" s="6" t="s">
        <v>3331</v>
      </c>
      <c r="Q307" s="6">
        <v>2</v>
      </c>
      <c r="R307" s="6" t="str">
        <f t="shared" si="41"/>
        <v>Correct</v>
      </c>
      <c r="S307" s="6" t="s">
        <v>3736</v>
      </c>
      <c r="T307" s="14">
        <v>2</v>
      </c>
      <c r="U307" s="6" t="str">
        <f t="shared" si="42"/>
        <v>Correct</v>
      </c>
      <c r="V307" s="15">
        <v>2</v>
      </c>
      <c r="W307" s="15" t="str">
        <f t="shared" si="43"/>
        <v>Correct</v>
      </c>
      <c r="X307" s="14">
        <v>2</v>
      </c>
      <c r="Y307" s="14" t="str">
        <f t="shared" si="44"/>
        <v>Correct</v>
      </c>
      <c r="Z307" s="6">
        <v>306</v>
      </c>
      <c r="AA307" s="6" t="s">
        <v>3332</v>
      </c>
      <c r="AB307" s="6" t="s">
        <v>3333</v>
      </c>
      <c r="AC307" s="6">
        <v>1</v>
      </c>
      <c r="AD307" s="6" t="s">
        <v>40</v>
      </c>
      <c r="AE307" s="6" t="s">
        <v>783</v>
      </c>
      <c r="AF307" s="6" t="s">
        <v>3334</v>
      </c>
      <c r="AG307" s="6" t="s">
        <v>3335</v>
      </c>
      <c r="AH307" s="6" t="s">
        <v>44</v>
      </c>
      <c r="AI307" s="6" t="s">
        <v>4379</v>
      </c>
      <c r="AJ307" s="6" t="s">
        <v>3336</v>
      </c>
      <c r="AK307" s="6" t="s">
        <v>3337</v>
      </c>
      <c r="AL307" s="6" t="s">
        <v>3476</v>
      </c>
      <c r="AM307" s="6" t="s">
        <v>3338</v>
      </c>
      <c r="AN307" s="6" t="s">
        <v>3339</v>
      </c>
      <c r="AO307" s="6" t="s">
        <v>3340</v>
      </c>
      <c r="AP307" s="6" t="s">
        <v>3329</v>
      </c>
      <c r="AQ307" s="21" t="s">
        <v>4567</v>
      </c>
      <c r="AR307" s="6" t="s">
        <v>3341</v>
      </c>
      <c r="AS307" s="6" t="s">
        <v>3342</v>
      </c>
      <c r="AT307" s="14">
        <v>2</v>
      </c>
      <c r="AU307" s="14">
        <v>2</v>
      </c>
      <c r="AV307" s="14">
        <v>2</v>
      </c>
      <c r="AW307" s="14">
        <v>2</v>
      </c>
      <c r="AX307" s="14">
        <v>2</v>
      </c>
      <c r="AY307" s="14">
        <v>2</v>
      </c>
      <c r="AZ307" s="14">
        <v>2</v>
      </c>
      <c r="BA307" s="2"/>
    </row>
    <row r="308" spans="1:53" ht="44" customHeight="1" x14ac:dyDescent="0.2">
      <c r="A308" s="6">
        <v>1029161</v>
      </c>
      <c r="B308" s="6">
        <v>80566366</v>
      </c>
      <c r="C308" s="8" t="s">
        <v>2166</v>
      </c>
      <c r="D308" s="6" t="s">
        <v>3343</v>
      </c>
      <c r="E308" s="6">
        <f t="shared" si="36"/>
        <v>389</v>
      </c>
      <c r="F308" s="6" t="s">
        <v>3344</v>
      </c>
      <c r="G308" s="6">
        <f t="shared" si="37"/>
        <v>41</v>
      </c>
      <c r="H308" s="9">
        <f t="shared" si="38"/>
        <v>0.8946015424164524</v>
      </c>
      <c r="I308" s="6" t="s">
        <v>5352</v>
      </c>
      <c r="J308" s="6">
        <v>7</v>
      </c>
      <c r="K308" s="9">
        <f t="shared" si="39"/>
        <v>1.7994858611825194E-2</v>
      </c>
      <c r="L308" s="6">
        <v>9</v>
      </c>
      <c r="M308" s="6">
        <v>2</v>
      </c>
      <c r="N308" s="6">
        <v>2</v>
      </c>
      <c r="O308" s="6" t="str">
        <f t="shared" si="40"/>
        <v>Correct</v>
      </c>
      <c r="P308" s="6" t="s">
        <v>3345</v>
      </c>
      <c r="Q308" s="6">
        <v>2</v>
      </c>
      <c r="R308" s="6" t="str">
        <f t="shared" si="41"/>
        <v>Correct</v>
      </c>
      <c r="S308" s="6" t="s">
        <v>3845</v>
      </c>
      <c r="T308" s="14">
        <v>2</v>
      </c>
      <c r="U308" s="6" t="str">
        <f t="shared" si="42"/>
        <v>Correct</v>
      </c>
      <c r="V308" s="15">
        <v>2</v>
      </c>
      <c r="W308" s="15" t="str">
        <f t="shared" si="43"/>
        <v>Correct</v>
      </c>
      <c r="X308" s="14">
        <v>2</v>
      </c>
      <c r="Y308" s="14" t="str">
        <f t="shared" si="44"/>
        <v>Correct</v>
      </c>
      <c r="Z308" s="6">
        <v>307</v>
      </c>
      <c r="AA308" s="6" t="s">
        <v>2936</v>
      </c>
      <c r="AB308" s="6" t="s">
        <v>3346</v>
      </c>
      <c r="AC308" s="6">
        <v>1</v>
      </c>
      <c r="AD308" s="6" t="s">
        <v>40</v>
      </c>
      <c r="AE308" s="6" t="s">
        <v>561</v>
      </c>
      <c r="AF308" s="6" t="s">
        <v>4188</v>
      </c>
      <c r="AG308" s="6" t="s">
        <v>4189</v>
      </c>
      <c r="AH308" s="6" t="s">
        <v>44</v>
      </c>
      <c r="AI308" s="6" t="s">
        <v>4337</v>
      </c>
      <c r="AJ308" s="6" t="s">
        <v>4190</v>
      </c>
      <c r="AK308" s="6" t="s">
        <v>4191</v>
      </c>
      <c r="AL308" s="6" t="s">
        <v>3476</v>
      </c>
      <c r="AM308" s="6" t="s">
        <v>3347</v>
      </c>
      <c r="AN308" s="6" t="s">
        <v>4948</v>
      </c>
      <c r="AO308" s="6" t="s">
        <v>4949</v>
      </c>
      <c r="AP308" s="6" t="s">
        <v>3343</v>
      </c>
      <c r="AQ308" s="21" t="s">
        <v>4568</v>
      </c>
      <c r="AR308" s="6" t="s">
        <v>4950</v>
      </c>
      <c r="AS308" s="6" t="s">
        <v>4951</v>
      </c>
      <c r="AT308" s="14">
        <v>1</v>
      </c>
      <c r="AU308" s="14">
        <v>1</v>
      </c>
      <c r="AV308" s="14">
        <v>2</v>
      </c>
      <c r="AW308" s="14">
        <v>1</v>
      </c>
      <c r="AX308" s="14">
        <v>2</v>
      </c>
      <c r="AY308" s="14">
        <v>2</v>
      </c>
      <c r="AZ308" s="14">
        <v>2</v>
      </c>
      <c r="BA308" s="2"/>
    </row>
    <row r="309" spans="1:53" ht="44" customHeight="1" x14ac:dyDescent="0.2">
      <c r="A309" s="6">
        <v>10608</v>
      </c>
      <c r="B309" s="6">
        <v>8031004</v>
      </c>
      <c r="C309" s="8" t="s">
        <v>2166</v>
      </c>
      <c r="D309" s="6" t="s">
        <v>3348</v>
      </c>
      <c r="E309" s="6">
        <f t="shared" si="36"/>
        <v>770</v>
      </c>
      <c r="F309" s="6" t="s">
        <v>3349</v>
      </c>
      <c r="G309" s="6">
        <f t="shared" si="37"/>
        <v>19</v>
      </c>
      <c r="H309" s="9">
        <f t="shared" si="38"/>
        <v>0.97532467532467537</v>
      </c>
      <c r="I309" s="6" t="s">
        <v>5353</v>
      </c>
      <c r="J309" s="6">
        <v>2</v>
      </c>
      <c r="K309" s="9">
        <f t="shared" si="39"/>
        <v>2.5974025974025974E-3</v>
      </c>
      <c r="L309" s="6">
        <v>2</v>
      </c>
      <c r="M309" s="6">
        <v>2</v>
      </c>
      <c r="N309" s="6">
        <v>2</v>
      </c>
      <c r="O309" s="6" t="str">
        <f t="shared" si="40"/>
        <v>Correct</v>
      </c>
      <c r="P309" s="6" t="s">
        <v>3350</v>
      </c>
      <c r="Q309" s="6">
        <v>2</v>
      </c>
      <c r="R309" s="6" t="str">
        <f t="shared" si="41"/>
        <v>Correct</v>
      </c>
      <c r="S309" s="6" t="s">
        <v>3737</v>
      </c>
      <c r="T309" s="14">
        <v>2</v>
      </c>
      <c r="U309" s="6" t="str">
        <f t="shared" si="42"/>
        <v>Correct</v>
      </c>
      <c r="V309" s="15">
        <v>2</v>
      </c>
      <c r="W309" s="15" t="str">
        <f t="shared" si="43"/>
        <v>Correct</v>
      </c>
      <c r="X309" s="14">
        <v>2</v>
      </c>
      <c r="Y309" s="14" t="str">
        <f t="shared" si="44"/>
        <v>Correct</v>
      </c>
      <c r="Z309" s="6">
        <v>308</v>
      </c>
      <c r="AA309" s="6" t="s">
        <v>3351</v>
      </c>
      <c r="AB309" s="6" t="s">
        <v>3352</v>
      </c>
      <c r="AC309" s="6">
        <v>1</v>
      </c>
      <c r="AD309" s="6" t="s">
        <v>40</v>
      </c>
      <c r="AE309" s="6" t="s">
        <v>4192</v>
      </c>
      <c r="AF309" s="6" t="s">
        <v>44</v>
      </c>
      <c r="AG309" s="6" t="s">
        <v>44</v>
      </c>
      <c r="AH309" s="6" t="s">
        <v>3353</v>
      </c>
      <c r="AI309" s="6" t="s">
        <v>44</v>
      </c>
      <c r="AJ309" s="6" t="s">
        <v>4193</v>
      </c>
      <c r="AK309" s="6" t="s">
        <v>4194</v>
      </c>
      <c r="AL309" s="6" t="s">
        <v>5106</v>
      </c>
      <c r="AM309" s="6" t="s">
        <v>4952</v>
      </c>
      <c r="AN309" s="6" t="s">
        <v>3348</v>
      </c>
      <c r="AO309" s="6" t="s">
        <v>3348</v>
      </c>
      <c r="AP309" s="6" t="s">
        <v>3354</v>
      </c>
      <c r="AQ309" s="21" t="s">
        <v>3348</v>
      </c>
      <c r="AR309" s="6" t="s">
        <v>4953</v>
      </c>
      <c r="AS309" s="6" t="s">
        <v>4954</v>
      </c>
      <c r="AT309" s="14">
        <v>2</v>
      </c>
      <c r="AU309" s="14">
        <v>2</v>
      </c>
      <c r="AV309" s="14">
        <v>2</v>
      </c>
      <c r="AW309" s="14">
        <v>2</v>
      </c>
      <c r="AX309" s="14">
        <v>2</v>
      </c>
      <c r="AY309" s="14">
        <v>2</v>
      </c>
      <c r="AZ309" s="14">
        <v>2</v>
      </c>
      <c r="BA309" s="2"/>
    </row>
    <row r="310" spans="1:53" ht="47" customHeight="1" x14ac:dyDescent="0.2">
      <c r="A310" s="6">
        <v>1009741</v>
      </c>
      <c r="B310" s="6">
        <v>80582399</v>
      </c>
      <c r="C310" s="8" t="s">
        <v>2166</v>
      </c>
      <c r="D310" s="6" t="s">
        <v>2826</v>
      </c>
      <c r="E310" s="6">
        <f t="shared" si="36"/>
        <v>69</v>
      </c>
      <c r="F310" s="6" t="s">
        <v>3355</v>
      </c>
      <c r="G310" s="6">
        <f t="shared" si="37"/>
        <v>12</v>
      </c>
      <c r="H310" s="9">
        <f t="shared" si="38"/>
        <v>0.82608695652173914</v>
      </c>
      <c r="I310" s="6" t="s">
        <v>5313</v>
      </c>
      <c r="J310" s="6">
        <v>3</v>
      </c>
      <c r="K310" s="9">
        <f t="shared" si="39"/>
        <v>4.3478260869565216E-2</v>
      </c>
      <c r="L310" s="6">
        <v>8</v>
      </c>
      <c r="M310" s="6">
        <v>2</v>
      </c>
      <c r="N310" s="6">
        <v>2</v>
      </c>
      <c r="O310" s="6" t="str">
        <f>IF(N310=M310, "Correct", IF(N310=1, "Overtriaged", "Undertriaged"))</f>
        <v>Correct</v>
      </c>
      <c r="P310" s="6" t="s">
        <v>3356</v>
      </c>
      <c r="Q310" s="6">
        <v>1</v>
      </c>
      <c r="R310" s="6" t="str">
        <f t="shared" si="41"/>
        <v>Overtriaged</v>
      </c>
      <c r="S310" s="6" t="s">
        <v>3832</v>
      </c>
      <c r="T310" s="14">
        <v>1</v>
      </c>
      <c r="U310" s="6" t="str">
        <f t="shared" si="42"/>
        <v>Overtriaged</v>
      </c>
      <c r="V310" s="15">
        <v>2</v>
      </c>
      <c r="W310" s="15" t="str">
        <f t="shared" si="43"/>
        <v>Correct</v>
      </c>
      <c r="X310" s="14">
        <v>2</v>
      </c>
      <c r="Y310" s="14" t="str">
        <f t="shared" si="44"/>
        <v>Correct</v>
      </c>
      <c r="Z310" s="6">
        <v>309</v>
      </c>
      <c r="AA310" s="6" t="s">
        <v>743</v>
      </c>
      <c r="AB310" s="6" t="s">
        <v>3357</v>
      </c>
      <c r="AC310" s="6">
        <v>1</v>
      </c>
      <c r="AD310" s="6" t="s">
        <v>40</v>
      </c>
      <c r="AE310" s="6" t="s">
        <v>2830</v>
      </c>
      <c r="AF310" s="6" t="s">
        <v>44</v>
      </c>
      <c r="AG310" s="6" t="s">
        <v>44</v>
      </c>
      <c r="AH310" s="6" t="s">
        <v>44</v>
      </c>
      <c r="AI310" s="6" t="s">
        <v>3358</v>
      </c>
      <c r="AJ310" s="6" t="s">
        <v>2831</v>
      </c>
      <c r="AK310" s="6" t="s">
        <v>2832</v>
      </c>
      <c r="AL310" s="6" t="s">
        <v>3480</v>
      </c>
      <c r="AM310" s="6" t="s">
        <v>2833</v>
      </c>
      <c r="AN310" s="6" t="s">
        <v>2826</v>
      </c>
      <c r="AO310" s="6" t="s">
        <v>2826</v>
      </c>
      <c r="AP310" s="6" t="s">
        <v>2826</v>
      </c>
      <c r="AQ310" s="21" t="s">
        <v>2834</v>
      </c>
      <c r="AR310" s="6" t="s">
        <v>2834</v>
      </c>
      <c r="AS310" s="6" t="s">
        <v>2835</v>
      </c>
      <c r="AT310" s="14">
        <v>1</v>
      </c>
      <c r="AU310" s="14">
        <v>1</v>
      </c>
      <c r="AV310" s="14">
        <v>1</v>
      </c>
      <c r="AW310" s="14">
        <v>1</v>
      </c>
      <c r="AX310" s="14">
        <v>2</v>
      </c>
      <c r="AY310" s="14">
        <v>2</v>
      </c>
      <c r="AZ310" s="14">
        <v>1</v>
      </c>
    </row>
    <row r="311" spans="1:53" ht="47" customHeight="1" x14ac:dyDescent="0.2">
      <c r="A311" s="20">
        <v>8365505</v>
      </c>
      <c r="B311" s="20">
        <v>80979484</v>
      </c>
      <c r="C311" s="8" t="s">
        <v>2166</v>
      </c>
      <c r="D311" s="20" t="s">
        <v>3485</v>
      </c>
      <c r="E311" s="6">
        <f t="shared" si="36"/>
        <v>229</v>
      </c>
      <c r="F311" s="6" t="s">
        <v>5379</v>
      </c>
      <c r="G311" s="6">
        <f t="shared" si="37"/>
        <v>36</v>
      </c>
      <c r="H311" s="9">
        <f t="shared" si="38"/>
        <v>0.84279475982532748</v>
      </c>
      <c r="I311" s="6"/>
      <c r="J311" s="6">
        <v>0</v>
      </c>
      <c r="K311" s="9">
        <f t="shared" si="39"/>
        <v>0</v>
      </c>
      <c r="L311" s="20">
        <v>5</v>
      </c>
      <c r="M311" s="6">
        <v>2</v>
      </c>
      <c r="N311" s="20">
        <v>2</v>
      </c>
      <c r="O311" s="6" t="str">
        <f t="shared" ref="O311:O373" si="45">IF(N311=M311, "Correct", IF(N311=1, "Overtriaged", "Undertriaged"))</f>
        <v>Correct</v>
      </c>
      <c r="P311" s="20" t="s">
        <v>3513</v>
      </c>
      <c r="Q311" s="6">
        <v>2</v>
      </c>
      <c r="R311" s="6" t="str">
        <f t="shared" si="41"/>
        <v>Correct</v>
      </c>
      <c r="S311" s="6" t="s">
        <v>3738</v>
      </c>
      <c r="T311" s="14">
        <v>2</v>
      </c>
      <c r="U311" s="6" t="str">
        <f t="shared" si="42"/>
        <v>Correct</v>
      </c>
      <c r="V311" s="6"/>
      <c r="W311" s="6"/>
      <c r="X311" s="14">
        <v>2</v>
      </c>
      <c r="Y311" s="14" t="str">
        <f t="shared" si="44"/>
        <v>Correct</v>
      </c>
      <c r="Z311" s="6">
        <v>310</v>
      </c>
      <c r="AA311" s="6"/>
      <c r="AB311" s="6"/>
      <c r="AC311" s="6">
        <v>1</v>
      </c>
      <c r="AD311" s="20" t="s">
        <v>40</v>
      </c>
      <c r="AE311" s="6" t="s">
        <v>176</v>
      </c>
      <c r="AF311" s="6" t="s">
        <v>4195</v>
      </c>
      <c r="AG311" s="6" t="s">
        <v>4196</v>
      </c>
      <c r="AH311" s="6" t="s">
        <v>4197</v>
      </c>
      <c r="AI311" s="6" t="s">
        <v>4380</v>
      </c>
      <c r="AJ311" s="6" t="s">
        <v>4198</v>
      </c>
      <c r="AK311" s="6" t="s">
        <v>4199</v>
      </c>
      <c r="AL311" s="6" t="s">
        <v>3477</v>
      </c>
      <c r="AM311" s="6" t="s">
        <v>4955</v>
      </c>
      <c r="AN311" s="6" t="s">
        <v>4956</v>
      </c>
      <c r="AO311" s="6" t="s">
        <v>4957</v>
      </c>
      <c r="AP311" s="6" t="s">
        <v>4958</v>
      </c>
      <c r="AQ311" s="21" t="s">
        <v>4569</v>
      </c>
      <c r="AR311" s="6" t="s">
        <v>4959</v>
      </c>
      <c r="AS311" s="6" t="s">
        <v>4960</v>
      </c>
      <c r="AT311" s="14">
        <v>2</v>
      </c>
      <c r="AU311" s="14">
        <v>2</v>
      </c>
      <c r="AV311" s="14">
        <v>2</v>
      </c>
      <c r="AW311" s="14">
        <v>2</v>
      </c>
      <c r="AX311" s="14">
        <v>2</v>
      </c>
      <c r="AY311" s="14">
        <v>2</v>
      </c>
      <c r="AZ311" s="14">
        <v>2</v>
      </c>
    </row>
    <row r="312" spans="1:53" ht="47" customHeight="1" x14ac:dyDescent="0.2">
      <c r="A312" s="20">
        <v>3891834</v>
      </c>
      <c r="B312" s="20">
        <v>80985088</v>
      </c>
      <c r="C312" s="8" t="s">
        <v>2166</v>
      </c>
      <c r="D312" s="20" t="s">
        <v>3486</v>
      </c>
      <c r="E312" s="6">
        <f t="shared" si="36"/>
        <v>601</v>
      </c>
      <c r="F312" s="6" t="s">
        <v>5380</v>
      </c>
      <c r="G312" s="6">
        <f t="shared" si="37"/>
        <v>54</v>
      </c>
      <c r="H312" s="9">
        <f t="shared" si="38"/>
        <v>0.91014975041597335</v>
      </c>
      <c r="I312" s="6" t="s">
        <v>5354</v>
      </c>
      <c r="J312" s="6">
        <v>6</v>
      </c>
      <c r="K312" s="9">
        <f t="shared" si="39"/>
        <v>9.9833610648918467E-3</v>
      </c>
      <c r="L312" s="20">
        <v>2</v>
      </c>
      <c r="M312" s="6">
        <v>2</v>
      </c>
      <c r="N312" s="20">
        <v>2</v>
      </c>
      <c r="O312" s="6" t="str">
        <f t="shared" si="45"/>
        <v>Correct</v>
      </c>
      <c r="P312" s="20" t="s">
        <v>3514</v>
      </c>
      <c r="Q312" s="6">
        <v>2</v>
      </c>
      <c r="R312" s="6" t="str">
        <f t="shared" si="41"/>
        <v>Correct</v>
      </c>
      <c r="S312" s="6" t="s">
        <v>3739</v>
      </c>
      <c r="T312" s="14">
        <v>2</v>
      </c>
      <c r="U312" s="6" t="str">
        <f t="shared" si="42"/>
        <v>Correct</v>
      </c>
      <c r="V312" s="6"/>
      <c r="W312" s="6"/>
      <c r="X312" s="14">
        <v>2</v>
      </c>
      <c r="Y312" s="14" t="str">
        <f t="shared" si="44"/>
        <v>Correct</v>
      </c>
      <c r="Z312" s="6">
        <v>311</v>
      </c>
      <c r="AA312" s="6"/>
      <c r="AB312" s="6"/>
      <c r="AC312" s="6">
        <v>1</v>
      </c>
      <c r="AD312" s="20" t="s">
        <v>40</v>
      </c>
      <c r="AE312" s="6" t="s">
        <v>4200</v>
      </c>
      <c r="AF312" s="6" t="s">
        <v>4201</v>
      </c>
      <c r="AG312" s="6" t="s">
        <v>4202</v>
      </c>
      <c r="AH312" s="6" t="s">
        <v>44</v>
      </c>
      <c r="AI312" s="6" t="s">
        <v>44</v>
      </c>
      <c r="AJ312" s="6" t="s">
        <v>4203</v>
      </c>
      <c r="AK312" s="6" t="s">
        <v>4204</v>
      </c>
      <c r="AL312" s="6" t="s">
        <v>3476</v>
      </c>
      <c r="AM312" s="6" t="s">
        <v>4961</v>
      </c>
      <c r="AN312" s="6" t="s">
        <v>4962</v>
      </c>
      <c r="AO312" s="6" t="s">
        <v>4963</v>
      </c>
      <c r="AP312" s="6" t="s">
        <v>3486</v>
      </c>
      <c r="AQ312" s="21" t="s">
        <v>3486</v>
      </c>
      <c r="AR312" s="6" t="s">
        <v>4964</v>
      </c>
      <c r="AS312" s="6" t="s">
        <v>4965</v>
      </c>
      <c r="AT312" s="14">
        <v>2</v>
      </c>
      <c r="AU312" s="14">
        <v>2</v>
      </c>
      <c r="AV312" s="14">
        <v>2</v>
      </c>
      <c r="AW312" s="14">
        <v>2</v>
      </c>
      <c r="AX312" s="14">
        <v>2</v>
      </c>
      <c r="AY312" s="14">
        <v>2</v>
      </c>
      <c r="AZ312" s="14">
        <v>2</v>
      </c>
    </row>
    <row r="313" spans="1:53" ht="47" customHeight="1" x14ac:dyDescent="0.2">
      <c r="A313" s="20">
        <v>5525425</v>
      </c>
      <c r="B313" s="20">
        <v>81016450</v>
      </c>
      <c r="C313" s="8" t="s">
        <v>2166</v>
      </c>
      <c r="D313" s="20" t="s">
        <v>3487</v>
      </c>
      <c r="E313" s="6">
        <f t="shared" si="36"/>
        <v>397</v>
      </c>
      <c r="F313" s="6" t="s">
        <v>5381</v>
      </c>
      <c r="G313" s="6">
        <f t="shared" si="37"/>
        <v>36</v>
      </c>
      <c r="H313" s="9">
        <f t="shared" si="38"/>
        <v>0.90931989924433254</v>
      </c>
      <c r="I313" s="6" t="s">
        <v>5355</v>
      </c>
      <c r="J313" s="6">
        <v>2</v>
      </c>
      <c r="K313" s="9">
        <f t="shared" si="39"/>
        <v>5.0377833753148613E-3</v>
      </c>
      <c r="L313" s="20">
        <v>4</v>
      </c>
      <c r="M313" s="6">
        <v>2</v>
      </c>
      <c r="N313" s="20">
        <v>2</v>
      </c>
      <c r="O313" s="6" t="str">
        <f t="shared" si="45"/>
        <v>Correct</v>
      </c>
      <c r="P313" s="20" t="s">
        <v>3515</v>
      </c>
      <c r="Q313" s="6">
        <v>2</v>
      </c>
      <c r="R313" s="6" t="str">
        <f t="shared" si="41"/>
        <v>Correct</v>
      </c>
      <c r="S313" s="6" t="s">
        <v>3740</v>
      </c>
      <c r="T313" s="14">
        <v>2</v>
      </c>
      <c r="U313" s="6" t="str">
        <f t="shared" si="42"/>
        <v>Correct</v>
      </c>
      <c r="V313" s="6"/>
      <c r="W313" s="6"/>
      <c r="X313" s="14">
        <v>2</v>
      </c>
      <c r="Y313" s="14" t="str">
        <f t="shared" si="44"/>
        <v>Correct</v>
      </c>
      <c r="Z313" s="6">
        <v>312</v>
      </c>
      <c r="AA313" s="6"/>
      <c r="AB313" s="6"/>
      <c r="AC313" s="6">
        <v>1</v>
      </c>
      <c r="AD313" s="20" t="s">
        <v>40</v>
      </c>
      <c r="AE313" s="6" t="s">
        <v>4205</v>
      </c>
      <c r="AF313" s="6" t="s">
        <v>4206</v>
      </c>
      <c r="AG313" s="6" t="s">
        <v>4207</v>
      </c>
      <c r="AH313" s="6" t="s">
        <v>4208</v>
      </c>
      <c r="AI313" s="6" t="s">
        <v>44</v>
      </c>
      <c r="AJ313" s="6" t="s">
        <v>4209</v>
      </c>
      <c r="AK313" s="6" t="s">
        <v>4210</v>
      </c>
      <c r="AL313" s="6" t="s">
        <v>3477</v>
      </c>
      <c r="AM313" s="6" t="s">
        <v>4966</v>
      </c>
      <c r="AN313" s="6" t="s">
        <v>4967</v>
      </c>
      <c r="AO313" s="6" t="s">
        <v>4968</v>
      </c>
      <c r="AP313" s="6" t="s">
        <v>4969</v>
      </c>
      <c r="AQ313" s="21" t="s">
        <v>3487</v>
      </c>
      <c r="AR313" s="6" t="s">
        <v>4970</v>
      </c>
      <c r="AS313" s="6" t="s">
        <v>4971</v>
      </c>
      <c r="AT313" s="14">
        <v>2</v>
      </c>
      <c r="AU313" s="14">
        <v>2</v>
      </c>
      <c r="AV313" s="14">
        <v>2</v>
      </c>
      <c r="AW313" s="14">
        <v>2</v>
      </c>
      <c r="AX313" s="14">
        <v>2</v>
      </c>
      <c r="AY313" s="14">
        <v>2</v>
      </c>
      <c r="AZ313" s="14">
        <v>2</v>
      </c>
    </row>
    <row r="314" spans="1:53" ht="47" customHeight="1" x14ac:dyDescent="0.2">
      <c r="A314" s="20">
        <v>1937972</v>
      </c>
      <c r="B314" s="20">
        <v>81016828</v>
      </c>
      <c r="C314" s="8" t="s">
        <v>2166</v>
      </c>
      <c r="D314" s="20" t="s">
        <v>3488</v>
      </c>
      <c r="E314" s="6">
        <f t="shared" si="36"/>
        <v>204</v>
      </c>
      <c r="F314" s="6" t="s">
        <v>5382</v>
      </c>
      <c r="G314" s="6">
        <f t="shared" si="37"/>
        <v>50</v>
      </c>
      <c r="H314" s="9">
        <f t="shared" si="38"/>
        <v>0.75490196078431371</v>
      </c>
      <c r="I314" s="6" t="s">
        <v>5356</v>
      </c>
      <c r="J314" s="6">
        <v>5</v>
      </c>
      <c r="K314" s="9">
        <f t="shared" si="39"/>
        <v>2.4509803921568627E-2</v>
      </c>
      <c r="L314" s="20">
        <v>9</v>
      </c>
      <c r="M314" s="6">
        <v>2</v>
      </c>
      <c r="N314" s="20">
        <v>2</v>
      </c>
      <c r="O314" s="6" t="str">
        <f t="shared" si="45"/>
        <v>Correct</v>
      </c>
      <c r="P314" s="20" t="s">
        <v>3516</v>
      </c>
      <c r="Q314" s="6">
        <v>2</v>
      </c>
      <c r="R314" s="6" t="str">
        <f t="shared" si="41"/>
        <v>Correct</v>
      </c>
      <c r="S314" s="6" t="s">
        <v>3741</v>
      </c>
      <c r="T314" s="14">
        <v>2</v>
      </c>
      <c r="U314" s="6" t="str">
        <f t="shared" si="42"/>
        <v>Correct</v>
      </c>
      <c r="V314" s="6"/>
      <c r="W314" s="6"/>
      <c r="X314" s="14">
        <v>2</v>
      </c>
      <c r="Y314" s="14" t="str">
        <f t="shared" si="44"/>
        <v>Correct</v>
      </c>
      <c r="Z314" s="6">
        <v>313</v>
      </c>
      <c r="AA314" s="6"/>
      <c r="AB314" s="6"/>
      <c r="AC314" s="6">
        <v>1</v>
      </c>
      <c r="AD314" s="20" t="s">
        <v>40</v>
      </c>
      <c r="AE314" s="6" t="s">
        <v>4211</v>
      </c>
      <c r="AF314" s="6" t="s">
        <v>4212</v>
      </c>
      <c r="AG314" s="6" t="s">
        <v>4213</v>
      </c>
      <c r="AH314" s="6" t="s">
        <v>44</v>
      </c>
      <c r="AI314" s="6" t="s">
        <v>4381</v>
      </c>
      <c r="AJ314" s="6" t="s">
        <v>4214</v>
      </c>
      <c r="AK314" s="6" t="s">
        <v>4215</v>
      </c>
      <c r="AL314" s="6" t="s">
        <v>3476</v>
      </c>
      <c r="AM314" s="6" t="s">
        <v>4972</v>
      </c>
      <c r="AN314" s="6" t="s">
        <v>4973</v>
      </c>
      <c r="AO314" s="6" t="s">
        <v>4974</v>
      </c>
      <c r="AP314" s="6" t="s">
        <v>3488</v>
      </c>
      <c r="AQ314" s="21" t="s">
        <v>4570</v>
      </c>
      <c r="AR314" s="6" t="s">
        <v>4975</v>
      </c>
      <c r="AS314" s="6" t="s">
        <v>4976</v>
      </c>
      <c r="AT314" s="14">
        <v>2</v>
      </c>
      <c r="AU314" s="14">
        <v>2</v>
      </c>
      <c r="AV314" s="14">
        <v>2</v>
      </c>
      <c r="AW314" s="14">
        <v>2</v>
      </c>
      <c r="AX314" s="14">
        <v>2</v>
      </c>
      <c r="AY314" s="14">
        <v>2</v>
      </c>
      <c r="AZ314" s="14">
        <v>2</v>
      </c>
    </row>
    <row r="315" spans="1:53" ht="47" customHeight="1" x14ac:dyDescent="0.2">
      <c r="A315" s="20">
        <v>3346516</v>
      </c>
      <c r="B315" s="20">
        <v>81064385</v>
      </c>
      <c r="C315" s="8" t="s">
        <v>2166</v>
      </c>
      <c r="D315" s="20" t="s">
        <v>3489</v>
      </c>
      <c r="E315" s="6">
        <f t="shared" si="36"/>
        <v>245</v>
      </c>
      <c r="F315" s="6" t="s">
        <v>5383</v>
      </c>
      <c r="G315" s="6">
        <f t="shared" si="37"/>
        <v>28</v>
      </c>
      <c r="H315" s="9">
        <f t="shared" si="38"/>
        <v>0.88571428571428568</v>
      </c>
      <c r="I315" s="6" t="s">
        <v>5357</v>
      </c>
      <c r="J315" s="6">
        <v>7</v>
      </c>
      <c r="K315" s="9">
        <f t="shared" si="39"/>
        <v>2.8571428571428571E-2</v>
      </c>
      <c r="L315" s="20">
        <v>10</v>
      </c>
      <c r="M315" s="6">
        <v>2</v>
      </c>
      <c r="N315" s="20">
        <v>2</v>
      </c>
      <c r="O315" s="6" t="str">
        <f t="shared" si="45"/>
        <v>Correct</v>
      </c>
      <c r="P315" s="20" t="s">
        <v>3517</v>
      </c>
      <c r="Q315" s="6">
        <v>2</v>
      </c>
      <c r="R315" s="6" t="str">
        <f t="shared" si="41"/>
        <v>Correct</v>
      </c>
      <c r="S315" s="6" t="s">
        <v>3742</v>
      </c>
      <c r="T315" s="14">
        <v>2</v>
      </c>
      <c r="U315" s="6" t="str">
        <f t="shared" si="42"/>
        <v>Correct</v>
      </c>
      <c r="V315" s="6"/>
      <c r="W315" s="6"/>
      <c r="X315" s="14">
        <v>2</v>
      </c>
      <c r="Y315" s="14" t="str">
        <f t="shared" si="44"/>
        <v>Correct</v>
      </c>
      <c r="Z315" s="6">
        <v>314</v>
      </c>
      <c r="AA315" s="6"/>
      <c r="AB315" s="6"/>
      <c r="AC315" s="6">
        <v>1</v>
      </c>
      <c r="AD315" s="20" t="s">
        <v>3541</v>
      </c>
      <c r="AE315" s="6" t="s">
        <v>783</v>
      </c>
      <c r="AF315" s="6" t="s">
        <v>4216</v>
      </c>
      <c r="AG315" s="6" t="s">
        <v>4217</v>
      </c>
      <c r="AH315" s="6" t="s">
        <v>44</v>
      </c>
      <c r="AI315" s="6" t="s">
        <v>4382</v>
      </c>
      <c r="AJ315" s="6" t="s">
        <v>4218</v>
      </c>
      <c r="AK315" s="6" t="s">
        <v>4219</v>
      </c>
      <c r="AL315" s="6" t="s">
        <v>3476</v>
      </c>
      <c r="AM315" s="6" t="s">
        <v>4977</v>
      </c>
      <c r="AN315" s="6" t="s">
        <v>4978</v>
      </c>
      <c r="AO315" s="6" t="s">
        <v>4979</v>
      </c>
      <c r="AP315" s="6" t="s">
        <v>3489</v>
      </c>
      <c r="AQ315" s="21" t="s">
        <v>4571</v>
      </c>
      <c r="AR315" s="6" t="s">
        <v>4980</v>
      </c>
      <c r="AS315" s="6" t="s">
        <v>4981</v>
      </c>
      <c r="AT315" s="14">
        <v>2</v>
      </c>
      <c r="AU315" s="14">
        <v>2</v>
      </c>
      <c r="AV315" s="14">
        <v>2</v>
      </c>
      <c r="AW315" s="14">
        <v>2</v>
      </c>
      <c r="AX315" s="14">
        <v>2</v>
      </c>
      <c r="AY315" s="14">
        <v>2</v>
      </c>
      <c r="AZ315" s="14">
        <v>2</v>
      </c>
    </row>
    <row r="316" spans="1:53" ht="47" customHeight="1" x14ac:dyDescent="0.2">
      <c r="A316" s="20">
        <v>9749024</v>
      </c>
      <c r="B316" s="20">
        <v>81064340</v>
      </c>
      <c r="C316" s="8" t="s">
        <v>2166</v>
      </c>
      <c r="D316" s="20" t="s">
        <v>3490</v>
      </c>
      <c r="E316" s="6">
        <f t="shared" si="36"/>
        <v>267</v>
      </c>
      <c r="F316" s="6" t="s">
        <v>5384</v>
      </c>
      <c r="G316" s="6">
        <f t="shared" si="37"/>
        <v>54</v>
      </c>
      <c r="H316" s="9">
        <f t="shared" si="38"/>
        <v>0.797752808988764</v>
      </c>
      <c r="I316" s="6" t="s">
        <v>5358</v>
      </c>
      <c r="J316" s="6">
        <v>6</v>
      </c>
      <c r="K316" s="9">
        <f t="shared" si="39"/>
        <v>2.247191011235955E-2</v>
      </c>
      <c r="L316" s="20">
        <v>2</v>
      </c>
      <c r="M316" s="6">
        <v>2</v>
      </c>
      <c r="N316" s="20">
        <v>2</v>
      </c>
      <c r="O316" s="6" t="str">
        <f t="shared" si="45"/>
        <v>Correct</v>
      </c>
      <c r="P316" s="20" t="s">
        <v>3518</v>
      </c>
      <c r="Q316" s="6">
        <v>1</v>
      </c>
      <c r="R316" s="6" t="str">
        <f t="shared" si="41"/>
        <v>Overtriaged</v>
      </c>
      <c r="S316" s="6" t="s">
        <v>3846</v>
      </c>
      <c r="T316" s="14">
        <v>2</v>
      </c>
      <c r="U316" s="6" t="str">
        <f t="shared" si="42"/>
        <v>Correct</v>
      </c>
      <c r="V316" s="6"/>
      <c r="W316" s="6"/>
      <c r="X316" s="14">
        <v>2</v>
      </c>
      <c r="Y316" s="14" t="str">
        <f t="shared" si="44"/>
        <v>Correct</v>
      </c>
      <c r="Z316" s="6">
        <v>315</v>
      </c>
      <c r="AA316" s="6"/>
      <c r="AB316" s="6"/>
      <c r="AC316" s="6">
        <v>1</v>
      </c>
      <c r="AD316" s="20" t="s">
        <v>40</v>
      </c>
      <c r="AE316" s="6" t="s">
        <v>69</v>
      </c>
      <c r="AF316" s="6" t="s">
        <v>4220</v>
      </c>
      <c r="AG316" s="6" t="s">
        <v>4221</v>
      </c>
      <c r="AH316" s="6" t="s">
        <v>4222</v>
      </c>
      <c r="AI316" s="6" t="s">
        <v>4383</v>
      </c>
      <c r="AJ316" s="6" t="s">
        <v>4223</v>
      </c>
      <c r="AK316" s="6" t="s">
        <v>4224</v>
      </c>
      <c r="AL316" s="6" t="s">
        <v>3477</v>
      </c>
      <c r="AM316" s="6" t="s">
        <v>4982</v>
      </c>
      <c r="AN316" s="6" t="s">
        <v>4983</v>
      </c>
      <c r="AO316" s="6" t="s">
        <v>4984</v>
      </c>
      <c r="AP316" s="6" t="s">
        <v>4985</v>
      </c>
      <c r="AQ316" s="21" t="s">
        <v>4572</v>
      </c>
      <c r="AR316" s="6" t="s">
        <v>4986</v>
      </c>
      <c r="AS316" s="6" t="s">
        <v>4987</v>
      </c>
      <c r="AT316" s="14">
        <v>2</v>
      </c>
      <c r="AU316" s="14">
        <v>2</v>
      </c>
      <c r="AV316" s="14">
        <v>2</v>
      </c>
      <c r="AW316" s="14">
        <v>2</v>
      </c>
      <c r="AX316" s="14">
        <v>2</v>
      </c>
      <c r="AY316" s="14">
        <v>2</v>
      </c>
      <c r="AZ316" s="14">
        <v>2</v>
      </c>
    </row>
    <row r="317" spans="1:53" ht="47" customHeight="1" x14ac:dyDescent="0.2">
      <c r="A317" s="20">
        <v>5359689</v>
      </c>
      <c r="B317" s="20">
        <v>81132921</v>
      </c>
      <c r="C317" s="8" t="s">
        <v>2166</v>
      </c>
      <c r="D317" s="20" t="s">
        <v>3491</v>
      </c>
      <c r="E317" s="6">
        <f t="shared" si="36"/>
        <v>180</v>
      </c>
      <c r="F317" s="6" t="s">
        <v>5385</v>
      </c>
      <c r="G317" s="6">
        <f t="shared" si="37"/>
        <v>50</v>
      </c>
      <c r="H317" s="9">
        <f t="shared" si="38"/>
        <v>0.72222222222222221</v>
      </c>
      <c r="I317" s="6" t="s">
        <v>5359</v>
      </c>
      <c r="J317" s="6">
        <v>3</v>
      </c>
      <c r="K317" s="9">
        <f t="shared" si="39"/>
        <v>1.6666666666666666E-2</v>
      </c>
      <c r="L317" s="20">
        <v>5</v>
      </c>
      <c r="M317" s="6">
        <v>2</v>
      </c>
      <c r="N317" s="20">
        <v>2</v>
      </c>
      <c r="O317" s="6" t="str">
        <f t="shared" si="45"/>
        <v>Correct</v>
      </c>
      <c r="P317" s="20" t="s">
        <v>3519</v>
      </c>
      <c r="Q317" s="6">
        <v>2</v>
      </c>
      <c r="R317" s="6" t="str">
        <f t="shared" si="41"/>
        <v>Correct</v>
      </c>
      <c r="S317" s="6" t="s">
        <v>3847</v>
      </c>
      <c r="T317" s="14">
        <v>2</v>
      </c>
      <c r="U317" s="6" t="str">
        <f t="shared" si="42"/>
        <v>Correct</v>
      </c>
      <c r="V317" s="6"/>
      <c r="W317" s="6"/>
      <c r="X317" s="14">
        <v>2</v>
      </c>
      <c r="Y317" s="14" t="str">
        <f t="shared" si="44"/>
        <v>Correct</v>
      </c>
      <c r="Z317" s="6">
        <v>316</v>
      </c>
      <c r="AA317" s="6"/>
      <c r="AB317" s="6"/>
      <c r="AC317" s="6">
        <v>1</v>
      </c>
      <c r="AD317" s="20" t="s">
        <v>40</v>
      </c>
      <c r="AE317" s="6" t="s">
        <v>717</v>
      </c>
      <c r="AF317" s="6" t="s">
        <v>42</v>
      </c>
      <c r="AG317" s="6" t="s">
        <v>4225</v>
      </c>
      <c r="AH317" s="6" t="s">
        <v>4226</v>
      </c>
      <c r="AI317" s="6" t="s">
        <v>4384</v>
      </c>
      <c r="AJ317" s="6" t="s">
        <v>4227</v>
      </c>
      <c r="AK317" s="6" t="s">
        <v>4228</v>
      </c>
      <c r="AL317" s="6" t="s">
        <v>3477</v>
      </c>
      <c r="AM317" s="6" t="s">
        <v>4988</v>
      </c>
      <c r="AN317" s="6" t="s">
        <v>4989</v>
      </c>
      <c r="AO317" s="6" t="s">
        <v>4990</v>
      </c>
      <c r="AP317" s="6" t="s">
        <v>4991</v>
      </c>
      <c r="AQ317" s="21" t="s">
        <v>4573</v>
      </c>
      <c r="AR317" s="6" t="s">
        <v>4992</v>
      </c>
      <c r="AS317" s="6" t="s">
        <v>4993</v>
      </c>
      <c r="AT317" s="14">
        <v>2</v>
      </c>
      <c r="AU317" s="14">
        <v>2</v>
      </c>
      <c r="AV317" s="14">
        <v>2</v>
      </c>
      <c r="AW317" s="14">
        <v>2</v>
      </c>
      <c r="AX317" s="14">
        <v>2</v>
      </c>
      <c r="AY317" s="14">
        <v>2</v>
      </c>
      <c r="AZ317" s="14">
        <v>2</v>
      </c>
    </row>
    <row r="318" spans="1:53" ht="47" customHeight="1" x14ac:dyDescent="0.2">
      <c r="A318" s="20">
        <v>6360788</v>
      </c>
      <c r="B318" s="20">
        <v>81146927</v>
      </c>
      <c r="C318" s="8" t="s">
        <v>2166</v>
      </c>
      <c r="D318" s="20" t="s">
        <v>3492</v>
      </c>
      <c r="E318" s="6">
        <f t="shared" si="36"/>
        <v>251</v>
      </c>
      <c r="F318" s="6" t="s">
        <v>5386</v>
      </c>
      <c r="G318" s="6">
        <f t="shared" si="37"/>
        <v>68</v>
      </c>
      <c r="H318" s="9">
        <f t="shared" si="38"/>
        <v>0.72908366533864544</v>
      </c>
      <c r="I318" s="6" t="s">
        <v>5360</v>
      </c>
      <c r="J318" s="6">
        <v>4</v>
      </c>
      <c r="K318" s="9">
        <f t="shared" si="39"/>
        <v>1.5936254980079681E-2</v>
      </c>
      <c r="L318" s="20">
        <v>9</v>
      </c>
      <c r="M318" s="6">
        <v>2</v>
      </c>
      <c r="N318" s="20">
        <v>2</v>
      </c>
      <c r="O318" s="6" t="str">
        <f t="shared" si="45"/>
        <v>Correct</v>
      </c>
      <c r="P318" s="20" t="s">
        <v>3520</v>
      </c>
      <c r="Q318" s="6">
        <v>2</v>
      </c>
      <c r="R318" s="6" t="str">
        <f t="shared" si="41"/>
        <v>Correct</v>
      </c>
      <c r="S318" s="6" t="s">
        <v>3743</v>
      </c>
      <c r="T318" s="14">
        <v>2</v>
      </c>
      <c r="U318" s="6" t="str">
        <f t="shared" si="42"/>
        <v>Correct</v>
      </c>
      <c r="V318" s="6"/>
      <c r="W318" s="6"/>
      <c r="X318" s="14">
        <v>2</v>
      </c>
      <c r="Y318" s="14" t="str">
        <f t="shared" si="44"/>
        <v>Correct</v>
      </c>
      <c r="Z318" s="6">
        <v>317</v>
      </c>
      <c r="AA318" s="6"/>
      <c r="AB318" s="6"/>
      <c r="AC318" s="6">
        <v>1</v>
      </c>
      <c r="AD318" s="20" t="s">
        <v>40</v>
      </c>
      <c r="AE318" s="6" t="s">
        <v>1138</v>
      </c>
      <c r="AF318" s="6" t="s">
        <v>4229</v>
      </c>
      <c r="AG318" s="6" t="s">
        <v>4230</v>
      </c>
      <c r="AH318" s="6" t="s">
        <v>2299</v>
      </c>
      <c r="AI318" s="6" t="s">
        <v>4385</v>
      </c>
      <c r="AJ318" s="6" t="s">
        <v>4231</v>
      </c>
      <c r="AK318" s="6" t="s">
        <v>4232</v>
      </c>
      <c r="AL318" s="6" t="s">
        <v>3477</v>
      </c>
      <c r="AM318" s="6" t="s">
        <v>4994</v>
      </c>
      <c r="AN318" s="6" t="s">
        <v>4995</v>
      </c>
      <c r="AO318" s="6" t="s">
        <v>4996</v>
      </c>
      <c r="AP318" s="6" t="s">
        <v>4997</v>
      </c>
      <c r="AQ318" s="21" t="s">
        <v>4574</v>
      </c>
      <c r="AR318" s="6" t="s">
        <v>4998</v>
      </c>
      <c r="AS318" s="6" t="s">
        <v>4999</v>
      </c>
      <c r="AT318" s="14">
        <v>2</v>
      </c>
      <c r="AU318" s="14">
        <v>2</v>
      </c>
      <c r="AV318" s="14">
        <v>2</v>
      </c>
      <c r="AW318" s="14">
        <v>2</v>
      </c>
      <c r="AX318" s="14">
        <v>2</v>
      </c>
      <c r="AY318" s="14">
        <v>2</v>
      </c>
      <c r="AZ318" s="14">
        <v>2</v>
      </c>
    </row>
    <row r="319" spans="1:53" ht="47" customHeight="1" x14ac:dyDescent="0.2">
      <c r="A319" s="20">
        <v>5839201</v>
      </c>
      <c r="B319" s="20">
        <v>81164489</v>
      </c>
      <c r="C319" s="8" t="s">
        <v>2166</v>
      </c>
      <c r="D319" s="20" t="s">
        <v>3493</v>
      </c>
      <c r="E319" s="6">
        <f t="shared" si="36"/>
        <v>158</v>
      </c>
      <c r="F319" s="6" t="s">
        <v>5387</v>
      </c>
      <c r="G319" s="6">
        <f t="shared" si="37"/>
        <v>41</v>
      </c>
      <c r="H319" s="9">
        <f t="shared" si="38"/>
        <v>0.740506329113924</v>
      </c>
      <c r="I319" s="6" t="s">
        <v>5361</v>
      </c>
      <c r="J319" s="6">
        <v>2</v>
      </c>
      <c r="K319" s="9">
        <f t="shared" si="39"/>
        <v>1.2658227848101266E-2</v>
      </c>
      <c r="L319" s="20">
        <v>14</v>
      </c>
      <c r="M319" s="6">
        <v>2</v>
      </c>
      <c r="N319" s="20">
        <v>2</v>
      </c>
      <c r="O319" s="6" t="str">
        <f t="shared" si="45"/>
        <v>Correct</v>
      </c>
      <c r="P319" s="20" t="s">
        <v>3521</v>
      </c>
      <c r="Q319" s="6">
        <v>2</v>
      </c>
      <c r="R319" s="6" t="str">
        <f t="shared" si="41"/>
        <v>Correct</v>
      </c>
      <c r="S319" s="6" t="s">
        <v>3744</v>
      </c>
      <c r="T319" s="14">
        <v>2</v>
      </c>
      <c r="U319" s="6" t="str">
        <f t="shared" si="42"/>
        <v>Correct</v>
      </c>
      <c r="V319" s="6"/>
      <c r="W319" s="6"/>
      <c r="X319" s="14">
        <v>2</v>
      </c>
      <c r="Y319" s="14" t="str">
        <f t="shared" si="44"/>
        <v>Correct</v>
      </c>
      <c r="Z319" s="6">
        <v>318</v>
      </c>
      <c r="AA319" s="6"/>
      <c r="AB319" s="6"/>
      <c r="AC319" s="6">
        <v>1</v>
      </c>
      <c r="AD319" s="20" t="s">
        <v>40</v>
      </c>
      <c r="AE319" s="6" t="s">
        <v>69</v>
      </c>
      <c r="AF319" s="6" t="s">
        <v>4233</v>
      </c>
      <c r="AG319" s="6" t="s">
        <v>4234</v>
      </c>
      <c r="AH319" s="6" t="s">
        <v>4235</v>
      </c>
      <c r="AI319" s="6" t="s">
        <v>44</v>
      </c>
      <c r="AJ319" s="6" t="s">
        <v>4236</v>
      </c>
      <c r="AK319" s="6" t="s">
        <v>4237</v>
      </c>
      <c r="AL319" s="6" t="s">
        <v>3477</v>
      </c>
      <c r="AM319" s="6" t="s">
        <v>5000</v>
      </c>
      <c r="AN319" s="6" t="s">
        <v>5001</v>
      </c>
      <c r="AO319" s="6" t="s">
        <v>5002</v>
      </c>
      <c r="AP319" s="6" t="s">
        <v>5003</v>
      </c>
      <c r="AQ319" s="21" t="s">
        <v>3493</v>
      </c>
      <c r="AR319" s="6" t="s">
        <v>5004</v>
      </c>
      <c r="AS319" s="6" t="s">
        <v>5005</v>
      </c>
      <c r="AT319" s="14">
        <v>2</v>
      </c>
      <c r="AU319" s="14">
        <v>2</v>
      </c>
      <c r="AV319" s="14">
        <v>2</v>
      </c>
      <c r="AW319" s="14">
        <v>2</v>
      </c>
      <c r="AX319" s="14">
        <v>2</v>
      </c>
      <c r="AY319" s="14">
        <v>2</v>
      </c>
      <c r="AZ319" s="14">
        <v>2</v>
      </c>
    </row>
    <row r="320" spans="1:53" ht="47" customHeight="1" x14ac:dyDescent="0.2">
      <c r="A320" s="20">
        <v>7643189</v>
      </c>
      <c r="B320" s="20">
        <v>81251505</v>
      </c>
      <c r="C320" s="8" t="s">
        <v>2166</v>
      </c>
      <c r="D320" s="20" t="s">
        <v>3494</v>
      </c>
      <c r="E320" s="6">
        <f t="shared" si="36"/>
        <v>524</v>
      </c>
      <c r="F320" s="6" t="s">
        <v>5388</v>
      </c>
      <c r="G320" s="6">
        <f t="shared" si="37"/>
        <v>64</v>
      </c>
      <c r="H320" s="9">
        <f t="shared" si="38"/>
        <v>0.87786259541984735</v>
      </c>
      <c r="I320" s="6" t="s">
        <v>5362</v>
      </c>
      <c r="J320" s="6">
        <v>5</v>
      </c>
      <c r="K320" s="9">
        <f t="shared" si="39"/>
        <v>9.5419847328244278E-3</v>
      </c>
      <c r="L320" s="20">
        <v>10</v>
      </c>
      <c r="M320" s="6">
        <v>2</v>
      </c>
      <c r="N320" s="20">
        <v>1</v>
      </c>
      <c r="O320" s="6" t="str">
        <f t="shared" si="45"/>
        <v>Overtriaged</v>
      </c>
      <c r="P320" s="20" t="s">
        <v>3522</v>
      </c>
      <c r="Q320" s="6">
        <v>1</v>
      </c>
      <c r="R320" s="6" t="str">
        <f t="shared" si="41"/>
        <v>Overtriaged</v>
      </c>
      <c r="S320" s="6" t="s">
        <v>3745</v>
      </c>
      <c r="T320" s="14">
        <v>1</v>
      </c>
      <c r="U320" s="6" t="str">
        <f t="shared" si="42"/>
        <v>Overtriaged</v>
      </c>
      <c r="V320" s="6"/>
      <c r="W320" s="6"/>
      <c r="X320" s="14">
        <v>1</v>
      </c>
      <c r="Y320" s="14" t="str">
        <f t="shared" si="44"/>
        <v>Overtriaged</v>
      </c>
      <c r="Z320" s="6">
        <v>319</v>
      </c>
      <c r="AA320" s="6"/>
      <c r="AB320" s="6"/>
      <c r="AC320" s="6">
        <v>1</v>
      </c>
      <c r="AD320" s="20" t="s">
        <v>40</v>
      </c>
      <c r="AE320" s="6" t="s">
        <v>518</v>
      </c>
      <c r="AF320" s="6" t="s">
        <v>4238</v>
      </c>
      <c r="AG320" s="6" t="s">
        <v>4239</v>
      </c>
      <c r="AH320" s="6" t="s">
        <v>4240</v>
      </c>
      <c r="AI320" s="6" t="s">
        <v>4386</v>
      </c>
      <c r="AJ320" s="6" t="s">
        <v>4241</v>
      </c>
      <c r="AK320" s="6" t="s">
        <v>4242</v>
      </c>
      <c r="AL320" s="6" t="s">
        <v>3477</v>
      </c>
      <c r="AM320" s="6" t="s">
        <v>5006</v>
      </c>
      <c r="AN320" s="6" t="s">
        <v>5007</v>
      </c>
      <c r="AO320" s="6" t="s">
        <v>5008</v>
      </c>
      <c r="AP320" s="6" t="s">
        <v>5009</v>
      </c>
      <c r="AQ320" s="21" t="s">
        <v>4575</v>
      </c>
      <c r="AR320" s="6" t="s">
        <v>5010</v>
      </c>
      <c r="AS320" s="6" t="s">
        <v>5011</v>
      </c>
      <c r="AT320" s="14">
        <v>1</v>
      </c>
      <c r="AU320" s="14">
        <v>1</v>
      </c>
      <c r="AV320" s="14">
        <v>1</v>
      </c>
      <c r="AW320" s="14">
        <v>1</v>
      </c>
      <c r="AX320" s="14">
        <v>1</v>
      </c>
      <c r="AY320" s="14">
        <v>1</v>
      </c>
      <c r="AZ320" s="14">
        <v>1</v>
      </c>
    </row>
    <row r="321" spans="1:52" ht="47" customHeight="1" x14ac:dyDescent="0.2">
      <c r="A321" s="20">
        <v>1294756</v>
      </c>
      <c r="B321" s="20">
        <v>81371548</v>
      </c>
      <c r="C321" s="8" t="s">
        <v>2166</v>
      </c>
      <c r="D321" s="20" t="s">
        <v>3495</v>
      </c>
      <c r="E321" s="6">
        <f t="shared" si="36"/>
        <v>294</v>
      </c>
      <c r="F321" s="6" t="s">
        <v>5407</v>
      </c>
      <c r="G321" s="6">
        <f t="shared" si="37"/>
        <v>36</v>
      </c>
      <c r="H321" s="9">
        <f t="shared" si="38"/>
        <v>0.87755102040816324</v>
      </c>
      <c r="I321" s="6" t="s">
        <v>5363</v>
      </c>
      <c r="J321" s="6">
        <v>2</v>
      </c>
      <c r="K321" s="9">
        <f t="shared" si="39"/>
        <v>6.8027210884353739E-3</v>
      </c>
      <c r="L321" s="20">
        <v>10</v>
      </c>
      <c r="M321" s="6">
        <v>2</v>
      </c>
      <c r="N321" s="20">
        <v>1</v>
      </c>
      <c r="O321" s="6" t="str">
        <f t="shared" si="45"/>
        <v>Overtriaged</v>
      </c>
      <c r="P321" s="20" t="s">
        <v>3523</v>
      </c>
      <c r="Q321" s="6">
        <v>1</v>
      </c>
      <c r="R321" s="6" t="str">
        <f t="shared" si="41"/>
        <v>Overtriaged</v>
      </c>
      <c r="S321" s="6" t="s">
        <v>3848</v>
      </c>
      <c r="T321" s="14">
        <v>1</v>
      </c>
      <c r="U321" s="6" t="str">
        <f t="shared" si="42"/>
        <v>Overtriaged</v>
      </c>
      <c r="V321" s="6"/>
      <c r="W321" s="6"/>
      <c r="X321" s="14">
        <v>2</v>
      </c>
      <c r="Y321" s="14" t="str">
        <f t="shared" si="44"/>
        <v>Correct</v>
      </c>
      <c r="Z321" s="6">
        <v>320</v>
      </c>
      <c r="AA321" s="6"/>
      <c r="AB321" s="6"/>
      <c r="AC321" s="6">
        <v>1</v>
      </c>
      <c r="AD321" s="20" t="s">
        <v>40</v>
      </c>
      <c r="AE321" s="6" t="s">
        <v>4243</v>
      </c>
      <c r="AF321" s="6" t="s">
        <v>4244</v>
      </c>
      <c r="AG321" s="6" t="s">
        <v>4245</v>
      </c>
      <c r="AH321" s="6" t="s">
        <v>4246</v>
      </c>
      <c r="AI321" s="6" t="s">
        <v>4387</v>
      </c>
      <c r="AJ321" s="6" t="s">
        <v>4247</v>
      </c>
      <c r="AK321" s="6" t="s">
        <v>4248</v>
      </c>
      <c r="AL321" s="6" t="s">
        <v>3477</v>
      </c>
      <c r="AM321" s="6" t="s">
        <v>5012</v>
      </c>
      <c r="AN321" s="6" t="s">
        <v>5013</v>
      </c>
      <c r="AO321" s="6" t="s">
        <v>5014</v>
      </c>
      <c r="AP321" s="6" t="s">
        <v>5015</v>
      </c>
      <c r="AQ321" s="21" t="s">
        <v>4576</v>
      </c>
      <c r="AR321" s="6" t="s">
        <v>5016</v>
      </c>
      <c r="AS321" s="6" t="s">
        <v>5017</v>
      </c>
      <c r="AT321" s="14">
        <v>2</v>
      </c>
      <c r="AU321" s="14">
        <v>2</v>
      </c>
      <c r="AV321" s="14">
        <v>2</v>
      </c>
      <c r="AW321" s="14">
        <v>2</v>
      </c>
      <c r="AX321" s="14">
        <v>2</v>
      </c>
      <c r="AY321" s="14">
        <v>2</v>
      </c>
      <c r="AZ321" s="14">
        <v>2</v>
      </c>
    </row>
    <row r="322" spans="1:52" ht="47" customHeight="1" x14ac:dyDescent="0.2">
      <c r="A322" s="20">
        <v>8472065</v>
      </c>
      <c r="B322" s="20">
        <v>81374484</v>
      </c>
      <c r="C322" s="8" t="s">
        <v>2166</v>
      </c>
      <c r="D322" s="20" t="s">
        <v>3496</v>
      </c>
      <c r="E322" s="6">
        <f t="shared" ref="E322:E373" si="46">IF(LEN(TRIM(D322))=0, 0, LEN(TRIM(D322)) - LEN(SUBSTITUTE(D322, " ", "")) + 1)</f>
        <v>134</v>
      </c>
      <c r="F322" s="6" t="s">
        <v>5389</v>
      </c>
      <c r="G322" s="6">
        <f t="shared" ref="G322:G338" si="47">IF(LEN(TRIM(F322))=0, 0, LEN(TRIM(F322)) - LEN(SUBSTITUTE(F322, " ", "")) + 1)</f>
        <v>45</v>
      </c>
      <c r="H322" s="9">
        <f t="shared" ref="H322:H338" si="48">((E322-G322)/E322)</f>
        <v>0.66417910447761197</v>
      </c>
      <c r="I322" s="6" t="s">
        <v>5364</v>
      </c>
      <c r="J322" s="6">
        <v>5</v>
      </c>
      <c r="K322" s="9">
        <f t="shared" ref="K322:K338" si="49">J322/E322</f>
        <v>3.7313432835820892E-2</v>
      </c>
      <c r="L322" s="20">
        <v>33</v>
      </c>
      <c r="M322" s="6">
        <v>1</v>
      </c>
      <c r="N322" s="20">
        <v>1</v>
      </c>
      <c r="O322" s="6" t="str">
        <f t="shared" si="45"/>
        <v>Correct</v>
      </c>
      <c r="P322" s="20" t="s">
        <v>3524</v>
      </c>
      <c r="Q322" s="6">
        <v>1</v>
      </c>
      <c r="R322" s="6" t="str">
        <f t="shared" ref="R322:R373" si="50">IF(Q322=M322, "Correct", IF(Q322=1, "Overtriaged", "Undertriaged"))</f>
        <v>Correct</v>
      </c>
      <c r="S322" s="6" t="s">
        <v>3746</v>
      </c>
      <c r="T322" s="14">
        <v>1</v>
      </c>
      <c r="U322" s="6" t="str">
        <f t="shared" ref="U322:U338" si="51">IF(T322=M322, "Correct", IF(T322=1, "Overtriaged", "Undertriaged"))</f>
        <v>Correct</v>
      </c>
      <c r="V322" s="6"/>
      <c r="W322" s="6"/>
      <c r="X322" s="14">
        <v>1</v>
      </c>
      <c r="Y322" s="14" t="str">
        <f t="shared" si="44"/>
        <v>Correct</v>
      </c>
      <c r="Z322" s="6">
        <v>321</v>
      </c>
      <c r="AA322" s="6"/>
      <c r="AB322" s="6"/>
      <c r="AC322" s="6">
        <v>1</v>
      </c>
      <c r="AD322" s="20" t="s">
        <v>3541</v>
      </c>
      <c r="AE322" s="6" t="s">
        <v>2419</v>
      </c>
      <c r="AF322" s="6" t="s">
        <v>4249</v>
      </c>
      <c r="AG322" s="6" t="s">
        <v>4250</v>
      </c>
      <c r="AH322" s="6" t="s">
        <v>4251</v>
      </c>
      <c r="AI322" s="6" t="s">
        <v>44</v>
      </c>
      <c r="AJ322" s="6" t="s">
        <v>44</v>
      </c>
      <c r="AK322" s="6" t="s">
        <v>4252</v>
      </c>
      <c r="AL322" s="6" t="s">
        <v>5098</v>
      </c>
      <c r="AM322" s="6" t="s">
        <v>5018</v>
      </c>
      <c r="AN322" s="6" t="s">
        <v>5019</v>
      </c>
      <c r="AO322" s="6" t="s">
        <v>5020</v>
      </c>
      <c r="AP322" s="6" t="s">
        <v>5021</v>
      </c>
      <c r="AQ322" s="21" t="s">
        <v>3496</v>
      </c>
      <c r="AR322" s="6" t="s">
        <v>3496</v>
      </c>
      <c r="AS322" s="6" t="s">
        <v>5022</v>
      </c>
      <c r="AT322" s="14">
        <v>1</v>
      </c>
      <c r="AU322" s="14">
        <v>1</v>
      </c>
      <c r="AV322" s="14">
        <v>1</v>
      </c>
      <c r="AW322" s="14">
        <v>1</v>
      </c>
      <c r="AX322" s="14">
        <v>1</v>
      </c>
      <c r="AY322" s="14">
        <v>1</v>
      </c>
      <c r="AZ322" s="14">
        <v>1</v>
      </c>
    </row>
    <row r="323" spans="1:52" ht="47" customHeight="1" x14ac:dyDescent="0.2">
      <c r="A323" s="20">
        <v>3109824</v>
      </c>
      <c r="B323" s="20">
        <v>81216352</v>
      </c>
      <c r="C323" s="8" t="s">
        <v>2166</v>
      </c>
      <c r="D323" s="20" t="s">
        <v>3497</v>
      </c>
      <c r="E323" s="6">
        <f t="shared" si="46"/>
        <v>232</v>
      </c>
      <c r="F323" s="6" t="s">
        <v>5390</v>
      </c>
      <c r="G323" s="6">
        <f t="shared" si="47"/>
        <v>45</v>
      </c>
      <c r="H323" s="9">
        <f t="shared" si="48"/>
        <v>0.80603448275862066</v>
      </c>
      <c r="I323" s="6" t="s">
        <v>5365</v>
      </c>
      <c r="J323" s="6">
        <v>4</v>
      </c>
      <c r="K323" s="9">
        <f t="shared" si="49"/>
        <v>1.7241379310344827E-2</v>
      </c>
      <c r="L323" s="20">
        <v>10</v>
      </c>
      <c r="M323" s="6">
        <v>2</v>
      </c>
      <c r="N323" s="20">
        <v>2</v>
      </c>
      <c r="O323" s="6" t="str">
        <f t="shared" si="45"/>
        <v>Correct</v>
      </c>
      <c r="P323" s="20" t="s">
        <v>3525</v>
      </c>
      <c r="Q323" s="6">
        <v>2</v>
      </c>
      <c r="R323" s="6" t="str">
        <f t="shared" si="50"/>
        <v>Correct</v>
      </c>
      <c r="S323" s="6" t="s">
        <v>3747</v>
      </c>
      <c r="T323" s="14">
        <v>2</v>
      </c>
      <c r="U323" s="6" t="str">
        <f t="shared" si="51"/>
        <v>Correct</v>
      </c>
      <c r="V323" s="6"/>
      <c r="W323" s="6"/>
      <c r="X323" s="14">
        <v>2</v>
      </c>
      <c r="Y323" s="14" t="str">
        <f t="shared" ref="Y323:Y338" si="52">IF(X323=M323, "Correct", IF(X323=1, "Overtriaged", "Undertriaged"))</f>
        <v>Correct</v>
      </c>
      <c r="Z323" s="6">
        <v>322</v>
      </c>
      <c r="AA323" s="6"/>
      <c r="AB323" s="6"/>
      <c r="AC323" s="6">
        <v>1</v>
      </c>
      <c r="AD323" s="20" t="s">
        <v>3541</v>
      </c>
      <c r="AE323" s="6" t="s">
        <v>783</v>
      </c>
      <c r="AF323" s="6" t="s">
        <v>4253</v>
      </c>
      <c r="AG323" s="6" t="s">
        <v>4254</v>
      </c>
      <c r="AH323" s="6" t="s">
        <v>44</v>
      </c>
      <c r="AI323" s="6" t="s">
        <v>4388</v>
      </c>
      <c r="AJ323" s="6" t="s">
        <v>4255</v>
      </c>
      <c r="AK323" s="6" t="s">
        <v>4256</v>
      </c>
      <c r="AL323" s="6" t="s">
        <v>3476</v>
      </c>
      <c r="AM323" s="6" t="s">
        <v>5023</v>
      </c>
      <c r="AN323" s="6" t="s">
        <v>5024</v>
      </c>
      <c r="AO323" s="6" t="s">
        <v>5025</v>
      </c>
      <c r="AP323" s="6" t="s">
        <v>3497</v>
      </c>
      <c r="AQ323" s="21" t="s">
        <v>4577</v>
      </c>
      <c r="AR323" s="6" t="s">
        <v>5026</v>
      </c>
      <c r="AS323" s="6" t="s">
        <v>5027</v>
      </c>
      <c r="AT323" s="14">
        <v>2</v>
      </c>
      <c r="AU323" s="14">
        <v>2</v>
      </c>
      <c r="AV323" s="14">
        <v>2</v>
      </c>
      <c r="AW323" s="14">
        <v>2</v>
      </c>
      <c r="AX323" s="14">
        <v>2</v>
      </c>
      <c r="AY323" s="14">
        <v>2</v>
      </c>
      <c r="AZ323" s="14">
        <v>2</v>
      </c>
    </row>
    <row r="324" spans="1:52" ht="47" customHeight="1" x14ac:dyDescent="0.2">
      <c r="A324" s="20">
        <v>6597310</v>
      </c>
      <c r="B324" s="20">
        <v>81231238</v>
      </c>
      <c r="C324" s="8" t="s">
        <v>2166</v>
      </c>
      <c r="D324" s="20" t="s">
        <v>3498</v>
      </c>
      <c r="E324" s="6">
        <f t="shared" si="46"/>
        <v>220</v>
      </c>
      <c r="F324" s="6" t="s">
        <v>5391</v>
      </c>
      <c r="G324" s="6">
        <f t="shared" si="47"/>
        <v>82</v>
      </c>
      <c r="H324" s="9">
        <f t="shared" si="48"/>
        <v>0.62727272727272732</v>
      </c>
      <c r="I324" s="6" t="s">
        <v>5366</v>
      </c>
      <c r="J324" s="6">
        <v>4</v>
      </c>
      <c r="K324" s="9">
        <f t="shared" si="49"/>
        <v>1.8181818181818181E-2</v>
      </c>
      <c r="L324" s="20">
        <v>4</v>
      </c>
      <c r="M324" s="6">
        <v>2</v>
      </c>
      <c r="N324" s="20">
        <v>2</v>
      </c>
      <c r="O324" s="6" t="str">
        <f t="shared" si="45"/>
        <v>Correct</v>
      </c>
      <c r="P324" s="20" t="s">
        <v>3526</v>
      </c>
      <c r="Q324" s="6">
        <v>2</v>
      </c>
      <c r="R324" s="6" t="str">
        <f t="shared" si="50"/>
        <v>Correct</v>
      </c>
      <c r="S324" s="6" t="s">
        <v>3748</v>
      </c>
      <c r="T324" s="14">
        <v>1</v>
      </c>
      <c r="U324" s="6" t="str">
        <f t="shared" si="51"/>
        <v>Overtriaged</v>
      </c>
      <c r="V324" s="6"/>
      <c r="W324" s="6"/>
      <c r="X324" s="14">
        <v>2</v>
      </c>
      <c r="Y324" s="14" t="str">
        <f t="shared" si="52"/>
        <v>Correct</v>
      </c>
      <c r="Z324" s="6">
        <v>323</v>
      </c>
      <c r="AA324" s="6"/>
      <c r="AB324" s="6"/>
      <c r="AC324" s="6">
        <v>1</v>
      </c>
      <c r="AD324" s="20" t="s">
        <v>40</v>
      </c>
      <c r="AE324" s="6" t="s">
        <v>4257</v>
      </c>
      <c r="AF324" s="6" t="s">
        <v>4258</v>
      </c>
      <c r="AG324" s="6" t="s">
        <v>4259</v>
      </c>
      <c r="AH324" s="6" t="s">
        <v>4260</v>
      </c>
      <c r="AI324" s="6" t="s">
        <v>4389</v>
      </c>
      <c r="AJ324" s="6" t="s">
        <v>4261</v>
      </c>
      <c r="AK324" s="6" t="s">
        <v>4262</v>
      </c>
      <c r="AL324" s="6" t="s">
        <v>3477</v>
      </c>
      <c r="AM324" s="6" t="s">
        <v>5028</v>
      </c>
      <c r="AN324" s="6" t="s">
        <v>5029</v>
      </c>
      <c r="AO324" s="6" t="s">
        <v>5030</v>
      </c>
      <c r="AP324" s="6" t="s">
        <v>5031</v>
      </c>
      <c r="AQ324" s="21" t="s">
        <v>4578</v>
      </c>
      <c r="AR324" s="6" t="s">
        <v>5032</v>
      </c>
      <c r="AS324" s="6" t="s">
        <v>5033</v>
      </c>
      <c r="AT324" s="14">
        <v>2</v>
      </c>
      <c r="AU324" s="14">
        <v>2</v>
      </c>
      <c r="AV324" s="14">
        <v>2</v>
      </c>
      <c r="AW324" s="14">
        <v>2</v>
      </c>
      <c r="AX324" s="14">
        <v>2</v>
      </c>
      <c r="AY324" s="14">
        <v>2</v>
      </c>
      <c r="AZ324" s="14">
        <v>2</v>
      </c>
    </row>
    <row r="325" spans="1:52" ht="47" customHeight="1" x14ac:dyDescent="0.2">
      <c r="A325" s="20">
        <v>2758943</v>
      </c>
      <c r="B325" s="20">
        <v>81247585</v>
      </c>
      <c r="C325" s="8" t="s">
        <v>2166</v>
      </c>
      <c r="D325" s="20" t="s">
        <v>3499</v>
      </c>
      <c r="E325" s="6">
        <f t="shared" si="46"/>
        <v>120</v>
      </c>
      <c r="F325" s="6" t="s">
        <v>5392</v>
      </c>
      <c r="G325" s="6">
        <f t="shared" si="47"/>
        <v>18</v>
      </c>
      <c r="H325" s="9">
        <f t="shared" si="48"/>
        <v>0.85</v>
      </c>
      <c r="I325" s="6"/>
      <c r="J325" s="6">
        <v>0</v>
      </c>
      <c r="K325" s="9">
        <f t="shared" si="49"/>
        <v>0</v>
      </c>
      <c r="L325" s="20">
        <v>1</v>
      </c>
      <c r="M325" s="6">
        <v>2</v>
      </c>
      <c r="N325" s="20">
        <v>2</v>
      </c>
      <c r="O325" s="6" t="str">
        <f t="shared" si="45"/>
        <v>Correct</v>
      </c>
      <c r="P325" s="20" t="s">
        <v>3527</v>
      </c>
      <c r="Q325" s="6">
        <v>2</v>
      </c>
      <c r="R325" s="6" t="str">
        <f t="shared" si="50"/>
        <v>Correct</v>
      </c>
      <c r="S325" s="6" t="s">
        <v>3749</v>
      </c>
      <c r="T325" s="14">
        <v>2</v>
      </c>
      <c r="U325" s="6" t="str">
        <f t="shared" si="51"/>
        <v>Correct</v>
      </c>
      <c r="V325" s="6"/>
      <c r="W325" s="6"/>
      <c r="X325" s="14">
        <v>2</v>
      </c>
      <c r="Y325" s="14" t="str">
        <f t="shared" si="52"/>
        <v>Correct</v>
      </c>
      <c r="Z325" s="6">
        <v>324</v>
      </c>
      <c r="AA325" s="6"/>
      <c r="AB325" s="6"/>
      <c r="AC325" s="6">
        <v>1</v>
      </c>
      <c r="AD325" s="20" t="s">
        <v>3541</v>
      </c>
      <c r="AE325" s="6" t="s">
        <v>44</v>
      </c>
      <c r="AF325" s="6" t="s">
        <v>4263</v>
      </c>
      <c r="AG325" s="6" t="s">
        <v>4264</v>
      </c>
      <c r="AH325" s="6" t="s">
        <v>44</v>
      </c>
      <c r="AI325" s="6" t="s">
        <v>44</v>
      </c>
      <c r="AJ325" s="6" t="s">
        <v>4265</v>
      </c>
      <c r="AK325" s="6" t="s">
        <v>4266</v>
      </c>
      <c r="AL325" s="6" t="s">
        <v>5102</v>
      </c>
      <c r="AM325" s="6" t="s">
        <v>3499</v>
      </c>
      <c r="AN325" s="6" t="s">
        <v>5034</v>
      </c>
      <c r="AO325" s="6" t="s">
        <v>5035</v>
      </c>
      <c r="AP325" s="6" t="s">
        <v>3499</v>
      </c>
      <c r="AQ325" s="21" t="s">
        <v>3499</v>
      </c>
      <c r="AR325" s="6" t="s">
        <v>5036</v>
      </c>
      <c r="AS325" s="6" t="s">
        <v>5037</v>
      </c>
      <c r="AT325" s="14">
        <v>2</v>
      </c>
      <c r="AU325" s="14">
        <v>2</v>
      </c>
      <c r="AV325" s="14">
        <v>2</v>
      </c>
      <c r="AW325" s="14">
        <v>2</v>
      </c>
      <c r="AX325" s="14">
        <v>2</v>
      </c>
      <c r="AY325" s="14">
        <v>2</v>
      </c>
      <c r="AZ325" s="14">
        <v>2</v>
      </c>
    </row>
    <row r="326" spans="1:52" ht="47" customHeight="1" x14ac:dyDescent="0.2">
      <c r="A326" s="20">
        <v>9186427</v>
      </c>
      <c r="B326" s="20">
        <v>81264272</v>
      </c>
      <c r="C326" s="8" t="s">
        <v>2166</v>
      </c>
      <c r="D326" s="20" t="s">
        <v>3500</v>
      </c>
      <c r="E326" s="6">
        <f t="shared" si="46"/>
        <v>158</v>
      </c>
      <c r="F326" s="6" t="s">
        <v>5393</v>
      </c>
      <c r="G326" s="6">
        <f t="shared" si="47"/>
        <v>59</v>
      </c>
      <c r="H326" s="9">
        <f t="shared" si="48"/>
        <v>0.62658227848101267</v>
      </c>
      <c r="I326" s="6" t="s">
        <v>5367</v>
      </c>
      <c r="J326" s="6">
        <v>4</v>
      </c>
      <c r="K326" s="9">
        <f t="shared" si="49"/>
        <v>2.5316455696202531E-2</v>
      </c>
      <c r="L326" s="20">
        <v>10</v>
      </c>
      <c r="M326" s="6">
        <v>2</v>
      </c>
      <c r="N326" s="20">
        <v>2</v>
      </c>
      <c r="O326" s="6" t="str">
        <f t="shared" si="45"/>
        <v>Correct</v>
      </c>
      <c r="P326" s="20" t="s">
        <v>3528</v>
      </c>
      <c r="Q326" s="6">
        <v>2</v>
      </c>
      <c r="R326" s="6" t="str">
        <f t="shared" si="50"/>
        <v>Correct</v>
      </c>
      <c r="S326" s="6" t="s">
        <v>3750</v>
      </c>
      <c r="T326" s="14">
        <v>2</v>
      </c>
      <c r="U326" s="6" t="str">
        <f t="shared" si="51"/>
        <v>Correct</v>
      </c>
      <c r="V326" s="6"/>
      <c r="W326" s="6"/>
      <c r="X326" s="14">
        <v>2</v>
      </c>
      <c r="Y326" s="14" t="str">
        <f t="shared" si="52"/>
        <v>Correct</v>
      </c>
      <c r="Z326" s="6">
        <v>325</v>
      </c>
      <c r="AA326" s="6"/>
      <c r="AB326" s="6"/>
      <c r="AC326" s="6">
        <v>1</v>
      </c>
      <c r="AD326" s="20" t="s">
        <v>40</v>
      </c>
      <c r="AE326" s="6" t="s">
        <v>2586</v>
      </c>
      <c r="AF326" s="6" t="s">
        <v>4267</v>
      </c>
      <c r="AG326" s="6" t="s">
        <v>4268</v>
      </c>
      <c r="AH326" s="6" t="s">
        <v>4269</v>
      </c>
      <c r="AI326" s="6" t="s">
        <v>44</v>
      </c>
      <c r="AJ326" s="6" t="s">
        <v>44</v>
      </c>
      <c r="AK326" s="6" t="s">
        <v>4270</v>
      </c>
      <c r="AL326" s="6" t="s">
        <v>5098</v>
      </c>
      <c r="AM326" s="6" t="s">
        <v>5038</v>
      </c>
      <c r="AN326" s="6" t="s">
        <v>5039</v>
      </c>
      <c r="AO326" s="6" t="s">
        <v>5040</v>
      </c>
      <c r="AP326" s="6" t="s">
        <v>5041</v>
      </c>
      <c r="AQ326" s="21" t="s">
        <v>3500</v>
      </c>
      <c r="AR326" s="6" t="s">
        <v>3500</v>
      </c>
      <c r="AS326" s="6" t="s">
        <v>5042</v>
      </c>
      <c r="AT326" s="14">
        <v>2</v>
      </c>
      <c r="AU326" s="14">
        <v>2</v>
      </c>
      <c r="AV326" s="14">
        <v>2</v>
      </c>
      <c r="AW326" s="14">
        <v>2</v>
      </c>
      <c r="AX326" s="14">
        <v>2</v>
      </c>
      <c r="AY326" s="14">
        <v>2</v>
      </c>
      <c r="AZ326" s="14">
        <v>2</v>
      </c>
    </row>
    <row r="327" spans="1:52" ht="47" customHeight="1" x14ac:dyDescent="0.2">
      <c r="A327" s="20">
        <v>9658653</v>
      </c>
      <c r="B327" s="20">
        <v>81265798</v>
      </c>
      <c r="C327" s="8" t="s">
        <v>2166</v>
      </c>
      <c r="D327" s="20" t="s">
        <v>3501</v>
      </c>
      <c r="E327" s="6">
        <f t="shared" si="46"/>
        <v>150</v>
      </c>
      <c r="F327" s="6" t="s">
        <v>5394</v>
      </c>
      <c r="G327" s="6">
        <f t="shared" si="47"/>
        <v>58</v>
      </c>
      <c r="H327" s="9">
        <f t="shared" si="48"/>
        <v>0.61333333333333329</v>
      </c>
      <c r="I327" s="6" t="s">
        <v>5368</v>
      </c>
      <c r="J327" s="6">
        <v>3</v>
      </c>
      <c r="K327" s="9">
        <f t="shared" si="49"/>
        <v>0.02</v>
      </c>
      <c r="L327" s="20">
        <v>13</v>
      </c>
      <c r="M327" s="6">
        <v>2</v>
      </c>
      <c r="N327" s="20">
        <v>2</v>
      </c>
      <c r="O327" s="6" t="str">
        <f t="shared" si="45"/>
        <v>Correct</v>
      </c>
      <c r="P327" s="20" t="s">
        <v>3529</v>
      </c>
      <c r="Q327" s="6">
        <v>2</v>
      </c>
      <c r="R327" s="6" t="str">
        <f t="shared" si="50"/>
        <v>Correct</v>
      </c>
      <c r="S327" s="6" t="s">
        <v>3751</v>
      </c>
      <c r="T327" s="14">
        <v>2</v>
      </c>
      <c r="U327" s="6" t="str">
        <f t="shared" si="51"/>
        <v>Correct</v>
      </c>
      <c r="V327" s="6"/>
      <c r="W327" s="6"/>
      <c r="X327" s="14">
        <v>2</v>
      </c>
      <c r="Y327" s="14" t="str">
        <f t="shared" si="52"/>
        <v>Correct</v>
      </c>
      <c r="Z327" s="6">
        <v>326</v>
      </c>
      <c r="AA327" s="6"/>
      <c r="AB327" s="6"/>
      <c r="AC327" s="6">
        <v>1</v>
      </c>
      <c r="AD327" s="20" t="s">
        <v>40</v>
      </c>
      <c r="AE327" s="6" t="s">
        <v>4271</v>
      </c>
      <c r="AF327" s="6" t="s">
        <v>574</v>
      </c>
      <c r="AG327" s="6" t="s">
        <v>4272</v>
      </c>
      <c r="AH327" s="6" t="s">
        <v>44</v>
      </c>
      <c r="AI327" s="6" t="s">
        <v>44</v>
      </c>
      <c r="AJ327" s="6" t="s">
        <v>44</v>
      </c>
      <c r="AK327" s="6" t="s">
        <v>4273</v>
      </c>
      <c r="AL327" s="6" t="s">
        <v>5099</v>
      </c>
      <c r="AM327" s="6" t="s">
        <v>5043</v>
      </c>
      <c r="AN327" s="6" t="s">
        <v>5044</v>
      </c>
      <c r="AO327" s="6" t="s">
        <v>5045</v>
      </c>
      <c r="AP327" s="6" t="s">
        <v>3501</v>
      </c>
      <c r="AQ327" s="21" t="s">
        <v>3501</v>
      </c>
      <c r="AR327" s="6" t="s">
        <v>3501</v>
      </c>
      <c r="AS327" s="6" t="s">
        <v>5046</v>
      </c>
      <c r="AT327" s="14">
        <v>2</v>
      </c>
      <c r="AU327" s="14">
        <v>2</v>
      </c>
      <c r="AV327" s="14">
        <v>2</v>
      </c>
      <c r="AW327" s="14">
        <v>2</v>
      </c>
      <c r="AX327" s="14">
        <v>2</v>
      </c>
      <c r="AY327" s="14">
        <v>2</v>
      </c>
      <c r="AZ327" s="14">
        <v>2</v>
      </c>
    </row>
    <row r="328" spans="1:52" ht="47" customHeight="1" x14ac:dyDescent="0.2">
      <c r="A328" s="20">
        <v>9583617</v>
      </c>
      <c r="B328" s="20">
        <v>81282189</v>
      </c>
      <c r="C328" s="8" t="s">
        <v>2166</v>
      </c>
      <c r="D328" s="20" t="s">
        <v>3502</v>
      </c>
      <c r="E328" s="6">
        <f t="shared" si="46"/>
        <v>189</v>
      </c>
      <c r="F328" s="6" t="s">
        <v>5395</v>
      </c>
      <c r="G328" s="6">
        <f t="shared" si="47"/>
        <v>48</v>
      </c>
      <c r="H328" s="9">
        <f t="shared" si="48"/>
        <v>0.74603174603174605</v>
      </c>
      <c r="I328" s="6" t="s">
        <v>5369</v>
      </c>
      <c r="J328" s="6">
        <v>4</v>
      </c>
      <c r="K328" s="9">
        <f t="shared" si="49"/>
        <v>2.1164021164021163E-2</v>
      </c>
      <c r="L328" s="20">
        <v>9</v>
      </c>
      <c r="M328" s="6">
        <v>2</v>
      </c>
      <c r="N328" s="20">
        <v>2</v>
      </c>
      <c r="O328" s="6" t="str">
        <f t="shared" si="45"/>
        <v>Correct</v>
      </c>
      <c r="P328" s="20" t="s">
        <v>3530</v>
      </c>
      <c r="Q328" s="6">
        <v>2</v>
      </c>
      <c r="R328" s="6" t="str">
        <f t="shared" si="50"/>
        <v>Correct</v>
      </c>
      <c r="S328" s="6" t="s">
        <v>3752</v>
      </c>
      <c r="T328" s="14">
        <v>2</v>
      </c>
      <c r="U328" s="6" t="str">
        <f t="shared" si="51"/>
        <v>Correct</v>
      </c>
      <c r="V328" s="6"/>
      <c r="W328" s="6"/>
      <c r="X328" s="14">
        <v>2</v>
      </c>
      <c r="Y328" s="14" t="str">
        <f t="shared" si="52"/>
        <v>Correct</v>
      </c>
      <c r="Z328" s="6">
        <v>327</v>
      </c>
      <c r="AA328" s="6"/>
      <c r="AB328" s="6"/>
      <c r="AC328" s="6">
        <v>1</v>
      </c>
      <c r="AD328" s="20" t="s">
        <v>40</v>
      </c>
      <c r="AE328" s="6" t="s">
        <v>4274</v>
      </c>
      <c r="AF328" s="6" t="s">
        <v>4275</v>
      </c>
      <c r="AG328" s="6" t="s">
        <v>4276</v>
      </c>
      <c r="AH328" s="6" t="s">
        <v>44</v>
      </c>
      <c r="AI328" s="6" t="s">
        <v>4390</v>
      </c>
      <c r="AJ328" s="6" t="s">
        <v>4277</v>
      </c>
      <c r="AK328" s="6" t="s">
        <v>4278</v>
      </c>
      <c r="AL328" s="6" t="s">
        <v>3476</v>
      </c>
      <c r="AM328" s="6" t="s">
        <v>5047</v>
      </c>
      <c r="AN328" s="6" t="s">
        <v>5048</v>
      </c>
      <c r="AO328" s="6" t="s">
        <v>5049</v>
      </c>
      <c r="AP328" s="6" t="s">
        <v>3502</v>
      </c>
      <c r="AQ328" s="21" t="s">
        <v>4579</v>
      </c>
      <c r="AR328" s="6" t="s">
        <v>5050</v>
      </c>
      <c r="AS328" s="6" t="s">
        <v>5051</v>
      </c>
      <c r="AT328" s="14">
        <v>2</v>
      </c>
      <c r="AU328" s="14">
        <v>2</v>
      </c>
      <c r="AV328" s="14">
        <v>2</v>
      </c>
      <c r="AW328" s="14">
        <v>2</v>
      </c>
      <c r="AX328" s="14">
        <v>2</v>
      </c>
      <c r="AY328" s="14">
        <v>2</v>
      </c>
      <c r="AZ328" s="14">
        <v>2</v>
      </c>
    </row>
    <row r="329" spans="1:52" ht="47" customHeight="1" x14ac:dyDescent="0.2">
      <c r="A329" s="20">
        <v>7016215</v>
      </c>
      <c r="B329" s="20">
        <v>81304011</v>
      </c>
      <c r="C329" s="8" t="s">
        <v>2166</v>
      </c>
      <c r="D329" s="20" t="s">
        <v>3503</v>
      </c>
      <c r="E329" s="6">
        <f t="shared" si="46"/>
        <v>377</v>
      </c>
      <c r="F329" s="6" t="s">
        <v>5396</v>
      </c>
      <c r="G329" s="6">
        <f t="shared" si="47"/>
        <v>108</v>
      </c>
      <c r="H329" s="9">
        <f t="shared" si="48"/>
        <v>0.71352785145888598</v>
      </c>
      <c r="I329" s="6" t="s">
        <v>5370</v>
      </c>
      <c r="J329" s="6">
        <v>5</v>
      </c>
      <c r="K329" s="9">
        <f t="shared" si="49"/>
        <v>1.3262599469496022E-2</v>
      </c>
      <c r="L329" s="20">
        <v>9</v>
      </c>
      <c r="M329" s="6">
        <v>2</v>
      </c>
      <c r="N329" s="20">
        <v>2</v>
      </c>
      <c r="O329" s="6" t="str">
        <f t="shared" si="45"/>
        <v>Correct</v>
      </c>
      <c r="P329" s="20" t="s">
        <v>3531</v>
      </c>
      <c r="Q329" s="6">
        <v>2</v>
      </c>
      <c r="R329" s="6" t="str">
        <f t="shared" si="50"/>
        <v>Correct</v>
      </c>
      <c r="S329" s="6" t="s">
        <v>3849</v>
      </c>
      <c r="T329" s="14">
        <v>1</v>
      </c>
      <c r="U329" s="6" t="str">
        <f t="shared" si="51"/>
        <v>Overtriaged</v>
      </c>
      <c r="V329" s="6"/>
      <c r="W329" s="6"/>
      <c r="X329" s="14">
        <v>2</v>
      </c>
      <c r="Y329" s="14" t="str">
        <f t="shared" si="52"/>
        <v>Correct</v>
      </c>
      <c r="Z329" s="6">
        <v>328</v>
      </c>
      <c r="AA329" s="6"/>
      <c r="AB329" s="6"/>
      <c r="AC329" s="6">
        <v>1</v>
      </c>
      <c r="AD329" s="20" t="s">
        <v>40</v>
      </c>
      <c r="AE329" s="6" t="s">
        <v>561</v>
      </c>
      <c r="AF329" s="6" t="s">
        <v>4279</v>
      </c>
      <c r="AG329" s="6" t="s">
        <v>4280</v>
      </c>
      <c r="AH329" s="6" t="s">
        <v>44</v>
      </c>
      <c r="AI329" s="6" t="s">
        <v>4391</v>
      </c>
      <c r="AJ329" s="6" t="s">
        <v>4281</v>
      </c>
      <c r="AK329" s="6" t="s">
        <v>4282</v>
      </c>
      <c r="AL329" s="6" t="s">
        <v>3476</v>
      </c>
      <c r="AM329" s="6" t="s">
        <v>5052</v>
      </c>
      <c r="AN329" s="6" t="s">
        <v>5053</v>
      </c>
      <c r="AO329" s="6" t="s">
        <v>5054</v>
      </c>
      <c r="AP329" s="6" t="s">
        <v>3503</v>
      </c>
      <c r="AQ329" s="21" t="s">
        <v>4580</v>
      </c>
      <c r="AR329" s="6" t="s">
        <v>5055</v>
      </c>
      <c r="AS329" s="6" t="s">
        <v>5056</v>
      </c>
      <c r="AT329" s="14">
        <v>2</v>
      </c>
      <c r="AU329" s="14">
        <v>2</v>
      </c>
      <c r="AV329" s="14">
        <v>2</v>
      </c>
      <c r="AW329" s="14">
        <v>2</v>
      </c>
      <c r="AX329" s="14">
        <v>1</v>
      </c>
      <c r="AY329" s="14">
        <v>2</v>
      </c>
      <c r="AZ329" s="14">
        <v>2</v>
      </c>
    </row>
    <row r="330" spans="1:52" ht="47" customHeight="1" x14ac:dyDescent="0.2">
      <c r="A330" s="20">
        <v>6549554</v>
      </c>
      <c r="B330" s="20">
        <v>81329116</v>
      </c>
      <c r="C330" s="8" t="s">
        <v>2166</v>
      </c>
      <c r="D330" s="20" t="s">
        <v>3504</v>
      </c>
      <c r="E330" s="6">
        <f t="shared" si="46"/>
        <v>92</v>
      </c>
      <c r="F330" s="6" t="s">
        <v>5397</v>
      </c>
      <c r="G330" s="6">
        <f t="shared" si="47"/>
        <v>35</v>
      </c>
      <c r="H330" s="9">
        <f t="shared" si="48"/>
        <v>0.61956521739130432</v>
      </c>
      <c r="I330" s="6"/>
      <c r="J330" s="6">
        <v>0</v>
      </c>
      <c r="K330" s="9">
        <f t="shared" si="49"/>
        <v>0</v>
      </c>
      <c r="L330" s="20">
        <v>9</v>
      </c>
      <c r="M330" s="6">
        <v>2</v>
      </c>
      <c r="N330" s="20">
        <v>2</v>
      </c>
      <c r="O330" s="6" t="str">
        <f t="shared" si="45"/>
        <v>Correct</v>
      </c>
      <c r="P330" s="20" t="s">
        <v>3532</v>
      </c>
      <c r="Q330" s="6">
        <v>2</v>
      </c>
      <c r="R330" s="6" t="str">
        <f t="shared" si="50"/>
        <v>Correct</v>
      </c>
      <c r="S330" s="6" t="s">
        <v>3753</v>
      </c>
      <c r="T330" s="14">
        <v>2</v>
      </c>
      <c r="U330" s="6" t="str">
        <f t="shared" si="51"/>
        <v>Correct</v>
      </c>
      <c r="V330" s="6"/>
      <c r="W330" s="6"/>
      <c r="X330" s="14">
        <v>2</v>
      </c>
      <c r="Y330" s="14" t="str">
        <f t="shared" si="52"/>
        <v>Correct</v>
      </c>
      <c r="Z330" s="6">
        <v>329</v>
      </c>
      <c r="AA330" s="6"/>
      <c r="AB330" s="6"/>
      <c r="AC330" s="6">
        <v>1</v>
      </c>
      <c r="AD330" s="20" t="s">
        <v>40</v>
      </c>
      <c r="AE330" s="6" t="s">
        <v>4283</v>
      </c>
      <c r="AF330" s="6" t="s">
        <v>4284</v>
      </c>
      <c r="AG330" s="6" t="s">
        <v>4285</v>
      </c>
      <c r="AH330" s="6" t="s">
        <v>44</v>
      </c>
      <c r="AI330" s="6" t="s">
        <v>4392</v>
      </c>
      <c r="AJ330" s="6" t="s">
        <v>4286</v>
      </c>
      <c r="AK330" s="6" t="s">
        <v>4287</v>
      </c>
      <c r="AL330" s="6" t="s">
        <v>3476</v>
      </c>
      <c r="AM330" s="6" t="s">
        <v>5057</v>
      </c>
      <c r="AN330" s="6" t="s">
        <v>5058</v>
      </c>
      <c r="AO330" s="6" t="s">
        <v>5059</v>
      </c>
      <c r="AP330" s="6" t="s">
        <v>3504</v>
      </c>
      <c r="AQ330" s="21" t="s">
        <v>4581</v>
      </c>
      <c r="AR330" s="6" t="s">
        <v>5060</v>
      </c>
      <c r="AS330" s="6" t="s">
        <v>5061</v>
      </c>
      <c r="AT330" s="14">
        <v>2</v>
      </c>
      <c r="AU330" s="14">
        <v>2</v>
      </c>
      <c r="AV330" s="14">
        <v>2</v>
      </c>
      <c r="AW330" s="14">
        <v>2</v>
      </c>
      <c r="AX330" s="14">
        <v>2</v>
      </c>
      <c r="AY330" s="14">
        <v>2</v>
      </c>
      <c r="AZ330" s="14">
        <v>2</v>
      </c>
    </row>
    <row r="331" spans="1:52" ht="47" customHeight="1" x14ac:dyDescent="0.2">
      <c r="A331" s="20">
        <v>7205444</v>
      </c>
      <c r="B331" s="20">
        <v>81343762</v>
      </c>
      <c r="C331" s="8" t="s">
        <v>2166</v>
      </c>
      <c r="D331" s="20" t="s">
        <v>3505</v>
      </c>
      <c r="E331" s="6">
        <f t="shared" si="46"/>
        <v>84</v>
      </c>
      <c r="F331" s="6" t="s">
        <v>5398</v>
      </c>
      <c r="G331" s="6">
        <f t="shared" si="47"/>
        <v>12</v>
      </c>
      <c r="H331" s="9">
        <f t="shared" si="48"/>
        <v>0.8571428571428571</v>
      </c>
      <c r="I331" s="6" t="s">
        <v>5371</v>
      </c>
      <c r="J331" s="6">
        <v>2</v>
      </c>
      <c r="K331" s="9">
        <f t="shared" si="49"/>
        <v>2.3809523809523808E-2</v>
      </c>
      <c r="L331" s="20">
        <v>10</v>
      </c>
      <c r="M331" s="6">
        <v>2</v>
      </c>
      <c r="N331" s="20">
        <v>2</v>
      </c>
      <c r="O331" s="6" t="str">
        <f t="shared" si="45"/>
        <v>Correct</v>
      </c>
      <c r="P331" s="20" t="s">
        <v>3533</v>
      </c>
      <c r="Q331" s="6">
        <v>2</v>
      </c>
      <c r="R331" s="6" t="str">
        <f t="shared" si="50"/>
        <v>Correct</v>
      </c>
      <c r="S331" s="6" t="s">
        <v>3850</v>
      </c>
      <c r="T331" s="14">
        <v>1</v>
      </c>
      <c r="U331" s="6" t="str">
        <f t="shared" si="51"/>
        <v>Overtriaged</v>
      </c>
      <c r="V331" s="6"/>
      <c r="W331" s="6"/>
      <c r="X331" s="14">
        <v>1</v>
      </c>
      <c r="Y331" s="14" t="str">
        <f t="shared" si="52"/>
        <v>Overtriaged</v>
      </c>
      <c r="Z331" s="6">
        <v>330</v>
      </c>
      <c r="AA331" s="6"/>
      <c r="AB331" s="6"/>
      <c r="AC331" s="6">
        <v>1</v>
      </c>
      <c r="AD331" s="20" t="s">
        <v>3541</v>
      </c>
      <c r="AE331" s="6" t="s">
        <v>44</v>
      </c>
      <c r="AF331" s="6" t="s">
        <v>44</v>
      </c>
      <c r="AG331" s="6" t="s">
        <v>44</v>
      </c>
      <c r="AH331" s="6" t="s">
        <v>44</v>
      </c>
      <c r="AI331" s="6" t="s">
        <v>44</v>
      </c>
      <c r="AJ331" s="6" t="s">
        <v>44</v>
      </c>
      <c r="AK331" s="6" t="s">
        <v>4288</v>
      </c>
      <c r="AL331" s="6" t="s">
        <v>5113</v>
      </c>
      <c r="AM331" s="6" t="s">
        <v>3505</v>
      </c>
      <c r="AN331" s="6" t="s">
        <v>3505</v>
      </c>
      <c r="AO331" s="6" t="s">
        <v>3505</v>
      </c>
      <c r="AP331" s="6" t="s">
        <v>3505</v>
      </c>
      <c r="AQ331" s="21" t="s">
        <v>3505</v>
      </c>
      <c r="AR331" s="6" t="s">
        <v>3505</v>
      </c>
      <c r="AS331" s="6" t="s">
        <v>5062</v>
      </c>
      <c r="AT331" s="14">
        <v>2</v>
      </c>
      <c r="AU331" s="14">
        <v>1</v>
      </c>
      <c r="AV331" s="14">
        <v>1</v>
      </c>
      <c r="AW331" s="14">
        <v>2</v>
      </c>
      <c r="AX331" s="14">
        <v>2</v>
      </c>
      <c r="AY331" s="14">
        <v>2</v>
      </c>
      <c r="AZ331" s="14">
        <v>2</v>
      </c>
    </row>
    <row r="332" spans="1:52" ht="47" customHeight="1" x14ac:dyDescent="0.2">
      <c r="A332" s="20">
        <v>8923186</v>
      </c>
      <c r="B332" s="20">
        <v>81350719</v>
      </c>
      <c r="C332" s="8" t="s">
        <v>2166</v>
      </c>
      <c r="D332" s="20" t="s">
        <v>3506</v>
      </c>
      <c r="E332" s="6">
        <f t="shared" si="46"/>
        <v>542</v>
      </c>
      <c r="F332" s="6" t="s">
        <v>5399</v>
      </c>
      <c r="G332" s="6">
        <f t="shared" si="47"/>
        <v>118</v>
      </c>
      <c r="H332" s="9">
        <f t="shared" si="48"/>
        <v>0.78228782287822873</v>
      </c>
      <c r="I332" s="6" t="s">
        <v>5372</v>
      </c>
      <c r="J332" s="6">
        <v>4</v>
      </c>
      <c r="K332" s="9">
        <f t="shared" si="49"/>
        <v>7.3800738007380072E-3</v>
      </c>
      <c r="L332" s="20">
        <v>4</v>
      </c>
      <c r="M332" s="6">
        <v>2</v>
      </c>
      <c r="N332" s="20">
        <v>2</v>
      </c>
      <c r="O332" s="6" t="str">
        <f t="shared" si="45"/>
        <v>Correct</v>
      </c>
      <c r="P332" s="20" t="s">
        <v>3534</v>
      </c>
      <c r="Q332" s="6">
        <v>1</v>
      </c>
      <c r="R332" s="6" t="str">
        <f t="shared" si="50"/>
        <v>Overtriaged</v>
      </c>
      <c r="S332" s="6" t="s">
        <v>3851</v>
      </c>
      <c r="T332" s="14">
        <v>1</v>
      </c>
      <c r="U332" s="6" t="str">
        <f t="shared" si="51"/>
        <v>Overtriaged</v>
      </c>
      <c r="V332" s="6"/>
      <c r="W332" s="6"/>
      <c r="X332" s="14">
        <v>1</v>
      </c>
      <c r="Y332" s="14" t="str">
        <f t="shared" si="52"/>
        <v>Overtriaged</v>
      </c>
      <c r="Z332" s="6">
        <v>331</v>
      </c>
      <c r="AA332" s="6"/>
      <c r="AB332" s="6"/>
      <c r="AC332" s="6">
        <v>1</v>
      </c>
      <c r="AD332" s="20" t="s">
        <v>40</v>
      </c>
      <c r="AE332" s="6" t="s">
        <v>454</v>
      </c>
      <c r="AF332" s="6" t="s">
        <v>4289</v>
      </c>
      <c r="AG332" s="6" t="s">
        <v>4290</v>
      </c>
      <c r="AH332" s="6" t="s">
        <v>44</v>
      </c>
      <c r="AI332" s="6" t="s">
        <v>4393</v>
      </c>
      <c r="AJ332" s="6" t="s">
        <v>4291</v>
      </c>
      <c r="AK332" s="6" t="s">
        <v>4292</v>
      </c>
      <c r="AL332" s="6" t="s">
        <v>3476</v>
      </c>
      <c r="AM332" s="6" t="s">
        <v>5063</v>
      </c>
      <c r="AN332" s="6" t="s">
        <v>5064</v>
      </c>
      <c r="AO332" s="6" t="s">
        <v>5065</v>
      </c>
      <c r="AP332" s="6" t="s">
        <v>3506</v>
      </c>
      <c r="AQ332" s="21" t="s">
        <v>4582</v>
      </c>
      <c r="AR332" s="6" t="s">
        <v>5066</v>
      </c>
      <c r="AS332" s="6" t="s">
        <v>5067</v>
      </c>
      <c r="AT332" s="14">
        <v>1</v>
      </c>
      <c r="AU332" s="14">
        <v>1</v>
      </c>
      <c r="AV332" s="14">
        <v>1</v>
      </c>
      <c r="AW332" s="14">
        <v>1</v>
      </c>
      <c r="AX332" s="14">
        <v>1</v>
      </c>
      <c r="AY332" s="14">
        <v>1</v>
      </c>
      <c r="AZ332" s="14">
        <v>1</v>
      </c>
    </row>
    <row r="333" spans="1:52" ht="47" customHeight="1" x14ac:dyDescent="0.2">
      <c r="A333" s="20">
        <v>4929303</v>
      </c>
      <c r="B333" s="20">
        <v>81382125</v>
      </c>
      <c r="C333" s="8" t="s">
        <v>2166</v>
      </c>
      <c r="D333" s="20" t="s">
        <v>3507</v>
      </c>
      <c r="E333" s="6">
        <f t="shared" si="46"/>
        <v>206</v>
      </c>
      <c r="F333" s="6" t="s">
        <v>5400</v>
      </c>
      <c r="G333" s="6">
        <f t="shared" si="47"/>
        <v>70</v>
      </c>
      <c r="H333" s="9">
        <f t="shared" si="48"/>
        <v>0.66019417475728159</v>
      </c>
      <c r="I333" s="6" t="s">
        <v>5373</v>
      </c>
      <c r="J333" s="6">
        <v>3</v>
      </c>
      <c r="K333" s="9">
        <f t="shared" si="49"/>
        <v>1.4563106796116505E-2</v>
      </c>
      <c r="L333" s="20">
        <v>4</v>
      </c>
      <c r="M333" s="6">
        <v>2</v>
      </c>
      <c r="N333" s="20">
        <v>2</v>
      </c>
      <c r="O333" s="6" t="str">
        <f t="shared" si="45"/>
        <v>Correct</v>
      </c>
      <c r="P333" s="20" t="s">
        <v>3535</v>
      </c>
      <c r="Q333" s="6">
        <v>2</v>
      </c>
      <c r="R333" s="6" t="str">
        <f t="shared" si="50"/>
        <v>Correct</v>
      </c>
      <c r="S333" s="6" t="s">
        <v>3754</v>
      </c>
      <c r="T333" s="14">
        <v>2</v>
      </c>
      <c r="U333" s="6" t="str">
        <f t="shared" si="51"/>
        <v>Correct</v>
      </c>
      <c r="V333" s="6"/>
      <c r="W333" s="6"/>
      <c r="X333" s="14">
        <v>2</v>
      </c>
      <c r="Y333" s="14" t="str">
        <f t="shared" si="52"/>
        <v>Correct</v>
      </c>
      <c r="Z333" s="6">
        <v>332</v>
      </c>
      <c r="AA333" s="6"/>
      <c r="AB333" s="6"/>
      <c r="AC333" s="6">
        <v>1</v>
      </c>
      <c r="AD333" s="20" t="s">
        <v>40</v>
      </c>
      <c r="AE333" s="6" t="s">
        <v>4293</v>
      </c>
      <c r="AF333" s="6" t="s">
        <v>1789</v>
      </c>
      <c r="AG333" s="6" t="s">
        <v>4294</v>
      </c>
      <c r="AH333" s="6" t="s">
        <v>44</v>
      </c>
      <c r="AI333" s="6" t="s">
        <v>4394</v>
      </c>
      <c r="AJ333" s="6" t="s">
        <v>44</v>
      </c>
      <c r="AK333" s="6" t="s">
        <v>4295</v>
      </c>
      <c r="AL333" s="6" t="s">
        <v>5099</v>
      </c>
      <c r="AM333" s="6" t="s">
        <v>5068</v>
      </c>
      <c r="AN333" s="6" t="s">
        <v>5069</v>
      </c>
      <c r="AO333" s="6" t="s">
        <v>5070</v>
      </c>
      <c r="AP333" s="6" t="s">
        <v>3507</v>
      </c>
      <c r="AQ333" s="21" t="s">
        <v>4583</v>
      </c>
      <c r="AR333" s="6" t="s">
        <v>3507</v>
      </c>
      <c r="AS333" s="6" t="s">
        <v>5071</v>
      </c>
      <c r="AT333" s="14">
        <v>2</v>
      </c>
      <c r="AU333" s="14">
        <v>2</v>
      </c>
      <c r="AV333" s="14">
        <v>2</v>
      </c>
      <c r="AW333" s="14">
        <v>2</v>
      </c>
      <c r="AX333" s="14">
        <v>2</v>
      </c>
      <c r="AY333" s="14">
        <v>2</v>
      </c>
      <c r="AZ333" s="14">
        <v>2</v>
      </c>
    </row>
    <row r="334" spans="1:52" ht="47" customHeight="1" x14ac:dyDescent="0.2">
      <c r="A334" s="20">
        <v>1160559</v>
      </c>
      <c r="B334" s="20">
        <v>81386575</v>
      </c>
      <c r="C334" s="8" t="s">
        <v>2166</v>
      </c>
      <c r="D334" s="20" t="s">
        <v>3508</v>
      </c>
      <c r="E334" s="6">
        <f t="shared" si="46"/>
        <v>360</v>
      </c>
      <c r="F334" s="6" t="s">
        <v>5401</v>
      </c>
      <c r="G334" s="6">
        <f t="shared" si="47"/>
        <v>69</v>
      </c>
      <c r="H334" s="9">
        <f t="shared" si="48"/>
        <v>0.80833333333333335</v>
      </c>
      <c r="I334" s="6" t="s">
        <v>5406</v>
      </c>
      <c r="J334" s="6">
        <v>2</v>
      </c>
      <c r="K334" s="9">
        <f t="shared" si="49"/>
        <v>5.5555555555555558E-3</v>
      </c>
      <c r="L334" s="20">
        <v>8</v>
      </c>
      <c r="M334" s="6">
        <v>2</v>
      </c>
      <c r="N334" s="20">
        <v>2</v>
      </c>
      <c r="O334" s="6" t="str">
        <f t="shared" si="45"/>
        <v>Correct</v>
      </c>
      <c r="P334" s="20" t="s">
        <v>3536</v>
      </c>
      <c r="Q334" s="6">
        <v>2</v>
      </c>
      <c r="R334" s="6" t="str">
        <f t="shared" si="50"/>
        <v>Correct</v>
      </c>
      <c r="S334" s="6" t="s">
        <v>3755</v>
      </c>
      <c r="T334" s="14">
        <v>2</v>
      </c>
      <c r="U334" s="6" t="str">
        <f t="shared" si="51"/>
        <v>Correct</v>
      </c>
      <c r="V334" s="6"/>
      <c r="W334" s="6"/>
      <c r="X334" s="14">
        <v>2</v>
      </c>
      <c r="Y334" s="14" t="str">
        <f t="shared" si="52"/>
        <v>Correct</v>
      </c>
      <c r="Z334" s="6">
        <v>333</v>
      </c>
      <c r="AA334" s="6"/>
      <c r="AB334" s="6"/>
      <c r="AC334" s="6">
        <v>1</v>
      </c>
      <c r="AD334" s="20" t="s">
        <v>40</v>
      </c>
      <c r="AE334" s="6" t="s">
        <v>4296</v>
      </c>
      <c r="AF334" s="6" t="s">
        <v>4297</v>
      </c>
      <c r="AG334" s="6" t="s">
        <v>4298</v>
      </c>
      <c r="AH334" s="6" t="s">
        <v>4299</v>
      </c>
      <c r="AI334" s="6" t="s">
        <v>4328</v>
      </c>
      <c r="AJ334" s="6" t="s">
        <v>4300</v>
      </c>
      <c r="AK334" s="6" t="s">
        <v>4301</v>
      </c>
      <c r="AL334" s="6" t="s">
        <v>3477</v>
      </c>
      <c r="AM334" s="6" t="s">
        <v>5072</v>
      </c>
      <c r="AN334" s="6" t="s">
        <v>5073</v>
      </c>
      <c r="AO334" s="6" t="s">
        <v>5074</v>
      </c>
      <c r="AP334" s="6" t="s">
        <v>5075</v>
      </c>
      <c r="AQ334" s="21" t="s">
        <v>3508</v>
      </c>
      <c r="AR334" s="6" t="s">
        <v>5076</v>
      </c>
      <c r="AS334" s="6" t="s">
        <v>5077</v>
      </c>
      <c r="AT334" s="14">
        <v>2</v>
      </c>
      <c r="AU334" s="14">
        <v>2</v>
      </c>
      <c r="AV334" s="14">
        <v>2</v>
      </c>
      <c r="AW334" s="14">
        <v>2</v>
      </c>
      <c r="AX334" s="14">
        <v>2</v>
      </c>
      <c r="AY334" s="14">
        <v>2</v>
      </c>
      <c r="AZ334" s="14">
        <v>2</v>
      </c>
    </row>
    <row r="335" spans="1:52" ht="47" customHeight="1" x14ac:dyDescent="0.2">
      <c r="A335" s="20">
        <v>2595950</v>
      </c>
      <c r="B335" s="20">
        <v>81389986</v>
      </c>
      <c r="C335" s="8" t="s">
        <v>2166</v>
      </c>
      <c r="D335" s="20" t="s">
        <v>3509</v>
      </c>
      <c r="E335" s="6">
        <f t="shared" si="46"/>
        <v>578</v>
      </c>
      <c r="F335" s="6" t="s">
        <v>5402</v>
      </c>
      <c r="G335" s="6">
        <f t="shared" si="47"/>
        <v>74</v>
      </c>
      <c r="H335" s="9">
        <f t="shared" si="48"/>
        <v>0.87197231833910038</v>
      </c>
      <c r="I335" s="6" t="s">
        <v>5374</v>
      </c>
      <c r="J335" s="6">
        <v>4</v>
      </c>
      <c r="K335" s="9">
        <f t="shared" si="49"/>
        <v>6.920415224913495E-3</v>
      </c>
      <c r="L335" s="20">
        <v>14</v>
      </c>
      <c r="M335" s="6">
        <v>2</v>
      </c>
      <c r="N335" s="20">
        <v>2</v>
      </c>
      <c r="O335" s="6" t="str">
        <f t="shared" si="45"/>
        <v>Correct</v>
      </c>
      <c r="P335" s="20" t="s">
        <v>3537</v>
      </c>
      <c r="Q335" s="6">
        <v>2</v>
      </c>
      <c r="R335" s="6" t="str">
        <f t="shared" si="50"/>
        <v>Correct</v>
      </c>
      <c r="S335" s="6" t="s">
        <v>3756</v>
      </c>
      <c r="T335" s="14">
        <v>2</v>
      </c>
      <c r="U335" s="6" t="str">
        <f t="shared" si="51"/>
        <v>Correct</v>
      </c>
      <c r="V335" s="6"/>
      <c r="W335" s="6"/>
      <c r="X335" s="14">
        <v>2</v>
      </c>
      <c r="Y335" s="14" t="str">
        <f t="shared" si="52"/>
        <v>Correct</v>
      </c>
      <c r="Z335" s="6">
        <v>334</v>
      </c>
      <c r="AA335" s="6"/>
      <c r="AB335" s="6"/>
      <c r="AC335" s="6">
        <v>1</v>
      </c>
      <c r="AD335" s="20" t="s">
        <v>40</v>
      </c>
      <c r="AE335" s="6" t="s">
        <v>4302</v>
      </c>
      <c r="AF335" s="6" t="s">
        <v>4303</v>
      </c>
      <c r="AG335" s="6" t="s">
        <v>4304</v>
      </c>
      <c r="AH335" s="6" t="s">
        <v>4305</v>
      </c>
      <c r="AI335" s="6" t="s">
        <v>4395</v>
      </c>
      <c r="AJ335" s="6" t="s">
        <v>4306</v>
      </c>
      <c r="AK335" s="6" t="s">
        <v>4307</v>
      </c>
      <c r="AL335" s="6" t="s">
        <v>3477</v>
      </c>
      <c r="AM335" s="6" t="s">
        <v>5078</v>
      </c>
      <c r="AN335" s="6" t="s">
        <v>5079</v>
      </c>
      <c r="AO335" s="6" t="s">
        <v>5080</v>
      </c>
      <c r="AP335" s="6" t="s">
        <v>5081</v>
      </c>
      <c r="AQ335" s="21" t="s">
        <v>4584</v>
      </c>
      <c r="AR335" s="6" t="s">
        <v>5082</v>
      </c>
      <c r="AS335" s="6" t="s">
        <v>5083</v>
      </c>
      <c r="AT335" s="14">
        <v>2</v>
      </c>
      <c r="AU335" s="14">
        <v>2</v>
      </c>
      <c r="AV335" s="14">
        <v>2</v>
      </c>
      <c r="AW335" s="14">
        <v>2</v>
      </c>
      <c r="AX335" s="14">
        <v>2</v>
      </c>
      <c r="AY335" s="14">
        <v>2</v>
      </c>
      <c r="AZ335" s="14">
        <v>2</v>
      </c>
    </row>
    <row r="336" spans="1:52" ht="47" customHeight="1" x14ac:dyDescent="0.2">
      <c r="A336" s="20">
        <v>2089753</v>
      </c>
      <c r="B336" s="20">
        <v>81393385</v>
      </c>
      <c r="C336" s="8" t="s">
        <v>2166</v>
      </c>
      <c r="D336" s="20" t="s">
        <v>3510</v>
      </c>
      <c r="E336" s="6">
        <f t="shared" si="46"/>
        <v>364</v>
      </c>
      <c r="F336" s="6" t="s">
        <v>5403</v>
      </c>
      <c r="G336" s="6">
        <f t="shared" si="47"/>
        <v>83</v>
      </c>
      <c r="H336" s="9">
        <f t="shared" si="48"/>
        <v>0.77197802197802201</v>
      </c>
      <c r="I336" s="6" t="s">
        <v>5375</v>
      </c>
      <c r="J336" s="6">
        <v>9</v>
      </c>
      <c r="K336" s="9">
        <f t="shared" si="49"/>
        <v>2.4725274725274724E-2</v>
      </c>
      <c r="L336" s="20">
        <v>10</v>
      </c>
      <c r="M336" s="6">
        <v>2</v>
      </c>
      <c r="N336" s="20">
        <v>2</v>
      </c>
      <c r="O336" s="6" t="str">
        <f t="shared" si="45"/>
        <v>Correct</v>
      </c>
      <c r="P336" s="20" t="s">
        <v>3538</v>
      </c>
      <c r="Q336" s="6">
        <v>2</v>
      </c>
      <c r="R336" s="6" t="str">
        <f t="shared" si="50"/>
        <v>Correct</v>
      </c>
      <c r="S336" s="6" t="s">
        <v>3852</v>
      </c>
      <c r="T336" s="14">
        <v>2</v>
      </c>
      <c r="U336" s="6" t="str">
        <f t="shared" si="51"/>
        <v>Correct</v>
      </c>
      <c r="V336" s="6"/>
      <c r="W336" s="6"/>
      <c r="X336" s="14">
        <v>2</v>
      </c>
      <c r="Y336" s="14" t="str">
        <f t="shared" si="52"/>
        <v>Correct</v>
      </c>
      <c r="Z336" s="6">
        <v>335</v>
      </c>
      <c r="AA336" s="6"/>
      <c r="AB336" s="6"/>
      <c r="AC336" s="6">
        <v>1</v>
      </c>
      <c r="AD336" s="20" t="s">
        <v>40</v>
      </c>
      <c r="AE336" s="6" t="s">
        <v>4308</v>
      </c>
      <c r="AF336" s="6" t="s">
        <v>4309</v>
      </c>
      <c r="AG336" s="6" t="s">
        <v>4310</v>
      </c>
      <c r="AH336" s="6" t="s">
        <v>44</v>
      </c>
      <c r="AI336" s="6" t="s">
        <v>4396</v>
      </c>
      <c r="AJ336" s="6" t="s">
        <v>4311</v>
      </c>
      <c r="AK336" s="6" t="s">
        <v>4312</v>
      </c>
      <c r="AL336" s="6" t="s">
        <v>3476</v>
      </c>
      <c r="AM336" s="6" t="s">
        <v>5084</v>
      </c>
      <c r="AN336" s="6" t="s">
        <v>5085</v>
      </c>
      <c r="AO336" s="6" t="s">
        <v>5086</v>
      </c>
      <c r="AP336" s="6" t="s">
        <v>3510</v>
      </c>
      <c r="AQ336" s="21" t="s">
        <v>4585</v>
      </c>
      <c r="AR336" s="6" t="s">
        <v>5087</v>
      </c>
      <c r="AS336" s="6" t="s">
        <v>5088</v>
      </c>
      <c r="AT336" s="14">
        <v>2</v>
      </c>
      <c r="AU336" s="14">
        <v>2</v>
      </c>
      <c r="AV336" s="14">
        <v>2</v>
      </c>
      <c r="AW336" s="14">
        <v>2</v>
      </c>
      <c r="AX336" s="14">
        <v>2</v>
      </c>
      <c r="AY336" s="14">
        <v>2</v>
      </c>
      <c r="AZ336" s="14">
        <v>2</v>
      </c>
    </row>
    <row r="337" spans="1:52" ht="47" customHeight="1" x14ac:dyDescent="0.2">
      <c r="A337" s="20">
        <v>2176712</v>
      </c>
      <c r="B337" s="20">
        <v>81399606</v>
      </c>
      <c r="C337" s="8" t="s">
        <v>2166</v>
      </c>
      <c r="D337" s="20" t="s">
        <v>3511</v>
      </c>
      <c r="E337" s="6">
        <f t="shared" si="46"/>
        <v>209</v>
      </c>
      <c r="F337" s="6" t="s">
        <v>5404</v>
      </c>
      <c r="G337" s="6">
        <f t="shared" si="47"/>
        <v>63</v>
      </c>
      <c r="H337" s="9">
        <f t="shared" si="48"/>
        <v>0.69856459330143539</v>
      </c>
      <c r="I337" s="6" t="s">
        <v>5376</v>
      </c>
      <c r="J337" s="6">
        <v>4</v>
      </c>
      <c r="K337" s="9">
        <f t="shared" si="49"/>
        <v>1.9138755980861243E-2</v>
      </c>
      <c r="L337" s="20">
        <v>1</v>
      </c>
      <c r="M337" s="6">
        <v>2</v>
      </c>
      <c r="N337" s="20">
        <v>2</v>
      </c>
      <c r="O337" s="6" t="str">
        <f t="shared" si="45"/>
        <v>Correct</v>
      </c>
      <c r="P337" s="20" t="s">
        <v>3539</v>
      </c>
      <c r="Q337" s="6">
        <v>2</v>
      </c>
      <c r="R337" s="6" t="str">
        <f t="shared" si="50"/>
        <v>Correct</v>
      </c>
      <c r="S337" s="6" t="s">
        <v>3757</v>
      </c>
      <c r="T337" s="14">
        <v>2</v>
      </c>
      <c r="U337" s="6" t="str">
        <f t="shared" si="51"/>
        <v>Correct</v>
      </c>
      <c r="V337" s="6"/>
      <c r="W337" s="6"/>
      <c r="X337" s="14">
        <v>2</v>
      </c>
      <c r="Y337" s="14" t="str">
        <f t="shared" si="52"/>
        <v>Correct</v>
      </c>
      <c r="Z337" s="6">
        <v>336</v>
      </c>
      <c r="AA337" s="6"/>
      <c r="AB337" s="6"/>
      <c r="AC337" s="6">
        <v>1</v>
      </c>
      <c r="AD337" s="20" t="s">
        <v>40</v>
      </c>
      <c r="AE337" s="6" t="s">
        <v>215</v>
      </c>
      <c r="AF337" s="6" t="s">
        <v>4313</v>
      </c>
      <c r="AG337" s="6" t="s">
        <v>4314</v>
      </c>
      <c r="AH337" s="6" t="s">
        <v>44</v>
      </c>
      <c r="AI337" s="6" t="s">
        <v>3377</v>
      </c>
      <c r="AJ337" s="6" t="s">
        <v>4315</v>
      </c>
      <c r="AK337" s="6" t="s">
        <v>4316</v>
      </c>
      <c r="AL337" s="6" t="s">
        <v>3476</v>
      </c>
      <c r="AM337" s="6" t="s">
        <v>5089</v>
      </c>
      <c r="AN337" s="6" t="s">
        <v>5090</v>
      </c>
      <c r="AO337" s="6" t="s">
        <v>5091</v>
      </c>
      <c r="AP337" s="6" t="s">
        <v>3511</v>
      </c>
      <c r="AQ337" s="21" t="s">
        <v>4586</v>
      </c>
      <c r="AR337" s="6" t="s">
        <v>5092</v>
      </c>
      <c r="AS337" s="6" t="s">
        <v>5093</v>
      </c>
      <c r="AT337" s="14">
        <v>2</v>
      </c>
      <c r="AU337" s="14">
        <v>2</v>
      </c>
      <c r="AV337" s="14">
        <v>2</v>
      </c>
      <c r="AW337" s="14">
        <v>2</v>
      </c>
      <c r="AX337" s="14">
        <v>2</v>
      </c>
      <c r="AY337" s="14">
        <v>2</v>
      </c>
      <c r="AZ337" s="14">
        <v>2</v>
      </c>
    </row>
    <row r="338" spans="1:52" ht="47" customHeight="1" x14ac:dyDescent="0.2">
      <c r="A338" s="20">
        <v>2728255</v>
      </c>
      <c r="B338" s="20">
        <v>81399200</v>
      </c>
      <c r="C338" s="8" t="s">
        <v>2166</v>
      </c>
      <c r="D338" s="20" t="s">
        <v>3512</v>
      </c>
      <c r="E338" s="6">
        <f t="shared" si="46"/>
        <v>363</v>
      </c>
      <c r="F338" s="6" t="s">
        <v>5405</v>
      </c>
      <c r="G338" s="6">
        <f t="shared" si="47"/>
        <v>79</v>
      </c>
      <c r="H338" s="9">
        <f t="shared" si="48"/>
        <v>0.78236914600550966</v>
      </c>
      <c r="I338" s="6" t="s">
        <v>5377</v>
      </c>
      <c r="J338" s="6">
        <v>2</v>
      </c>
      <c r="K338" s="9">
        <f t="shared" si="49"/>
        <v>5.5096418732782371E-3</v>
      </c>
      <c r="L338" s="20">
        <v>1</v>
      </c>
      <c r="M338" s="6">
        <v>2</v>
      </c>
      <c r="N338" s="20">
        <v>2</v>
      </c>
      <c r="O338" s="6" t="str">
        <f t="shared" si="45"/>
        <v>Correct</v>
      </c>
      <c r="P338" s="20" t="s">
        <v>3540</v>
      </c>
      <c r="Q338" s="6">
        <v>2</v>
      </c>
      <c r="R338" s="6" t="str">
        <f t="shared" si="50"/>
        <v>Correct</v>
      </c>
      <c r="S338" s="6" t="s">
        <v>3758</v>
      </c>
      <c r="T338" s="14">
        <v>2</v>
      </c>
      <c r="U338" s="6" t="str">
        <f t="shared" si="51"/>
        <v>Correct</v>
      </c>
      <c r="V338" s="6"/>
      <c r="W338" s="6"/>
      <c r="X338" s="14">
        <v>2</v>
      </c>
      <c r="Y338" s="14" t="str">
        <f t="shared" si="52"/>
        <v>Correct</v>
      </c>
      <c r="Z338" s="6">
        <v>337</v>
      </c>
      <c r="AA338" s="6"/>
      <c r="AB338" s="6"/>
      <c r="AC338" s="6">
        <v>1</v>
      </c>
      <c r="AD338" s="20" t="s">
        <v>40</v>
      </c>
      <c r="AE338" s="6" t="s">
        <v>4317</v>
      </c>
      <c r="AF338" s="6" t="s">
        <v>44</v>
      </c>
      <c r="AG338" s="6" t="s">
        <v>4318</v>
      </c>
      <c r="AH338" s="6" t="s">
        <v>44</v>
      </c>
      <c r="AI338" s="6" t="s">
        <v>3379</v>
      </c>
      <c r="AJ338" s="6" t="s">
        <v>2081</v>
      </c>
      <c r="AK338" s="6" t="s">
        <v>4319</v>
      </c>
      <c r="AL338" s="6" t="s">
        <v>3479</v>
      </c>
      <c r="AM338" s="6" t="s">
        <v>5094</v>
      </c>
      <c r="AN338" s="6" t="s">
        <v>3512</v>
      </c>
      <c r="AO338" s="6" t="s">
        <v>5095</v>
      </c>
      <c r="AP338" s="6" t="s">
        <v>3512</v>
      </c>
      <c r="AQ338" s="21" t="s">
        <v>4587</v>
      </c>
      <c r="AR338" s="6" t="s">
        <v>5096</v>
      </c>
      <c r="AS338" s="6" t="s">
        <v>5097</v>
      </c>
      <c r="AT338" s="14">
        <v>2</v>
      </c>
      <c r="AU338" s="14">
        <v>2</v>
      </c>
      <c r="AV338" s="14">
        <v>2</v>
      </c>
      <c r="AW338" s="14">
        <v>2</v>
      </c>
      <c r="AX338" s="14">
        <v>2</v>
      </c>
      <c r="AY338" s="14">
        <v>2</v>
      </c>
      <c r="AZ338" s="14">
        <v>2</v>
      </c>
    </row>
    <row r="339" spans="1:52" ht="44" customHeight="1" x14ac:dyDescent="0.2">
      <c r="A339" s="43">
        <v>81350719</v>
      </c>
      <c r="B339" s="14"/>
      <c r="C339" s="38" t="s">
        <v>2166</v>
      </c>
      <c r="D339" s="36" t="s">
        <v>5409</v>
      </c>
      <c r="E339" s="6">
        <f t="shared" si="46"/>
        <v>532</v>
      </c>
      <c r="K339" s="28"/>
      <c r="L339" s="29">
        <v>4</v>
      </c>
      <c r="M339" s="29">
        <v>2</v>
      </c>
      <c r="N339" s="30">
        <v>2</v>
      </c>
      <c r="O339" s="6" t="str">
        <f t="shared" si="45"/>
        <v>Correct</v>
      </c>
      <c r="P339" s="30" t="s">
        <v>5444</v>
      </c>
      <c r="Q339" s="34">
        <v>2</v>
      </c>
      <c r="R339" s="6" t="str">
        <f t="shared" si="50"/>
        <v>Correct</v>
      </c>
      <c r="S339" s="35" t="s">
        <v>5475</v>
      </c>
      <c r="U339" s="18"/>
      <c r="AD339" s="48" t="s">
        <v>40</v>
      </c>
    </row>
    <row r="340" spans="1:52" ht="44" customHeight="1" x14ac:dyDescent="0.2">
      <c r="A340" s="43">
        <v>81374484</v>
      </c>
      <c r="B340" s="14"/>
      <c r="C340" s="38" t="s">
        <v>2166</v>
      </c>
      <c r="D340" s="37" t="s">
        <v>5410</v>
      </c>
      <c r="E340" s="6">
        <f t="shared" si="46"/>
        <v>136</v>
      </c>
      <c r="J340" s="22"/>
      <c r="K340" s="28"/>
      <c r="L340" s="31">
        <v>33</v>
      </c>
      <c r="M340" s="31">
        <v>1</v>
      </c>
      <c r="N340" s="29">
        <v>1</v>
      </c>
      <c r="O340" s="6" t="str">
        <f t="shared" si="45"/>
        <v>Correct</v>
      </c>
      <c r="P340" s="29" t="s">
        <v>5445</v>
      </c>
      <c r="Q340" s="34">
        <v>1</v>
      </c>
      <c r="R340" s="6" t="str">
        <f t="shared" si="50"/>
        <v>Correct</v>
      </c>
      <c r="S340" s="35" t="s">
        <v>5476</v>
      </c>
      <c r="AD340" s="48" t="s">
        <v>40</v>
      </c>
    </row>
    <row r="341" spans="1:52" ht="44" customHeight="1" x14ac:dyDescent="0.2">
      <c r="A341" s="43">
        <v>81382125</v>
      </c>
      <c r="B341" s="14"/>
      <c r="C341" s="38" t="s">
        <v>2166</v>
      </c>
      <c r="D341" s="37" t="s">
        <v>5411</v>
      </c>
      <c r="E341" s="6">
        <f t="shared" si="46"/>
        <v>196</v>
      </c>
      <c r="L341" s="29">
        <v>5</v>
      </c>
      <c r="M341" s="29">
        <v>2</v>
      </c>
      <c r="N341" s="29">
        <v>2</v>
      </c>
      <c r="O341" s="6" t="str">
        <f t="shared" si="45"/>
        <v>Correct</v>
      </c>
      <c r="P341" s="29" t="s">
        <v>3535</v>
      </c>
      <c r="Q341" s="34">
        <v>2</v>
      </c>
      <c r="R341" s="6" t="str">
        <f t="shared" si="50"/>
        <v>Correct</v>
      </c>
      <c r="S341" s="35" t="s">
        <v>5477</v>
      </c>
      <c r="AD341" s="48" t="s">
        <v>40</v>
      </c>
    </row>
    <row r="342" spans="1:52" ht="44" customHeight="1" x14ac:dyDescent="0.2">
      <c r="A342" s="43">
        <v>81383651</v>
      </c>
      <c r="B342" s="14"/>
      <c r="C342" s="38" t="s">
        <v>2166</v>
      </c>
      <c r="D342" s="36" t="s">
        <v>5412</v>
      </c>
      <c r="E342" s="6">
        <f t="shared" si="46"/>
        <v>285</v>
      </c>
      <c r="L342" s="31">
        <v>38</v>
      </c>
      <c r="M342" s="31">
        <v>1</v>
      </c>
      <c r="N342" s="29">
        <v>1</v>
      </c>
      <c r="O342" s="6" t="str">
        <f t="shared" si="45"/>
        <v>Correct</v>
      </c>
      <c r="P342" s="29" t="s">
        <v>5446</v>
      </c>
      <c r="Q342" s="34">
        <v>2</v>
      </c>
      <c r="R342" s="6" t="str">
        <f t="shared" si="50"/>
        <v>Undertriaged</v>
      </c>
      <c r="S342" s="35" t="s">
        <v>5478</v>
      </c>
      <c r="AD342" s="48" t="s">
        <v>40</v>
      </c>
    </row>
    <row r="343" spans="1:52" ht="44" customHeight="1" x14ac:dyDescent="0.2">
      <c r="A343" s="43">
        <v>81386575</v>
      </c>
      <c r="B343" s="14"/>
      <c r="C343" s="38" t="s">
        <v>2166</v>
      </c>
      <c r="D343" s="36" t="s">
        <v>5413</v>
      </c>
      <c r="E343" s="6">
        <f t="shared" si="46"/>
        <v>356</v>
      </c>
      <c r="L343" s="29">
        <v>4</v>
      </c>
      <c r="M343" s="29">
        <v>2</v>
      </c>
      <c r="N343" s="29">
        <v>2</v>
      </c>
      <c r="O343" s="6" t="str">
        <f t="shared" si="45"/>
        <v>Correct</v>
      </c>
      <c r="P343" s="29" t="s">
        <v>5447</v>
      </c>
      <c r="Q343" s="34">
        <v>2</v>
      </c>
      <c r="R343" s="6" t="str">
        <f t="shared" si="50"/>
        <v>Correct</v>
      </c>
      <c r="S343" s="35" t="s">
        <v>5479</v>
      </c>
      <c r="AD343" s="48" t="s">
        <v>40</v>
      </c>
    </row>
    <row r="344" spans="1:52" ht="44" customHeight="1" x14ac:dyDescent="0.2">
      <c r="A344" s="43">
        <v>81389986</v>
      </c>
      <c r="B344" s="14"/>
      <c r="C344" s="38" t="s">
        <v>2166</v>
      </c>
      <c r="D344" s="36" t="s">
        <v>5414</v>
      </c>
      <c r="E344" s="6">
        <f t="shared" si="46"/>
        <v>520</v>
      </c>
      <c r="L344" s="29">
        <v>8</v>
      </c>
      <c r="M344" s="29">
        <v>2</v>
      </c>
      <c r="N344" s="29">
        <v>2</v>
      </c>
      <c r="O344" s="6" t="str">
        <f t="shared" si="45"/>
        <v>Correct</v>
      </c>
      <c r="P344" s="29" t="s">
        <v>5448</v>
      </c>
      <c r="Q344" s="34">
        <v>2</v>
      </c>
      <c r="R344" s="6" t="str">
        <f t="shared" si="50"/>
        <v>Correct</v>
      </c>
      <c r="S344" s="35" t="s">
        <v>5480</v>
      </c>
      <c r="AD344" s="48" t="s">
        <v>40</v>
      </c>
    </row>
    <row r="345" spans="1:52" ht="44" customHeight="1" x14ac:dyDescent="0.2">
      <c r="A345" s="43">
        <v>81393385</v>
      </c>
      <c r="B345" s="14"/>
      <c r="C345" s="38" t="s">
        <v>2166</v>
      </c>
      <c r="D345" s="37" t="s">
        <v>5415</v>
      </c>
      <c r="E345" s="6">
        <f t="shared" si="46"/>
        <v>349</v>
      </c>
      <c r="L345" s="29">
        <v>14</v>
      </c>
      <c r="M345" s="29">
        <v>2</v>
      </c>
      <c r="N345" s="29">
        <v>2</v>
      </c>
      <c r="O345" s="6" t="str">
        <f t="shared" si="45"/>
        <v>Correct</v>
      </c>
      <c r="P345" s="29" t="s">
        <v>3538</v>
      </c>
      <c r="Q345" s="34">
        <v>2</v>
      </c>
      <c r="R345" s="6" t="str">
        <f t="shared" si="50"/>
        <v>Correct</v>
      </c>
      <c r="S345" s="35" t="s">
        <v>5481</v>
      </c>
      <c r="AD345" s="48" t="s">
        <v>40</v>
      </c>
    </row>
    <row r="346" spans="1:52" ht="44" customHeight="1" x14ac:dyDescent="0.2">
      <c r="A346" s="44">
        <v>81399606</v>
      </c>
      <c r="B346" s="14"/>
      <c r="C346" s="39" t="s">
        <v>2166</v>
      </c>
      <c r="D346" s="36" t="s">
        <v>5416</v>
      </c>
      <c r="E346" s="6">
        <f t="shared" si="46"/>
        <v>214</v>
      </c>
      <c r="L346" s="29">
        <v>10</v>
      </c>
      <c r="M346" s="29">
        <v>2</v>
      </c>
      <c r="N346" s="32">
        <v>2</v>
      </c>
      <c r="O346" s="6" t="str">
        <f t="shared" si="45"/>
        <v>Correct</v>
      </c>
      <c r="P346" s="32" t="s">
        <v>3539</v>
      </c>
      <c r="Q346" s="34">
        <v>2</v>
      </c>
      <c r="R346" s="6" t="str">
        <f t="shared" si="50"/>
        <v>Correct</v>
      </c>
      <c r="S346" s="35" t="s">
        <v>5482</v>
      </c>
      <c r="AD346" s="48" t="s">
        <v>40</v>
      </c>
    </row>
    <row r="347" spans="1:52" ht="44" customHeight="1" x14ac:dyDescent="0.2">
      <c r="A347" s="43">
        <v>81399200</v>
      </c>
      <c r="B347" s="14"/>
      <c r="C347" s="38" t="s">
        <v>2166</v>
      </c>
      <c r="D347" s="37" t="s">
        <v>5417</v>
      </c>
      <c r="E347" s="6">
        <f t="shared" si="46"/>
        <v>356</v>
      </c>
      <c r="L347" s="29">
        <v>1</v>
      </c>
      <c r="M347" s="29">
        <v>2</v>
      </c>
      <c r="N347" s="29">
        <v>2</v>
      </c>
      <c r="O347" s="6" t="str">
        <f t="shared" si="45"/>
        <v>Correct</v>
      </c>
      <c r="P347" s="29" t="s">
        <v>3540</v>
      </c>
      <c r="Q347" s="34">
        <v>2</v>
      </c>
      <c r="R347" s="6" t="str">
        <f t="shared" si="50"/>
        <v>Correct</v>
      </c>
      <c r="S347" s="35" t="s">
        <v>5483</v>
      </c>
      <c r="AD347" s="48" t="s">
        <v>40</v>
      </c>
    </row>
    <row r="348" spans="1:52" ht="44" customHeight="1" x14ac:dyDescent="0.2">
      <c r="A348" s="45">
        <v>81413344</v>
      </c>
      <c r="B348" s="14"/>
      <c r="C348" s="40" t="s">
        <v>2166</v>
      </c>
      <c r="D348" s="37" t="s">
        <v>5418</v>
      </c>
      <c r="E348" s="6">
        <f t="shared" si="46"/>
        <v>323</v>
      </c>
      <c r="L348" s="31">
        <v>30</v>
      </c>
      <c r="M348" s="31">
        <v>1</v>
      </c>
      <c r="N348" s="30">
        <v>1</v>
      </c>
      <c r="O348" s="6" t="str">
        <f t="shared" si="45"/>
        <v>Correct</v>
      </c>
      <c r="P348" s="30" t="s">
        <v>5449</v>
      </c>
      <c r="Q348" s="34">
        <v>1</v>
      </c>
      <c r="R348" s="6" t="str">
        <f t="shared" si="50"/>
        <v>Correct</v>
      </c>
      <c r="S348" s="35" t="s">
        <v>5484</v>
      </c>
      <c r="AD348" s="48" t="s">
        <v>40</v>
      </c>
    </row>
    <row r="349" spans="1:52" ht="44" customHeight="1" x14ac:dyDescent="0.2">
      <c r="A349" s="43">
        <v>81428645</v>
      </c>
      <c r="B349" s="14"/>
      <c r="C349" s="38" t="s">
        <v>2166</v>
      </c>
      <c r="D349" s="37" t="s">
        <v>5419</v>
      </c>
      <c r="E349" s="6">
        <f t="shared" si="46"/>
        <v>364</v>
      </c>
      <c r="L349" s="29">
        <v>9</v>
      </c>
      <c r="M349" s="29">
        <v>2</v>
      </c>
      <c r="N349" s="30">
        <v>2</v>
      </c>
      <c r="O349" s="6" t="str">
        <f t="shared" si="45"/>
        <v>Correct</v>
      </c>
      <c r="P349" s="30" t="s">
        <v>5450</v>
      </c>
      <c r="Q349" s="34">
        <v>2</v>
      </c>
      <c r="R349" s="6" t="str">
        <f t="shared" si="50"/>
        <v>Correct</v>
      </c>
      <c r="S349" s="35" t="s">
        <v>5485</v>
      </c>
      <c r="AD349" s="48" t="s">
        <v>40</v>
      </c>
    </row>
    <row r="350" spans="1:52" ht="44" customHeight="1" x14ac:dyDescent="0.2">
      <c r="A350" s="43">
        <v>81432739</v>
      </c>
      <c r="B350" s="14"/>
      <c r="C350" s="38" t="s">
        <v>2166</v>
      </c>
      <c r="D350" s="37" t="s">
        <v>5420</v>
      </c>
      <c r="E350" s="6">
        <f t="shared" si="46"/>
        <v>147</v>
      </c>
      <c r="L350" s="29">
        <v>1</v>
      </c>
      <c r="M350" s="29">
        <v>2</v>
      </c>
      <c r="N350" s="30">
        <v>2</v>
      </c>
      <c r="O350" s="6" t="str">
        <f t="shared" si="45"/>
        <v>Correct</v>
      </c>
      <c r="P350" s="30" t="s">
        <v>5451</v>
      </c>
      <c r="Q350" s="34">
        <v>2</v>
      </c>
      <c r="R350" s="6" t="str">
        <f t="shared" si="50"/>
        <v>Correct</v>
      </c>
      <c r="S350" s="35" t="s">
        <v>5486</v>
      </c>
      <c r="AD350" s="48" t="s">
        <v>40</v>
      </c>
    </row>
    <row r="351" spans="1:52" ht="44" customHeight="1" x14ac:dyDescent="0.2">
      <c r="A351" s="43">
        <v>81449387</v>
      </c>
      <c r="B351" s="14"/>
      <c r="C351" s="38" t="s">
        <v>2166</v>
      </c>
      <c r="D351" s="37" t="s">
        <v>5421</v>
      </c>
      <c r="E351" s="6">
        <f t="shared" si="46"/>
        <v>243</v>
      </c>
      <c r="L351" s="31">
        <v>17</v>
      </c>
      <c r="M351" s="31">
        <v>1</v>
      </c>
      <c r="N351" s="29">
        <v>1</v>
      </c>
      <c r="O351" s="6" t="str">
        <f t="shared" si="45"/>
        <v>Correct</v>
      </c>
      <c r="P351" s="29" t="s">
        <v>5452</v>
      </c>
      <c r="Q351" s="34">
        <v>1</v>
      </c>
      <c r="R351" s="6" t="str">
        <f t="shared" si="50"/>
        <v>Correct</v>
      </c>
      <c r="S351" s="35" t="s">
        <v>5487</v>
      </c>
      <c r="AD351" s="48" t="s">
        <v>40</v>
      </c>
    </row>
    <row r="352" spans="1:52" ht="44" customHeight="1" x14ac:dyDescent="0.2">
      <c r="A352" s="43">
        <v>81450367</v>
      </c>
      <c r="B352" s="14"/>
      <c r="C352" s="38" t="s">
        <v>2166</v>
      </c>
      <c r="D352" s="37" t="s">
        <v>5422</v>
      </c>
      <c r="E352" s="6">
        <f t="shared" si="46"/>
        <v>215</v>
      </c>
      <c r="L352" s="29">
        <v>1</v>
      </c>
      <c r="M352" s="29">
        <v>2</v>
      </c>
      <c r="N352" s="29">
        <v>2</v>
      </c>
      <c r="O352" s="6" t="str">
        <f t="shared" si="45"/>
        <v>Correct</v>
      </c>
      <c r="P352" s="29" t="s">
        <v>5453</v>
      </c>
      <c r="Q352" s="34">
        <v>2</v>
      </c>
      <c r="R352" s="6" t="str">
        <f t="shared" si="50"/>
        <v>Correct</v>
      </c>
      <c r="S352" s="35" t="s">
        <v>5488</v>
      </c>
      <c r="AD352" s="48" t="s">
        <v>40</v>
      </c>
    </row>
    <row r="353" spans="1:30" ht="44" customHeight="1" x14ac:dyDescent="0.2">
      <c r="A353" s="43">
        <v>81453502</v>
      </c>
      <c r="B353" s="14"/>
      <c r="C353" s="38" t="s">
        <v>2166</v>
      </c>
      <c r="D353" s="37" t="s">
        <v>5423</v>
      </c>
      <c r="E353" s="6">
        <f t="shared" si="46"/>
        <v>468</v>
      </c>
      <c r="L353" s="29">
        <v>5</v>
      </c>
      <c r="M353" s="29">
        <v>2</v>
      </c>
      <c r="N353" s="29">
        <v>2</v>
      </c>
      <c r="O353" s="6" t="str">
        <f t="shared" si="45"/>
        <v>Correct</v>
      </c>
      <c r="P353" s="29" t="s">
        <v>5454</v>
      </c>
      <c r="Q353" s="34">
        <v>2</v>
      </c>
      <c r="R353" s="6" t="str">
        <f t="shared" si="50"/>
        <v>Correct</v>
      </c>
      <c r="S353" s="35" t="s">
        <v>5489</v>
      </c>
      <c r="AD353" s="48" t="s">
        <v>40</v>
      </c>
    </row>
    <row r="354" spans="1:30" ht="44" customHeight="1" x14ac:dyDescent="0.2">
      <c r="A354" s="43">
        <v>81456995</v>
      </c>
      <c r="B354" s="14"/>
      <c r="C354" s="38" t="s">
        <v>2166</v>
      </c>
      <c r="D354" s="37" t="s">
        <v>5424</v>
      </c>
      <c r="E354" s="6">
        <f t="shared" si="46"/>
        <v>235</v>
      </c>
      <c r="L354" s="29">
        <v>9</v>
      </c>
      <c r="M354" s="29">
        <v>2</v>
      </c>
      <c r="N354" s="29">
        <v>2</v>
      </c>
      <c r="O354" s="6" t="str">
        <f t="shared" si="45"/>
        <v>Correct</v>
      </c>
      <c r="P354" s="29" t="s">
        <v>5455</v>
      </c>
      <c r="Q354" s="34">
        <v>2</v>
      </c>
      <c r="R354" s="6" t="str">
        <f t="shared" si="50"/>
        <v>Correct</v>
      </c>
      <c r="S354" s="35" t="s">
        <v>5490</v>
      </c>
      <c r="AD354" s="48" t="s">
        <v>40</v>
      </c>
    </row>
    <row r="355" spans="1:30" ht="44" customHeight="1" x14ac:dyDescent="0.2">
      <c r="A355" s="43">
        <v>81456261</v>
      </c>
      <c r="B355" s="14"/>
      <c r="C355" s="38" t="s">
        <v>2166</v>
      </c>
      <c r="D355" s="37" t="s">
        <v>5425</v>
      </c>
      <c r="E355" s="6">
        <f t="shared" si="46"/>
        <v>148</v>
      </c>
      <c r="L355" s="29">
        <v>5</v>
      </c>
      <c r="M355" s="29">
        <v>2</v>
      </c>
      <c r="N355" s="29">
        <v>2</v>
      </c>
      <c r="O355" s="6" t="str">
        <f t="shared" si="45"/>
        <v>Correct</v>
      </c>
      <c r="P355" s="29" t="s">
        <v>5456</v>
      </c>
      <c r="Q355" s="34">
        <v>2</v>
      </c>
      <c r="R355" s="6" t="str">
        <f t="shared" si="50"/>
        <v>Correct</v>
      </c>
      <c r="S355" s="35" t="s">
        <v>5491</v>
      </c>
      <c r="AD355" s="48" t="s">
        <v>40</v>
      </c>
    </row>
    <row r="356" spans="1:30" ht="44" customHeight="1" x14ac:dyDescent="0.2">
      <c r="A356" s="43">
        <v>81466482</v>
      </c>
      <c r="B356" s="14"/>
      <c r="C356" s="38" t="s">
        <v>2166</v>
      </c>
      <c r="D356" s="37" t="s">
        <v>5426</v>
      </c>
      <c r="E356" s="6">
        <f t="shared" si="46"/>
        <v>369</v>
      </c>
      <c r="L356" s="29">
        <v>9</v>
      </c>
      <c r="M356" s="29">
        <v>2</v>
      </c>
      <c r="N356" s="29">
        <v>1</v>
      </c>
      <c r="O356" s="6" t="str">
        <f t="shared" si="45"/>
        <v>Overtriaged</v>
      </c>
      <c r="P356" s="29" t="s">
        <v>5457</v>
      </c>
      <c r="Q356" s="34">
        <v>2</v>
      </c>
      <c r="R356" s="6" t="str">
        <f t="shared" si="50"/>
        <v>Correct</v>
      </c>
      <c r="S356" s="35" t="s">
        <v>5492</v>
      </c>
      <c r="AD356" s="48" t="s">
        <v>40</v>
      </c>
    </row>
    <row r="357" spans="1:30" ht="44" customHeight="1" x14ac:dyDescent="0.2">
      <c r="A357" s="43">
        <v>81467735</v>
      </c>
      <c r="B357" s="14"/>
      <c r="C357" s="38" t="s">
        <v>2166</v>
      </c>
      <c r="D357" s="37" t="s">
        <v>5427</v>
      </c>
      <c r="E357" s="6">
        <f t="shared" si="46"/>
        <v>135</v>
      </c>
      <c r="L357" s="29">
        <v>10</v>
      </c>
      <c r="M357" s="29">
        <v>2</v>
      </c>
      <c r="N357" s="29">
        <v>2</v>
      </c>
      <c r="O357" s="6" t="str">
        <f t="shared" si="45"/>
        <v>Correct</v>
      </c>
      <c r="P357" s="29" t="s">
        <v>5458</v>
      </c>
      <c r="Q357" s="34">
        <v>2</v>
      </c>
      <c r="R357" s="6" t="str">
        <f t="shared" si="50"/>
        <v>Correct</v>
      </c>
      <c r="S357" s="35" t="s">
        <v>5493</v>
      </c>
      <c r="AD357" s="48" t="s">
        <v>40</v>
      </c>
    </row>
    <row r="358" spans="1:30" ht="44" customHeight="1" x14ac:dyDescent="0.2">
      <c r="A358" s="46">
        <v>81484357</v>
      </c>
      <c r="B358" s="14"/>
      <c r="C358" s="41" t="s">
        <v>2166</v>
      </c>
      <c r="D358" s="37" t="s">
        <v>5428</v>
      </c>
      <c r="E358" s="6">
        <f t="shared" si="46"/>
        <v>292</v>
      </c>
      <c r="L358" s="23">
        <v>14</v>
      </c>
      <c r="M358" s="23">
        <v>2</v>
      </c>
      <c r="N358" s="33">
        <v>2</v>
      </c>
      <c r="O358" s="6" t="str">
        <f t="shared" si="45"/>
        <v>Correct</v>
      </c>
      <c r="P358" s="33" t="s">
        <v>5459</v>
      </c>
      <c r="Q358" s="34">
        <v>2</v>
      </c>
      <c r="R358" s="6" t="str">
        <f t="shared" si="50"/>
        <v>Correct</v>
      </c>
      <c r="S358" s="35" t="s">
        <v>5494</v>
      </c>
      <c r="AD358" s="48" t="s">
        <v>40</v>
      </c>
    </row>
    <row r="359" spans="1:30" ht="44" customHeight="1" x14ac:dyDescent="0.2">
      <c r="A359" s="47">
        <v>81484350</v>
      </c>
      <c r="B359" s="14"/>
      <c r="C359" s="42" t="s">
        <v>2166</v>
      </c>
      <c r="D359" s="37" t="s">
        <v>5429</v>
      </c>
      <c r="E359" s="6">
        <f t="shared" si="46"/>
        <v>188</v>
      </c>
      <c r="L359" s="23">
        <v>13</v>
      </c>
      <c r="M359" s="23">
        <v>2</v>
      </c>
      <c r="N359" s="32">
        <v>2</v>
      </c>
      <c r="O359" s="6" t="str">
        <f t="shared" si="45"/>
        <v>Correct</v>
      </c>
      <c r="P359" s="32" t="s">
        <v>5460</v>
      </c>
      <c r="Q359" s="34">
        <v>2</v>
      </c>
      <c r="R359" s="6" t="str">
        <f t="shared" si="50"/>
        <v>Correct</v>
      </c>
      <c r="S359" s="35" t="s">
        <v>5495</v>
      </c>
      <c r="AD359" s="48" t="s">
        <v>40</v>
      </c>
    </row>
    <row r="360" spans="1:30" ht="44" customHeight="1" x14ac:dyDescent="0.2">
      <c r="A360" s="47">
        <v>81485058</v>
      </c>
      <c r="B360" s="14"/>
      <c r="C360" s="42" t="s">
        <v>2166</v>
      </c>
      <c r="D360" s="37" t="s">
        <v>5430</v>
      </c>
      <c r="E360" s="6">
        <f t="shared" si="46"/>
        <v>181</v>
      </c>
      <c r="L360" s="24">
        <v>35</v>
      </c>
      <c r="M360" s="24">
        <v>1</v>
      </c>
      <c r="N360" s="32">
        <v>1</v>
      </c>
      <c r="O360" s="6" t="str">
        <f t="shared" si="45"/>
        <v>Correct</v>
      </c>
      <c r="P360" s="32" t="s">
        <v>5461</v>
      </c>
      <c r="Q360" s="34">
        <v>1</v>
      </c>
      <c r="R360" s="6" t="str">
        <f t="shared" si="50"/>
        <v>Correct</v>
      </c>
      <c r="S360" s="35" t="s">
        <v>5496</v>
      </c>
      <c r="AD360" s="48" t="s">
        <v>40</v>
      </c>
    </row>
    <row r="361" spans="1:30" ht="44" customHeight="1" x14ac:dyDescent="0.2">
      <c r="A361" s="44">
        <v>81500884</v>
      </c>
      <c r="B361" s="14"/>
      <c r="C361" s="39" t="s">
        <v>2166</v>
      </c>
      <c r="D361" s="37" t="s">
        <v>5431</v>
      </c>
      <c r="E361" s="6">
        <f t="shared" si="46"/>
        <v>234</v>
      </c>
      <c r="L361" s="23">
        <v>12</v>
      </c>
      <c r="M361" s="23">
        <v>2</v>
      </c>
      <c r="N361" s="32">
        <v>2</v>
      </c>
      <c r="O361" s="6" t="str">
        <f t="shared" si="45"/>
        <v>Correct</v>
      </c>
      <c r="P361" s="32" t="s">
        <v>5462</v>
      </c>
      <c r="Q361" s="34">
        <v>2</v>
      </c>
      <c r="R361" s="6" t="str">
        <f t="shared" si="50"/>
        <v>Correct</v>
      </c>
      <c r="S361" s="35" t="s">
        <v>5497</v>
      </c>
      <c r="AD361" s="48" t="s">
        <v>40</v>
      </c>
    </row>
    <row r="362" spans="1:30" ht="44" customHeight="1" x14ac:dyDescent="0.2">
      <c r="A362" s="44">
        <v>81518023</v>
      </c>
      <c r="B362" s="14"/>
      <c r="C362" s="39" t="s">
        <v>2166</v>
      </c>
      <c r="D362" s="37" t="s">
        <v>5432</v>
      </c>
      <c r="E362" s="6">
        <f t="shared" si="46"/>
        <v>186</v>
      </c>
      <c r="L362" s="23">
        <v>5</v>
      </c>
      <c r="M362" s="23">
        <v>2</v>
      </c>
      <c r="N362" s="32">
        <v>1</v>
      </c>
      <c r="O362" s="6" t="str">
        <f t="shared" si="45"/>
        <v>Overtriaged</v>
      </c>
      <c r="P362" s="32" t="s">
        <v>5463</v>
      </c>
      <c r="Q362" s="34">
        <v>2</v>
      </c>
      <c r="R362" s="6" t="str">
        <f t="shared" si="50"/>
        <v>Correct</v>
      </c>
      <c r="S362" s="35" t="s">
        <v>5498</v>
      </c>
      <c r="AD362" s="48" t="s">
        <v>40</v>
      </c>
    </row>
    <row r="363" spans="1:30" ht="44" customHeight="1" x14ac:dyDescent="0.2">
      <c r="A363" s="44">
        <v>81525369</v>
      </c>
      <c r="B363" s="14"/>
      <c r="C363" s="39" t="s">
        <v>2166</v>
      </c>
      <c r="D363" s="37" t="s">
        <v>5433</v>
      </c>
      <c r="E363" s="6">
        <f t="shared" si="46"/>
        <v>275</v>
      </c>
      <c r="L363" s="23">
        <v>5</v>
      </c>
      <c r="M363" s="23">
        <v>2</v>
      </c>
      <c r="N363" s="32">
        <v>2</v>
      </c>
      <c r="O363" s="6" t="str">
        <f t="shared" si="45"/>
        <v>Correct</v>
      </c>
      <c r="P363" s="32" t="s">
        <v>5464</v>
      </c>
      <c r="Q363" s="34">
        <v>2</v>
      </c>
      <c r="R363" s="6" t="str">
        <f t="shared" si="50"/>
        <v>Correct</v>
      </c>
      <c r="S363" s="35" t="s">
        <v>5499</v>
      </c>
      <c r="AD363" s="48" t="s">
        <v>40</v>
      </c>
    </row>
    <row r="364" spans="1:30" ht="44" customHeight="1" x14ac:dyDescent="0.2">
      <c r="A364" s="44">
        <v>81533994</v>
      </c>
      <c r="B364" s="14"/>
      <c r="C364" s="39" t="s">
        <v>2166</v>
      </c>
      <c r="D364" s="37" t="s">
        <v>5434</v>
      </c>
      <c r="E364" s="6">
        <f t="shared" si="46"/>
        <v>123</v>
      </c>
      <c r="L364" s="24">
        <v>22</v>
      </c>
      <c r="M364" s="24">
        <v>1</v>
      </c>
      <c r="N364" s="32">
        <v>2</v>
      </c>
      <c r="O364" s="6" t="str">
        <f t="shared" si="45"/>
        <v>Undertriaged</v>
      </c>
      <c r="P364" s="32" t="s">
        <v>5465</v>
      </c>
      <c r="Q364" s="34">
        <v>2</v>
      </c>
      <c r="R364" s="6" t="str">
        <f t="shared" si="50"/>
        <v>Undertriaged</v>
      </c>
      <c r="S364" s="35" t="s">
        <v>5500</v>
      </c>
      <c r="AD364" s="48" t="s">
        <v>40</v>
      </c>
    </row>
    <row r="365" spans="1:30" ht="44" customHeight="1" x14ac:dyDescent="0.2">
      <c r="A365" s="44">
        <v>81552312</v>
      </c>
      <c r="B365" s="14"/>
      <c r="C365" s="39" t="s">
        <v>2166</v>
      </c>
      <c r="D365" s="37" t="s">
        <v>5435</v>
      </c>
      <c r="E365" s="6">
        <f t="shared" si="46"/>
        <v>432</v>
      </c>
      <c r="L365" s="24">
        <v>21</v>
      </c>
      <c r="M365" s="24">
        <v>1</v>
      </c>
      <c r="N365" s="32">
        <v>1</v>
      </c>
      <c r="O365" s="6" t="str">
        <f t="shared" si="45"/>
        <v>Correct</v>
      </c>
      <c r="P365" s="32" t="s">
        <v>5466</v>
      </c>
      <c r="Q365" s="34">
        <v>1</v>
      </c>
      <c r="R365" s="6" t="str">
        <f t="shared" si="50"/>
        <v>Correct</v>
      </c>
      <c r="S365" s="35" t="s">
        <v>5501</v>
      </c>
      <c r="AD365" s="48" t="s">
        <v>40</v>
      </c>
    </row>
    <row r="366" spans="1:30" ht="44" customHeight="1" x14ac:dyDescent="0.2">
      <c r="A366" s="44">
        <v>81552567</v>
      </c>
      <c r="B366" s="14"/>
      <c r="C366" s="39" t="s">
        <v>2166</v>
      </c>
      <c r="D366" s="37" t="s">
        <v>5436</v>
      </c>
      <c r="E366" s="6">
        <f t="shared" si="46"/>
        <v>275</v>
      </c>
      <c r="L366" s="24">
        <v>17</v>
      </c>
      <c r="M366" s="24">
        <v>1</v>
      </c>
      <c r="N366" s="32">
        <v>2</v>
      </c>
      <c r="O366" s="6" t="str">
        <f t="shared" si="45"/>
        <v>Undertriaged</v>
      </c>
      <c r="P366" s="32" t="s">
        <v>5467</v>
      </c>
      <c r="Q366" s="34">
        <v>2</v>
      </c>
      <c r="R366" s="6" t="str">
        <f t="shared" si="50"/>
        <v>Undertriaged</v>
      </c>
      <c r="S366" s="35" t="s">
        <v>5502</v>
      </c>
      <c r="AD366" s="48" t="s">
        <v>40</v>
      </c>
    </row>
    <row r="367" spans="1:30" ht="44" customHeight="1" x14ac:dyDescent="0.2">
      <c r="A367" s="45">
        <v>81553608</v>
      </c>
      <c r="B367" s="14"/>
      <c r="C367" s="40" t="s">
        <v>2166</v>
      </c>
      <c r="D367" s="37" t="s">
        <v>5437</v>
      </c>
      <c r="E367" s="6">
        <f t="shared" si="46"/>
        <v>688</v>
      </c>
      <c r="L367" s="25">
        <v>25</v>
      </c>
      <c r="M367" s="25">
        <v>1</v>
      </c>
      <c r="N367" s="30">
        <v>2</v>
      </c>
      <c r="O367" s="6" t="str">
        <f t="shared" si="45"/>
        <v>Undertriaged</v>
      </c>
      <c r="P367" s="30" t="s">
        <v>5468</v>
      </c>
      <c r="Q367" s="34">
        <v>2</v>
      </c>
      <c r="R367" s="6" t="str">
        <f t="shared" si="50"/>
        <v>Undertriaged</v>
      </c>
      <c r="S367" s="35" t="s">
        <v>5503</v>
      </c>
      <c r="AD367" s="48" t="s">
        <v>40</v>
      </c>
    </row>
    <row r="368" spans="1:30" ht="44" customHeight="1" x14ac:dyDescent="0.2">
      <c r="A368" s="45">
        <v>81560332</v>
      </c>
      <c r="B368" s="14"/>
      <c r="C368" s="40" t="s">
        <v>2166</v>
      </c>
      <c r="D368" s="37" t="s">
        <v>5438</v>
      </c>
      <c r="E368" s="6">
        <f t="shared" si="46"/>
        <v>343</v>
      </c>
      <c r="L368" s="26">
        <v>5</v>
      </c>
      <c r="M368" s="26">
        <v>2</v>
      </c>
      <c r="N368" s="30">
        <v>2</v>
      </c>
      <c r="O368" s="6" t="str">
        <f t="shared" si="45"/>
        <v>Correct</v>
      </c>
      <c r="P368" s="30" t="s">
        <v>5469</v>
      </c>
      <c r="Q368" s="34">
        <v>2</v>
      </c>
      <c r="R368" s="6" t="str">
        <f t="shared" si="50"/>
        <v>Correct</v>
      </c>
      <c r="S368" s="35" t="s">
        <v>5504</v>
      </c>
      <c r="AD368" s="48" t="s">
        <v>40</v>
      </c>
    </row>
    <row r="369" spans="1:30" ht="44" customHeight="1" x14ac:dyDescent="0.2">
      <c r="A369" s="43">
        <v>81589606</v>
      </c>
      <c r="B369" s="14"/>
      <c r="C369" s="38" t="s">
        <v>2166</v>
      </c>
      <c r="D369" s="37" t="s">
        <v>5439</v>
      </c>
      <c r="E369" s="6">
        <f t="shared" si="46"/>
        <v>129</v>
      </c>
      <c r="L369" s="27">
        <v>1</v>
      </c>
      <c r="M369" s="27">
        <v>2</v>
      </c>
      <c r="N369" s="29">
        <v>1</v>
      </c>
      <c r="O369" s="6" t="str">
        <f t="shared" si="45"/>
        <v>Overtriaged</v>
      </c>
      <c r="P369" s="29" t="s">
        <v>5470</v>
      </c>
      <c r="Q369" s="34">
        <v>2</v>
      </c>
      <c r="R369" s="6" t="str">
        <f t="shared" si="50"/>
        <v>Correct</v>
      </c>
      <c r="S369" s="35" t="s">
        <v>5505</v>
      </c>
      <c r="AD369" s="48" t="s">
        <v>40</v>
      </c>
    </row>
    <row r="370" spans="1:30" ht="44" customHeight="1" x14ac:dyDescent="0.2">
      <c r="A370" s="43">
        <v>81597431</v>
      </c>
      <c r="B370" s="14"/>
      <c r="C370" s="38" t="s">
        <v>2166</v>
      </c>
      <c r="D370" s="37" t="s">
        <v>5440</v>
      </c>
      <c r="E370" s="6">
        <f t="shared" si="46"/>
        <v>224</v>
      </c>
      <c r="L370" s="27">
        <v>9</v>
      </c>
      <c r="M370" s="27">
        <v>2</v>
      </c>
      <c r="N370" s="30">
        <v>2</v>
      </c>
      <c r="O370" s="6" t="str">
        <f t="shared" si="45"/>
        <v>Correct</v>
      </c>
      <c r="P370" s="30" t="s">
        <v>5471</v>
      </c>
      <c r="Q370" s="34">
        <v>2</v>
      </c>
      <c r="R370" s="6" t="str">
        <f t="shared" si="50"/>
        <v>Correct</v>
      </c>
      <c r="S370" s="35" t="s">
        <v>5506</v>
      </c>
      <c r="AD370" s="48" t="s">
        <v>40</v>
      </c>
    </row>
    <row r="371" spans="1:30" ht="44" customHeight="1" x14ac:dyDescent="0.2">
      <c r="A371" s="43">
        <v>81603368</v>
      </c>
      <c r="B371" s="14"/>
      <c r="C371" s="38" t="s">
        <v>2166</v>
      </c>
      <c r="D371" s="37" t="s">
        <v>5441</v>
      </c>
      <c r="E371" s="6">
        <f t="shared" si="46"/>
        <v>462</v>
      </c>
      <c r="L371" s="27">
        <v>4</v>
      </c>
      <c r="M371" s="27">
        <v>2</v>
      </c>
      <c r="N371" s="29">
        <v>2</v>
      </c>
      <c r="O371" s="6" t="str">
        <f t="shared" si="45"/>
        <v>Correct</v>
      </c>
      <c r="P371" s="29" t="s">
        <v>5472</v>
      </c>
      <c r="Q371" s="34">
        <v>2</v>
      </c>
      <c r="R371" s="6" t="str">
        <f t="shared" si="50"/>
        <v>Correct</v>
      </c>
      <c r="S371" s="35" t="s">
        <v>5507</v>
      </c>
      <c r="AD371" s="48" t="s">
        <v>40</v>
      </c>
    </row>
    <row r="372" spans="1:30" ht="44" customHeight="1" x14ac:dyDescent="0.2">
      <c r="A372" s="43">
        <v>81621637</v>
      </c>
      <c r="B372" s="14"/>
      <c r="C372" s="38" t="s">
        <v>2166</v>
      </c>
      <c r="D372" s="37" t="s">
        <v>5442</v>
      </c>
      <c r="E372" s="6">
        <f t="shared" si="46"/>
        <v>347</v>
      </c>
      <c r="L372" s="27">
        <v>5</v>
      </c>
      <c r="M372" s="27">
        <v>2</v>
      </c>
      <c r="N372" s="29">
        <v>2</v>
      </c>
      <c r="O372" s="6" t="str">
        <f t="shared" si="45"/>
        <v>Correct</v>
      </c>
      <c r="P372" s="29" t="s">
        <v>5473</v>
      </c>
      <c r="Q372" s="34">
        <v>2</v>
      </c>
      <c r="R372" s="6" t="str">
        <f t="shared" si="50"/>
        <v>Correct</v>
      </c>
      <c r="S372" s="35" t="s">
        <v>5508</v>
      </c>
      <c r="AD372" s="48" t="s">
        <v>40</v>
      </c>
    </row>
    <row r="373" spans="1:30" ht="44" customHeight="1" x14ac:dyDescent="0.2">
      <c r="A373" s="43">
        <v>81621067</v>
      </c>
      <c r="B373" s="14"/>
      <c r="C373" s="38" t="s">
        <v>2166</v>
      </c>
      <c r="D373" s="37" t="s">
        <v>5443</v>
      </c>
      <c r="E373" s="6">
        <f t="shared" si="46"/>
        <v>156</v>
      </c>
      <c r="L373" s="27">
        <v>9</v>
      </c>
      <c r="M373" s="27">
        <v>2</v>
      </c>
      <c r="N373" s="29">
        <v>2</v>
      </c>
      <c r="O373" s="6" t="str">
        <f t="shared" si="45"/>
        <v>Correct</v>
      </c>
      <c r="P373" s="29" t="s">
        <v>5474</v>
      </c>
      <c r="Q373" s="34">
        <v>2</v>
      </c>
      <c r="R373" s="6" t="str">
        <f t="shared" si="50"/>
        <v>Correct</v>
      </c>
      <c r="S373" s="35" t="s">
        <v>5509</v>
      </c>
      <c r="AD373" s="48" t="s">
        <v>40</v>
      </c>
    </row>
  </sheetData>
  <sortState xmlns:xlrd2="http://schemas.microsoft.com/office/spreadsheetml/2017/richdata2" ref="A2:AZ316">
    <sortCondition ref="Z1:Z316"/>
  </sortState>
  <conditionalFormatting sqref="E2:E373">
    <cfRule type="colorScale" priority="5">
      <colorScale>
        <cfvo type="min"/>
        <cfvo type="percentile" val="50"/>
        <cfvo type="max"/>
        <color rgb="FF63BE7B"/>
        <color rgb="FFFCFCFF"/>
        <color rgb="FFF8696B"/>
      </colorScale>
    </cfRule>
  </conditionalFormatting>
  <conditionalFormatting sqref="G2:G338">
    <cfRule type="colorScale" priority="4">
      <colorScale>
        <cfvo type="min"/>
        <cfvo type="percentile" val="50"/>
        <cfvo type="max"/>
        <color rgb="FF63BE7B"/>
        <color rgb="FFFCFCFF"/>
        <color rgb="FFF8696B"/>
      </colorScale>
    </cfRule>
  </conditionalFormatting>
  <conditionalFormatting sqref="H2:I338">
    <cfRule type="colorScale" priority="44">
      <colorScale>
        <cfvo type="min"/>
        <cfvo type="max"/>
        <color rgb="FFFCFCFF"/>
        <color rgb="FFF8696B"/>
      </colorScale>
    </cfRule>
  </conditionalFormatting>
  <conditionalFormatting sqref="K2:K340">
    <cfRule type="colorScale" priority="3">
      <colorScale>
        <cfvo type="min"/>
        <cfvo type="percentile" val="50"/>
        <cfvo type="max"/>
        <color rgb="FF63BE7B"/>
        <color rgb="FFFCFCFF"/>
        <color rgb="FFF8696B"/>
      </colorScale>
    </cfRule>
  </conditionalFormatting>
  <conditionalFormatting sqref="L2:L340">
    <cfRule type="colorScale" priority="25">
      <colorScale>
        <cfvo type="min"/>
        <cfvo type="percentile" val="50"/>
        <cfvo type="max"/>
        <color rgb="FF63BE7B"/>
        <color rgb="FFFCFCFF"/>
        <color rgb="FFF8696B"/>
      </colorScale>
    </cfRule>
  </conditionalFormatting>
  <conditionalFormatting sqref="M2:N310 M311:M338">
    <cfRule type="cellIs" dxfId="26" priority="39" operator="equal">
      <formula>1</formula>
    </cfRule>
    <cfRule type="cellIs" dxfId="25" priority="38" operator="equal">
      <formula>2</formula>
    </cfRule>
  </conditionalFormatting>
  <conditionalFormatting sqref="N1:N1048576">
    <cfRule type="cellIs" dxfId="24" priority="10" operator="equal">
      <formula>2</formula>
    </cfRule>
    <cfRule type="cellIs" dxfId="23" priority="11" operator="equal">
      <formula>1</formula>
    </cfRule>
  </conditionalFormatting>
  <conditionalFormatting sqref="O2:O373">
    <cfRule type="containsText" dxfId="22" priority="33" operator="containsText" text="undertriaged">
      <formula>NOT(ISERROR(SEARCH("undertriaged",O2)))</formula>
    </cfRule>
    <cfRule type="containsText" dxfId="21" priority="32" operator="containsText" text="overtriaged">
      <formula>NOT(ISERROR(SEARCH("overtriaged",O2)))</formula>
    </cfRule>
    <cfRule type="containsText" dxfId="20" priority="31" operator="containsText" text="correct">
      <formula>NOT(ISERROR(SEARCH("correct",O2)))</formula>
    </cfRule>
  </conditionalFormatting>
  <conditionalFormatting sqref="Q1:Q1048576">
    <cfRule type="cellIs" dxfId="19" priority="8" operator="equal">
      <formula>2</formula>
    </cfRule>
    <cfRule type="cellIs" dxfId="18" priority="9" operator="equal">
      <formula>1</formula>
    </cfRule>
  </conditionalFormatting>
  <conditionalFormatting sqref="Q339:Q1048576 U1:U338">
    <cfRule type="containsText" dxfId="17" priority="17" operator="containsText" text="Undertriaged">
      <formula>NOT(ISERROR(SEARCH("Undertriaged",Q1)))</formula>
    </cfRule>
  </conditionalFormatting>
  <conditionalFormatting sqref="R2:S338 R339:R373">
    <cfRule type="containsText" dxfId="16" priority="36" operator="containsText" text="correct">
      <formula>NOT(ISERROR(SEARCH("correct",R2)))</formula>
    </cfRule>
    <cfRule type="containsText" dxfId="15" priority="35" operator="containsText" text="overtriaged">
      <formula>NOT(ISERROR(SEARCH("overtriaged",R2)))</formula>
    </cfRule>
    <cfRule type="containsText" dxfId="14" priority="34" operator="containsText" text="undertriaged">
      <formula>NOT(ISERROR(SEARCH("undertriaged",R2)))</formula>
    </cfRule>
  </conditionalFormatting>
  <conditionalFormatting sqref="T1:Y338 P374:U1048576 P339:Q373 S339:U373">
    <cfRule type="cellIs" dxfId="13" priority="20" operator="equal">
      <formula>1</formula>
    </cfRule>
    <cfRule type="cellIs" dxfId="12" priority="21" operator="equal">
      <formula>2</formula>
    </cfRule>
  </conditionalFormatting>
  <conditionalFormatting sqref="U1:U338 Q339:Q1048576">
    <cfRule type="containsText" dxfId="11" priority="19" operator="containsText" text="overtriaged">
      <formula>NOT(ISERROR(SEARCH("overtriaged",Q1)))</formula>
    </cfRule>
    <cfRule type="containsText" dxfId="10" priority="18" operator="containsText" text="Correct">
      <formula>NOT(ISERROR(SEARCH("Correct",Q1)))</formula>
    </cfRule>
  </conditionalFormatting>
  <conditionalFormatting sqref="W1:Y338 T339:U1048576">
    <cfRule type="containsText" dxfId="9" priority="14" operator="containsText" text="Overtriaged">
      <formula>NOT(ISERROR(SEARCH("Overtriaged",T1)))</formula>
    </cfRule>
    <cfRule type="containsText" dxfId="8" priority="13" operator="containsText" text="Correct">
      <formula>NOT(ISERROR(SEARCH("Correct",T1)))</formula>
    </cfRule>
    <cfRule type="cellIs" dxfId="7" priority="12" operator="equal">
      <formula>"Undertriaged"</formula>
    </cfRule>
  </conditionalFormatting>
  <conditionalFormatting sqref="AC2:AC310">
    <cfRule type="cellIs" dxfId="6" priority="37" operator="greaterThan">
      <formula>1</formula>
    </cfRule>
  </conditionalFormatting>
  <conditionalFormatting sqref="AD1:AD310 AC311:AC338 Z339:Z1048576">
    <cfRule type="containsText" dxfId="5" priority="23" operator="containsText" text="exclude">
      <formula>NOT(ISERROR(SEARCH("exclude",Z1)))</formula>
    </cfRule>
  </conditionalFormatting>
  <conditionalFormatting sqref="AE1:AK310 AE311:AI338 AA339:AF1048576">
    <cfRule type="containsText" dxfId="4" priority="43" operator="containsText" text="[]">
      <formula>NOT(ISERROR(SEARCH("[]",AA1)))</formula>
    </cfRule>
  </conditionalFormatting>
  <conditionalFormatting sqref="AE2:AK338">
    <cfRule type="notContainsText" dxfId="3" priority="7" operator="notContains" text="[]">
      <formula>ISERROR(SEARCH("[]",AE2))</formula>
    </cfRule>
  </conditionalFormatting>
  <conditionalFormatting sqref="AE311:AK338">
    <cfRule type="containsText" dxfId="2" priority="6" operator="containsText" text="[]">
      <formula>NOT(ISERROR(SEARCH("[]",AE311)))</formula>
    </cfRule>
  </conditionalFormatting>
  <conditionalFormatting sqref="AT2:AZ338">
    <cfRule type="cellIs" dxfId="1" priority="2" operator="equal">
      <formula>1</formula>
    </cfRule>
    <cfRule type="cellIs" dxfId="0" priority="1" operator="equal">
      <formula>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1EDD-623C-CC43-8520-50C44CA9EF28}">
  <dimension ref="B2:D28"/>
  <sheetViews>
    <sheetView showGridLines="0" zoomScale="108" workbookViewId="0">
      <selection activeCell="D33" sqref="D33"/>
    </sheetView>
  </sheetViews>
  <sheetFormatPr baseColWidth="10" defaultRowHeight="15" x14ac:dyDescent="0.2"/>
  <cols>
    <col min="2" max="2" width="3.33203125" customWidth="1"/>
    <col min="3" max="3" width="17.83203125" bestFit="1" customWidth="1"/>
    <col min="4" max="4" width="38" bestFit="1" customWidth="1"/>
  </cols>
  <sheetData>
    <row r="2" spans="2:4" x14ac:dyDescent="0.2">
      <c r="B2" s="11" t="s">
        <v>3467</v>
      </c>
    </row>
    <row r="4" spans="2:4" x14ac:dyDescent="0.2">
      <c r="C4" s="13" t="s">
        <v>3365</v>
      </c>
      <c r="D4" t="s">
        <v>3468</v>
      </c>
    </row>
    <row r="5" spans="2:4" x14ac:dyDescent="0.2">
      <c r="C5" t="s">
        <v>3471</v>
      </c>
      <c r="D5" s="12">
        <v>0.74954209584034748</v>
      </c>
    </row>
    <row r="6" spans="2:4" x14ac:dyDescent="0.2">
      <c r="C6" t="s">
        <v>3469</v>
      </c>
      <c r="D6" s="12">
        <v>0.74783668058312613</v>
      </c>
    </row>
    <row r="7" spans="2:4" x14ac:dyDescent="0.2">
      <c r="C7" t="s">
        <v>3470</v>
      </c>
      <c r="D7" s="12">
        <v>0.71498239681742215</v>
      </c>
    </row>
    <row r="8" spans="2:4" x14ac:dyDescent="0.2">
      <c r="C8" t="s">
        <v>3472</v>
      </c>
      <c r="D8" s="12">
        <v>0.74375625312754101</v>
      </c>
    </row>
    <row r="22" spans="2:4" x14ac:dyDescent="0.2">
      <c r="B22" s="11" t="s">
        <v>3473</v>
      </c>
    </row>
    <row r="24" spans="2:4" x14ac:dyDescent="0.2">
      <c r="C24" s="13" t="s">
        <v>3364</v>
      </c>
      <c r="D24" t="s">
        <v>3468</v>
      </c>
    </row>
    <row r="25" spans="2:4" x14ac:dyDescent="0.2">
      <c r="C25" t="s">
        <v>3471</v>
      </c>
      <c r="D25" s="12">
        <v>0.77017817248633869</v>
      </c>
    </row>
    <row r="26" spans="2:4" x14ac:dyDescent="0.2">
      <c r="C26" t="s">
        <v>3469</v>
      </c>
      <c r="D26" s="12">
        <v>0.75153320957018199</v>
      </c>
    </row>
    <row r="27" spans="2:4" x14ac:dyDescent="0.2">
      <c r="C27" t="s">
        <v>3470</v>
      </c>
      <c r="D27" s="12">
        <v>0.70479445480522773</v>
      </c>
    </row>
    <row r="28" spans="2:4" x14ac:dyDescent="0.2">
      <c r="C28" t="s">
        <v>3472</v>
      </c>
      <c r="D28" s="12">
        <v>0.7437562531275409</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Brendan Fox</cp:lastModifiedBy>
  <dcterms:created xsi:type="dcterms:W3CDTF">2025-07-09T22:25:02Z</dcterms:created>
  <dcterms:modified xsi:type="dcterms:W3CDTF">2025-11-12T14:47:07Z</dcterms:modified>
</cp:coreProperties>
</file>